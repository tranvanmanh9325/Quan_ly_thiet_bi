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office_soict_hust_edu_vn/Documents/Văn phòng/Giáo vụ/Thi học kỳ/2025.1/"/>
    </mc:Choice>
  </mc:AlternateContent>
  <xr:revisionPtr revIDLastSave="0" documentId="8_{00B2F91E-7DC1-49D0-9F36-C5F8C2C39FE3}" xr6:coauthVersionLast="47" xr6:coauthVersionMax="47" xr10:uidLastSave="{00000000-0000-0000-0000-000000000000}"/>
  <bookViews>
    <workbookView xWindow="-120" yWindow="-120" windowWidth="29040" windowHeight="16440" firstSheet="6" activeTab="6" xr2:uid="{00000000-000D-0000-FFFF-FFFF00000000}"/>
  </bookViews>
  <sheets>
    <sheet name="Tuan19-Học" sheetId="4" r:id="rId1"/>
    <sheet name="TrucKyThuat" sheetId="14" r:id="rId2"/>
    <sheet name="Tuan20" sheetId="7" r:id="rId3"/>
    <sheet name="LichThi_Chung_Note" sheetId="15" state="hidden" r:id="rId4"/>
    <sheet name="VN_ICT_24.12" sheetId="16" state="hidden" r:id="rId5"/>
    <sheet name="Tuan21" sheetId="8" r:id="rId6"/>
    <sheet name="Tuan22" sheetId="11" r:id="rId7"/>
    <sheet name="Phân công coi thi" sheetId="21" r:id="rId8"/>
    <sheet name="CNTT26.12-Chung" sheetId="19" r:id="rId9"/>
    <sheet name="Sheet1" sheetId="22" state="hidden" r:id="rId10"/>
    <sheet name="Class20251" sheetId="17" state="hidden" r:id="rId11"/>
    <sheet name="VN_ICT" sheetId="10" state="hidden" r:id="rId12"/>
    <sheet name="LichThiTheoHocPhan" sheetId="20" r:id="rId13"/>
  </sheets>
  <definedNames>
    <definedName name="_xlnm._FilterDatabase" localSheetId="10" hidden="1">Class20251!$A$1:$AN$741</definedName>
    <definedName name="_xlnm._FilterDatabase" localSheetId="8" hidden="1">'CNTT26.12-Chung'!$A$1:$P$1</definedName>
    <definedName name="_xlnm._FilterDatabase" localSheetId="3" hidden="1">LichThi_Chung_Note!$A$1:$AJ$428</definedName>
    <definedName name="_xlnm._FilterDatabase" localSheetId="12" hidden="1">LichThiTheoHocPhan!$A$1:$I$74</definedName>
    <definedName name="_xlnm._FilterDatabase" localSheetId="11" hidden="1">VN_ICT!$A$1:$Z$286</definedName>
    <definedName name="_xlnm._FilterDatabase" localSheetId="4" hidden="1">VN_ICT_24.12!$A$1:$X$285</definedName>
  </definedNames>
  <calcPr calcId="191028"/>
  <pivotCaches>
    <pivotCache cacheId="1013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eLh+YsDXz90nsyvvkxHvEHzN+6NiWtEI0lJ/SG0a+/Y="/>
    </ext>
  </extLst>
</workbook>
</file>

<file path=xl/calcChain.xml><?xml version="1.0" encoding="utf-8"?>
<calcChain xmlns="http://schemas.openxmlformats.org/spreadsheetml/2006/main">
  <c r="I30" i="20" l="1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6" i="20"/>
  <c r="I3" i="20"/>
  <c r="I4" i="20"/>
  <c r="I5" i="20"/>
  <c r="I2" i="20"/>
  <c r="E88" i="21"/>
  <c r="E98" i="21"/>
  <c r="E97" i="21"/>
  <c r="E96" i="21"/>
  <c r="E95" i="21"/>
  <c r="E94" i="21"/>
  <c r="E93" i="21"/>
  <c r="E92" i="21"/>
  <c r="E91" i="21"/>
  <c r="E90" i="21"/>
  <c r="E89" i="21"/>
  <c r="G74" i="20"/>
  <c r="G73" i="20"/>
  <c r="G72" i="20"/>
  <c r="G71" i="20"/>
  <c r="G67" i="20"/>
  <c r="G70" i="20"/>
  <c r="G69" i="20"/>
  <c r="G68" i="20"/>
  <c r="G63" i="20"/>
  <c r="G66" i="20"/>
  <c r="G62" i="20"/>
  <c r="G65" i="20"/>
  <c r="G64" i="20"/>
  <c r="G61" i="20"/>
  <c r="G60" i="20"/>
  <c r="G58" i="20"/>
  <c r="G57" i="20"/>
  <c r="G59" i="20"/>
  <c r="G56" i="20"/>
  <c r="G54" i="20"/>
  <c r="G55" i="20"/>
  <c r="G51" i="20"/>
  <c r="G53" i="20"/>
  <c r="G50" i="20"/>
  <c r="G52" i="20"/>
  <c r="G44" i="20"/>
  <c r="G42" i="20"/>
  <c r="G49" i="20"/>
  <c r="G48" i="20"/>
  <c r="G41" i="20"/>
  <c r="G47" i="20"/>
  <c r="G46" i="20"/>
  <c r="G43" i="20"/>
  <c r="G40" i="20"/>
  <c r="G45" i="20"/>
  <c r="G37" i="20"/>
  <c r="G38" i="20"/>
  <c r="G36" i="20"/>
  <c r="G35" i="20"/>
  <c r="G39" i="20"/>
  <c r="G34" i="20"/>
  <c r="G32" i="20"/>
  <c r="G33" i="20"/>
  <c r="G31" i="20"/>
  <c r="G30" i="20"/>
  <c r="G29" i="20"/>
  <c r="G28" i="20"/>
  <c r="G26" i="20"/>
  <c r="G27" i="20"/>
  <c r="G25" i="20"/>
  <c r="G24" i="20"/>
  <c r="G23" i="20"/>
  <c r="G19" i="20"/>
  <c r="G22" i="20"/>
  <c r="G18" i="20"/>
  <c r="G21" i="20"/>
  <c r="G20" i="20"/>
  <c r="G17" i="20"/>
  <c r="G14" i="20"/>
  <c r="G16" i="20"/>
  <c r="G15" i="20"/>
  <c r="G11" i="20"/>
  <c r="G13" i="20"/>
  <c r="G10" i="20"/>
  <c r="G12" i="20"/>
  <c r="G7" i="20"/>
  <c r="G9" i="20"/>
  <c r="G6" i="20"/>
  <c r="G8" i="20"/>
  <c r="G4" i="20"/>
  <c r="G3" i="20"/>
  <c r="G2" i="20"/>
  <c r="G5" i="20"/>
  <c r="R110" i="19"/>
  <c r="F23" i="20" l="1"/>
  <c r="F24" i="20"/>
  <c r="F73" i="20"/>
  <c r="F72" i="20"/>
  <c r="F74" i="20"/>
  <c r="F56" i="20"/>
  <c r="F59" i="20"/>
  <c r="F57" i="20"/>
  <c r="F58" i="20"/>
  <c r="F12" i="20"/>
  <c r="F10" i="20"/>
  <c r="F13" i="20"/>
  <c r="F68" i="20"/>
  <c r="F45" i="20"/>
  <c r="F31" i="20"/>
  <c r="F69" i="20"/>
  <c r="F40" i="20"/>
  <c r="F17" i="20"/>
  <c r="F52" i="20"/>
  <c r="F43" i="20"/>
  <c r="F33" i="20"/>
  <c r="F5" i="20"/>
  <c r="F25" i="20"/>
  <c r="F50" i="20"/>
  <c r="F70" i="20"/>
  <c r="F15" i="20"/>
  <c r="F39" i="20"/>
  <c r="F16" i="20"/>
  <c r="F46" i="20"/>
  <c r="F67" i="20"/>
  <c r="F27" i="20"/>
  <c r="F2" i="20"/>
  <c r="F8" i="20"/>
  <c r="F55" i="20"/>
  <c r="F35" i="20"/>
  <c r="F64" i="20"/>
  <c r="F65" i="20"/>
  <c r="F47" i="20"/>
  <c r="F60" i="20"/>
  <c r="F28" i="20"/>
  <c r="F20" i="20"/>
  <c r="F21" i="20"/>
  <c r="F14" i="20"/>
  <c r="F53" i="20"/>
  <c r="F36" i="20"/>
  <c r="F38" i="20"/>
  <c r="F61" i="20"/>
  <c r="F71" i="20"/>
  <c r="F6" i="20"/>
  <c r="F26" i="20"/>
  <c r="F62" i="20"/>
  <c r="F32" i="20"/>
  <c r="F41" i="20"/>
  <c r="F18" i="20"/>
  <c r="F54" i="20"/>
  <c r="F22" i="20"/>
  <c r="F48" i="20"/>
  <c r="F9" i="20"/>
  <c r="F29" i="20"/>
  <c r="F3" i="20"/>
  <c r="F30" i="20"/>
  <c r="F49" i="20"/>
  <c r="F37" i="20"/>
  <c r="F4" i="20"/>
  <c r="F66" i="20"/>
  <c r="F51" i="20"/>
  <c r="F7" i="20"/>
  <c r="F63" i="20"/>
  <c r="F34" i="20"/>
  <c r="F11" i="20"/>
  <c r="F42" i="20"/>
  <c r="F44" i="20"/>
  <c r="F19" i="20"/>
  <c r="E24" i="20"/>
  <c r="E73" i="20"/>
  <c r="E72" i="20"/>
  <c r="E74" i="20"/>
  <c r="E56" i="20"/>
  <c r="E59" i="20"/>
  <c r="E57" i="20"/>
  <c r="E58" i="20"/>
  <c r="E12" i="20"/>
  <c r="E10" i="20"/>
  <c r="E13" i="20"/>
  <c r="E68" i="20"/>
  <c r="E45" i="20"/>
  <c r="E31" i="20"/>
  <c r="E69" i="20"/>
  <c r="E40" i="20"/>
  <c r="E17" i="20"/>
  <c r="E52" i="20"/>
  <c r="E43" i="20"/>
  <c r="E33" i="20"/>
  <c r="E5" i="20"/>
  <c r="E25" i="20"/>
  <c r="E50" i="20"/>
  <c r="E70" i="20"/>
  <c r="E15" i="20"/>
  <c r="E39" i="20"/>
  <c r="E16" i="20"/>
  <c r="E46" i="20"/>
  <c r="E67" i="20"/>
  <c r="E27" i="20"/>
  <c r="E2" i="20"/>
  <c r="E8" i="20"/>
  <c r="E55" i="20"/>
  <c r="E35" i="20"/>
  <c r="E64" i="20"/>
  <c r="E65" i="20"/>
  <c r="E47" i="20"/>
  <c r="E60" i="20"/>
  <c r="E28" i="20"/>
  <c r="E20" i="20"/>
  <c r="E21" i="20"/>
  <c r="E14" i="20"/>
  <c r="E53" i="20"/>
  <c r="E36" i="20"/>
  <c r="E38" i="20"/>
  <c r="E61" i="20"/>
  <c r="E71" i="20"/>
  <c r="E6" i="20"/>
  <c r="E26" i="20"/>
  <c r="E62" i="20"/>
  <c r="E32" i="20"/>
  <c r="E41" i="20"/>
  <c r="E18" i="20"/>
  <c r="E54" i="20"/>
  <c r="E22" i="20"/>
  <c r="E48" i="20"/>
  <c r="E9" i="20"/>
  <c r="E29" i="20"/>
  <c r="E3" i="20"/>
  <c r="E30" i="20"/>
  <c r="E49" i="20"/>
  <c r="E37" i="20"/>
  <c r="E4" i="20"/>
  <c r="E66" i="20"/>
  <c r="E51" i="20"/>
  <c r="E7" i="20"/>
  <c r="E63" i="20"/>
  <c r="E34" i="20"/>
  <c r="E11" i="20"/>
  <c r="E42" i="20"/>
  <c r="E44" i="20"/>
  <c r="E19" i="20"/>
  <c r="E23" i="20"/>
  <c r="D24" i="20"/>
  <c r="D73" i="20"/>
  <c r="D72" i="20"/>
  <c r="D74" i="20"/>
  <c r="D56" i="20"/>
  <c r="D59" i="20"/>
  <c r="D57" i="20"/>
  <c r="D58" i="20"/>
  <c r="D12" i="20"/>
  <c r="D10" i="20"/>
  <c r="D13" i="20"/>
  <c r="D68" i="20"/>
  <c r="D45" i="20"/>
  <c r="D31" i="20"/>
  <c r="D69" i="20"/>
  <c r="D40" i="20"/>
  <c r="D17" i="20"/>
  <c r="D52" i="20"/>
  <c r="D43" i="20"/>
  <c r="D33" i="20"/>
  <c r="D5" i="20"/>
  <c r="D25" i="20"/>
  <c r="D50" i="20"/>
  <c r="D70" i="20"/>
  <c r="D15" i="20"/>
  <c r="D39" i="20"/>
  <c r="D16" i="20"/>
  <c r="D46" i="20"/>
  <c r="D67" i="20"/>
  <c r="D27" i="20"/>
  <c r="D2" i="20"/>
  <c r="D8" i="20"/>
  <c r="D55" i="20"/>
  <c r="D35" i="20"/>
  <c r="D64" i="20"/>
  <c r="D65" i="20"/>
  <c r="D47" i="20"/>
  <c r="D60" i="20"/>
  <c r="D28" i="20"/>
  <c r="D20" i="20"/>
  <c r="D21" i="20"/>
  <c r="D14" i="20"/>
  <c r="D53" i="20"/>
  <c r="D36" i="20"/>
  <c r="D38" i="20"/>
  <c r="D61" i="20"/>
  <c r="D71" i="20"/>
  <c r="D6" i="20"/>
  <c r="D26" i="20"/>
  <c r="D62" i="20"/>
  <c r="D32" i="20"/>
  <c r="D41" i="20"/>
  <c r="D18" i="20"/>
  <c r="D54" i="20"/>
  <c r="D22" i="20"/>
  <c r="D48" i="20"/>
  <c r="D9" i="20"/>
  <c r="D29" i="20"/>
  <c r="D3" i="20"/>
  <c r="D30" i="20"/>
  <c r="D49" i="20"/>
  <c r="D37" i="20"/>
  <c r="D4" i="20"/>
  <c r="D66" i="20"/>
  <c r="D51" i="20"/>
  <c r="D7" i="20"/>
  <c r="D63" i="20"/>
  <c r="D34" i="20"/>
  <c r="D11" i="20"/>
  <c r="D42" i="20"/>
  <c r="D44" i="20"/>
  <c r="D19" i="20"/>
  <c r="D23" i="20"/>
  <c r="S2" i="19" a="1"/>
  <c r="S2" i="19" s="1"/>
  <c r="C68" i="20"/>
  <c r="C64" i="20"/>
  <c r="C22" i="20"/>
  <c r="C9" i="20"/>
  <c r="N14" i="7"/>
  <c r="A261" i="21"/>
  <c r="A262" i="21"/>
  <c r="A263" i="21"/>
  <c r="A264" i="21"/>
  <c r="A265" i="21"/>
  <c r="A266" i="21"/>
  <c r="A267" i="21"/>
  <c r="A268" i="21"/>
  <c r="A269" i="21"/>
  <c r="A270" i="21"/>
  <c r="A271" i="21"/>
  <c r="A272" i="21"/>
  <c r="A273" i="21"/>
  <c r="A274" i="21"/>
  <c r="A275" i="21"/>
  <c r="A276" i="21"/>
  <c r="A277" i="21"/>
  <c r="A278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157" i="21"/>
  <c r="A158" i="21"/>
  <c r="A159" i="21"/>
  <c r="A160" i="21"/>
  <c r="A161" i="21"/>
  <c r="A162" i="21"/>
  <c r="A163" i="21"/>
  <c r="A164" i="21"/>
  <c r="A165" i="21"/>
  <c r="A166" i="21"/>
  <c r="A167" i="21"/>
  <c r="A168" i="21"/>
  <c r="A169" i="21"/>
  <c r="A170" i="21"/>
  <c r="A171" i="21"/>
  <c r="A172" i="21"/>
  <c r="A173" i="21"/>
  <c r="A174" i="21"/>
  <c r="A175" i="21"/>
  <c r="A176" i="21"/>
  <c r="A177" i="21"/>
  <c r="A178" i="21"/>
  <c r="A179" i="21"/>
  <c r="A180" i="21"/>
  <c r="A181" i="21"/>
  <c r="A182" i="21"/>
  <c r="A183" i="21"/>
  <c r="A184" i="21"/>
  <c r="A185" i="21"/>
  <c r="A186" i="21"/>
  <c r="A187" i="21"/>
  <c r="A188" i="21"/>
  <c r="A189" i="21"/>
  <c r="A190" i="21"/>
  <c r="A191" i="21"/>
  <c r="A192" i="21"/>
  <c r="A193" i="21"/>
  <c r="A194" i="21"/>
  <c r="A195" i="21"/>
  <c r="A196" i="21"/>
  <c r="A197" i="21"/>
  <c r="A198" i="21"/>
  <c r="A199" i="21"/>
  <c r="A200" i="21"/>
  <c r="A201" i="21"/>
  <c r="A202" i="21"/>
  <c r="A203" i="21"/>
  <c r="A204" i="21"/>
  <c r="A205" i="21"/>
  <c r="A206" i="21"/>
  <c r="A207" i="21"/>
  <c r="A208" i="21"/>
  <c r="A209" i="21"/>
  <c r="A210" i="21"/>
  <c r="A211" i="21"/>
  <c r="A212" i="21"/>
  <c r="A213" i="21"/>
  <c r="A214" i="21"/>
  <c r="A215" i="21"/>
  <c r="A216" i="21"/>
  <c r="A217" i="21"/>
  <c r="A218" i="21"/>
  <c r="A219" i="21"/>
  <c r="A220" i="21"/>
  <c r="A221" i="21"/>
  <c r="A222" i="21"/>
  <c r="A223" i="21"/>
  <c r="A224" i="21"/>
  <c r="A225" i="21"/>
  <c r="A226" i="21"/>
  <c r="A227" i="21"/>
  <c r="A228" i="21"/>
  <c r="A229" i="21"/>
  <c r="A230" i="21"/>
  <c r="A231" i="21"/>
  <c r="A232" i="21"/>
  <c r="A233" i="21"/>
  <c r="A234" i="21"/>
  <c r="A235" i="21"/>
  <c r="A236" i="21"/>
  <c r="A237" i="21"/>
  <c r="A238" i="21"/>
  <c r="A239" i="21"/>
  <c r="A240" i="21"/>
  <c r="A241" i="21"/>
  <c r="A242" i="21"/>
  <c r="A243" i="21"/>
  <c r="A244" i="21"/>
  <c r="A245" i="21"/>
  <c r="A246" i="21"/>
  <c r="A247" i="21"/>
  <c r="A248" i="21"/>
  <c r="A249" i="21"/>
  <c r="A250" i="21"/>
  <c r="A251" i="21"/>
  <c r="A252" i="21"/>
  <c r="A253" i="21"/>
  <c r="A254" i="21"/>
  <c r="A255" i="21"/>
  <c r="A256" i="21"/>
  <c r="A257" i="21"/>
  <c r="A258" i="21"/>
  <c r="A259" i="21"/>
  <c r="A260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11" i="21"/>
  <c r="A10" i="21"/>
  <c r="A9" i="21"/>
  <c r="A8" i="21"/>
  <c r="A7" i="21"/>
  <c r="C71" i="20" l="1"/>
  <c r="C47" i="20"/>
  <c r="C17" i="20"/>
  <c r="C57" i="20"/>
  <c r="C69" i="20"/>
  <c r="C8" i="20"/>
  <c r="C38" i="20"/>
  <c r="C25" i="20"/>
  <c r="C63" i="20"/>
  <c r="C18" i="20"/>
  <c r="C55" i="20"/>
  <c r="C50" i="20"/>
  <c r="C45" i="20"/>
  <c r="C72" i="20"/>
  <c r="C73" i="20"/>
  <c r="C41" i="20"/>
  <c r="C48" i="20"/>
  <c r="C43" i="20"/>
  <c r="C44" i="20"/>
  <c r="C54" i="20"/>
  <c r="C7" i="20"/>
  <c r="C26" i="20"/>
  <c r="C51" i="20"/>
  <c r="C28" i="20"/>
  <c r="C61" i="20"/>
  <c r="C74" i="20"/>
  <c r="C21" i="20"/>
  <c r="C70" i="20"/>
  <c r="C66" i="20"/>
  <c r="C31" i="20"/>
  <c r="C67" i="20"/>
  <c r="C42" i="20"/>
  <c r="C11" i="20"/>
  <c r="C49" i="20"/>
  <c r="C36" i="20"/>
  <c r="C3" i="20"/>
  <c r="C32" i="20"/>
  <c r="C35" i="20"/>
  <c r="C12" i="20"/>
  <c r="C33" i="20"/>
  <c r="C59" i="20"/>
  <c r="C62" i="20"/>
  <c r="C46" i="20"/>
  <c r="C5" i="20"/>
  <c r="C6" i="20"/>
  <c r="C19" i="20"/>
  <c r="C10" i="20"/>
  <c r="C20" i="20"/>
  <c r="C39" i="20"/>
  <c r="C16" i="20"/>
  <c r="C34" i="20"/>
  <c r="C52" i="20"/>
  <c r="C13" i="20"/>
  <c r="C15" i="20"/>
  <c r="C56" i="20"/>
  <c r="C30" i="20"/>
  <c r="C60" i="20"/>
  <c r="C2" i="20"/>
  <c r="C4" i="20"/>
  <c r="C53" i="20"/>
  <c r="C27" i="20"/>
  <c r="C40" i="20"/>
  <c r="C37" i="20"/>
  <c r="C14" i="20"/>
  <c r="C29" i="20"/>
  <c r="C58" i="20"/>
  <c r="C24" i="20"/>
  <c r="C65" i="20"/>
  <c r="C23" i="20"/>
  <c r="D198" i="17"/>
  <c r="D3" i="17"/>
  <c r="D4" i="17"/>
  <c r="D5" i="17"/>
  <c r="D6" i="17"/>
  <c r="D7" i="17"/>
  <c r="D8" i="17"/>
  <c r="P187" i="19" s="1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0" i="17"/>
  <c r="D341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D356" i="17"/>
  <c r="D357" i="17"/>
  <c r="D358" i="17"/>
  <c r="D359" i="17"/>
  <c r="D360" i="17"/>
  <c r="D361" i="17"/>
  <c r="D362" i="17"/>
  <c r="D363" i="17"/>
  <c r="D364" i="17"/>
  <c r="D365" i="17"/>
  <c r="D366" i="17"/>
  <c r="D367" i="17"/>
  <c r="D368" i="17"/>
  <c r="D369" i="17"/>
  <c r="D370" i="17"/>
  <c r="D371" i="17"/>
  <c r="D372" i="17"/>
  <c r="D373" i="17"/>
  <c r="D374" i="17"/>
  <c r="D375" i="17"/>
  <c r="D376" i="17"/>
  <c r="D377" i="17"/>
  <c r="D378" i="17"/>
  <c r="D379" i="17"/>
  <c r="D380" i="17"/>
  <c r="D381" i="17"/>
  <c r="D382" i="17"/>
  <c r="D383" i="17"/>
  <c r="D384" i="17"/>
  <c r="D385" i="17"/>
  <c r="D386" i="17"/>
  <c r="D387" i="17"/>
  <c r="D388" i="17"/>
  <c r="D389" i="17"/>
  <c r="D390" i="17"/>
  <c r="D391" i="17"/>
  <c r="D392" i="17"/>
  <c r="D393" i="17"/>
  <c r="D394" i="17"/>
  <c r="D395" i="17"/>
  <c r="D396" i="17"/>
  <c r="D397" i="17"/>
  <c r="D398" i="17"/>
  <c r="D399" i="17"/>
  <c r="D400" i="17"/>
  <c r="D401" i="17"/>
  <c r="D402" i="17"/>
  <c r="D403" i="17"/>
  <c r="D404" i="17"/>
  <c r="D405" i="17"/>
  <c r="D406" i="17"/>
  <c r="D407" i="17"/>
  <c r="D408" i="17"/>
  <c r="D409" i="17"/>
  <c r="D410" i="17"/>
  <c r="D411" i="17"/>
  <c r="D412" i="17"/>
  <c r="D413" i="17"/>
  <c r="D414" i="17"/>
  <c r="D415" i="17"/>
  <c r="D416" i="17"/>
  <c r="D417" i="17"/>
  <c r="D418" i="17"/>
  <c r="D419" i="17"/>
  <c r="D420" i="17"/>
  <c r="D421" i="17"/>
  <c r="D422" i="17"/>
  <c r="D423" i="17"/>
  <c r="D424" i="17"/>
  <c r="D425" i="17"/>
  <c r="D426" i="17"/>
  <c r="D427" i="17"/>
  <c r="D428" i="17"/>
  <c r="D429" i="17"/>
  <c r="D430" i="17"/>
  <c r="D431" i="17"/>
  <c r="D432" i="17"/>
  <c r="D433" i="17"/>
  <c r="D434" i="17"/>
  <c r="D435" i="17"/>
  <c r="D436" i="17"/>
  <c r="D437" i="17"/>
  <c r="D438" i="17"/>
  <c r="D439" i="17"/>
  <c r="D440" i="17"/>
  <c r="D441" i="17"/>
  <c r="D442" i="17"/>
  <c r="D443" i="17"/>
  <c r="D444" i="17"/>
  <c r="D445" i="17"/>
  <c r="D446" i="17"/>
  <c r="D447" i="17"/>
  <c r="D448" i="17"/>
  <c r="D449" i="17"/>
  <c r="D450" i="17"/>
  <c r="D451" i="17"/>
  <c r="D452" i="17"/>
  <c r="D453" i="17"/>
  <c r="D454" i="17"/>
  <c r="D455" i="17"/>
  <c r="D456" i="17"/>
  <c r="D457" i="17"/>
  <c r="D458" i="17"/>
  <c r="D459" i="17"/>
  <c r="D460" i="17"/>
  <c r="D461" i="17"/>
  <c r="D462" i="17"/>
  <c r="D463" i="17"/>
  <c r="D464" i="17"/>
  <c r="D465" i="17"/>
  <c r="D466" i="17"/>
  <c r="D467" i="17"/>
  <c r="D468" i="17"/>
  <c r="D469" i="17"/>
  <c r="D470" i="17"/>
  <c r="D471" i="17"/>
  <c r="D472" i="17"/>
  <c r="D473" i="17"/>
  <c r="D474" i="17"/>
  <c r="D475" i="17"/>
  <c r="D476" i="17"/>
  <c r="D477" i="17"/>
  <c r="D478" i="17"/>
  <c r="D479" i="17"/>
  <c r="D480" i="17"/>
  <c r="D481" i="17"/>
  <c r="D482" i="17"/>
  <c r="D483" i="17"/>
  <c r="D484" i="17"/>
  <c r="D485" i="17"/>
  <c r="D486" i="17"/>
  <c r="D487" i="17"/>
  <c r="D488" i="17"/>
  <c r="D489" i="17"/>
  <c r="D490" i="17"/>
  <c r="D491" i="17"/>
  <c r="D492" i="17"/>
  <c r="D493" i="17"/>
  <c r="D494" i="17"/>
  <c r="D495" i="17"/>
  <c r="D496" i="17"/>
  <c r="D497" i="17"/>
  <c r="D498" i="17"/>
  <c r="D499" i="17"/>
  <c r="D500" i="17"/>
  <c r="D501" i="17"/>
  <c r="D502" i="17"/>
  <c r="D503" i="17"/>
  <c r="D504" i="17"/>
  <c r="D505" i="17"/>
  <c r="D506" i="17"/>
  <c r="D507" i="17"/>
  <c r="D508" i="17"/>
  <c r="D509" i="17"/>
  <c r="D510" i="17"/>
  <c r="D511" i="17"/>
  <c r="D512" i="17"/>
  <c r="D513" i="17"/>
  <c r="D514" i="17"/>
  <c r="D515" i="17"/>
  <c r="D516" i="17"/>
  <c r="D517" i="17"/>
  <c r="D518" i="17"/>
  <c r="D519" i="17"/>
  <c r="D520" i="17"/>
  <c r="D521" i="17"/>
  <c r="D522" i="17"/>
  <c r="D523" i="17"/>
  <c r="D524" i="17"/>
  <c r="D525" i="17"/>
  <c r="D526" i="17"/>
  <c r="D527" i="17"/>
  <c r="D528" i="17"/>
  <c r="D529" i="17"/>
  <c r="D530" i="17"/>
  <c r="D531" i="17"/>
  <c r="D532" i="17"/>
  <c r="D533" i="17"/>
  <c r="D534" i="17"/>
  <c r="D535" i="17"/>
  <c r="D536" i="17"/>
  <c r="D537" i="17"/>
  <c r="D538" i="17"/>
  <c r="D539" i="17"/>
  <c r="D540" i="17"/>
  <c r="D541" i="17"/>
  <c r="D542" i="17"/>
  <c r="D543" i="17"/>
  <c r="D544" i="17"/>
  <c r="D545" i="17"/>
  <c r="D546" i="17"/>
  <c r="D547" i="17"/>
  <c r="D548" i="17"/>
  <c r="D549" i="17"/>
  <c r="D550" i="17"/>
  <c r="D551" i="17"/>
  <c r="D552" i="17"/>
  <c r="D553" i="17"/>
  <c r="D554" i="17"/>
  <c r="D555" i="17"/>
  <c r="D556" i="17"/>
  <c r="D557" i="17"/>
  <c r="D558" i="17"/>
  <c r="D559" i="17"/>
  <c r="D560" i="17"/>
  <c r="D561" i="17"/>
  <c r="D562" i="17"/>
  <c r="D563" i="17"/>
  <c r="D564" i="17"/>
  <c r="D565" i="17"/>
  <c r="D566" i="17"/>
  <c r="D567" i="17"/>
  <c r="D568" i="17"/>
  <c r="D569" i="17"/>
  <c r="D570" i="17"/>
  <c r="D571" i="17"/>
  <c r="D572" i="17"/>
  <c r="D573" i="17"/>
  <c r="D574" i="17"/>
  <c r="D575" i="17"/>
  <c r="D576" i="17"/>
  <c r="D577" i="17"/>
  <c r="D578" i="17"/>
  <c r="D579" i="17"/>
  <c r="D580" i="17"/>
  <c r="D581" i="17"/>
  <c r="D582" i="17"/>
  <c r="D583" i="17"/>
  <c r="D584" i="17"/>
  <c r="D585" i="17"/>
  <c r="D586" i="17"/>
  <c r="D587" i="17"/>
  <c r="D588" i="17"/>
  <c r="D589" i="17"/>
  <c r="D590" i="17"/>
  <c r="D591" i="17"/>
  <c r="D592" i="17"/>
  <c r="D593" i="17"/>
  <c r="D594" i="17"/>
  <c r="D595" i="17"/>
  <c r="D596" i="17"/>
  <c r="D597" i="17"/>
  <c r="D598" i="17"/>
  <c r="D599" i="17"/>
  <c r="D600" i="17"/>
  <c r="D601" i="17"/>
  <c r="D602" i="17"/>
  <c r="D603" i="17"/>
  <c r="D604" i="17"/>
  <c r="D605" i="17"/>
  <c r="D606" i="17"/>
  <c r="D607" i="17"/>
  <c r="D608" i="17"/>
  <c r="D609" i="17"/>
  <c r="D610" i="17"/>
  <c r="D611" i="17"/>
  <c r="D612" i="17"/>
  <c r="D613" i="17"/>
  <c r="D614" i="17"/>
  <c r="D615" i="17"/>
  <c r="D616" i="17"/>
  <c r="D617" i="17"/>
  <c r="D618" i="17"/>
  <c r="D619" i="17"/>
  <c r="D620" i="17"/>
  <c r="D621" i="17"/>
  <c r="D622" i="17"/>
  <c r="D623" i="17"/>
  <c r="D624" i="17"/>
  <c r="D625" i="17"/>
  <c r="D626" i="17"/>
  <c r="D627" i="17"/>
  <c r="D628" i="17"/>
  <c r="D629" i="17"/>
  <c r="D630" i="17"/>
  <c r="D631" i="17"/>
  <c r="D632" i="17"/>
  <c r="D633" i="17"/>
  <c r="D634" i="17"/>
  <c r="D635" i="17"/>
  <c r="D636" i="17"/>
  <c r="D637" i="17"/>
  <c r="D638" i="17"/>
  <c r="D639" i="17"/>
  <c r="D640" i="17"/>
  <c r="D641" i="17"/>
  <c r="D642" i="17"/>
  <c r="D643" i="17"/>
  <c r="D644" i="17"/>
  <c r="D645" i="17"/>
  <c r="D646" i="17"/>
  <c r="D647" i="17"/>
  <c r="D648" i="17"/>
  <c r="D649" i="17"/>
  <c r="D650" i="17"/>
  <c r="D651" i="17"/>
  <c r="D652" i="17"/>
  <c r="D653" i="17"/>
  <c r="D654" i="17"/>
  <c r="D655" i="17"/>
  <c r="D656" i="17"/>
  <c r="D657" i="17"/>
  <c r="D658" i="17"/>
  <c r="D659" i="17"/>
  <c r="D660" i="17"/>
  <c r="D661" i="17"/>
  <c r="D662" i="17"/>
  <c r="D663" i="17"/>
  <c r="D664" i="17"/>
  <c r="D665" i="17"/>
  <c r="D666" i="17"/>
  <c r="D667" i="17"/>
  <c r="D668" i="17"/>
  <c r="D669" i="17"/>
  <c r="D670" i="17"/>
  <c r="D671" i="17"/>
  <c r="D672" i="17"/>
  <c r="D673" i="17"/>
  <c r="D674" i="17"/>
  <c r="D675" i="17"/>
  <c r="D676" i="17"/>
  <c r="D677" i="17"/>
  <c r="D678" i="17"/>
  <c r="D679" i="17"/>
  <c r="D680" i="17"/>
  <c r="D681" i="17"/>
  <c r="D682" i="17"/>
  <c r="D683" i="17"/>
  <c r="D684" i="17"/>
  <c r="D685" i="17"/>
  <c r="D686" i="17"/>
  <c r="D687" i="17"/>
  <c r="D688" i="17"/>
  <c r="D689" i="17"/>
  <c r="D690" i="17"/>
  <c r="D691" i="17"/>
  <c r="D692" i="17"/>
  <c r="D693" i="17"/>
  <c r="D694" i="17"/>
  <c r="D695" i="17"/>
  <c r="D696" i="17"/>
  <c r="D697" i="17"/>
  <c r="D698" i="17"/>
  <c r="D699" i="17"/>
  <c r="D700" i="17"/>
  <c r="D701" i="17"/>
  <c r="D702" i="17"/>
  <c r="D703" i="17"/>
  <c r="D704" i="17"/>
  <c r="D705" i="17"/>
  <c r="D706" i="17"/>
  <c r="D707" i="17"/>
  <c r="D708" i="17"/>
  <c r="D709" i="17"/>
  <c r="D710" i="17"/>
  <c r="D711" i="17"/>
  <c r="D712" i="17"/>
  <c r="D713" i="17"/>
  <c r="D714" i="17"/>
  <c r="D715" i="17"/>
  <c r="D716" i="17"/>
  <c r="D717" i="17"/>
  <c r="D718" i="17"/>
  <c r="D719" i="17"/>
  <c r="D720" i="17"/>
  <c r="D721" i="17"/>
  <c r="D722" i="17"/>
  <c r="D723" i="17"/>
  <c r="D724" i="17"/>
  <c r="D725" i="17"/>
  <c r="D726" i="17"/>
  <c r="D727" i="17"/>
  <c r="D728" i="17"/>
  <c r="D729" i="17"/>
  <c r="D730" i="17"/>
  <c r="D731" i="17"/>
  <c r="D732" i="17"/>
  <c r="D733" i="17"/>
  <c r="D734" i="17"/>
  <c r="D735" i="17"/>
  <c r="D736" i="17"/>
  <c r="D737" i="17"/>
  <c r="D738" i="17"/>
  <c r="D739" i="17"/>
  <c r="D740" i="17"/>
  <c r="D741" i="17"/>
  <c r="D2" i="17"/>
  <c r="Q679" i="17"/>
  <c r="Q657" i="17"/>
  <c r="Q648" i="17"/>
  <c r="Q641" i="17"/>
  <c r="Q638" i="17"/>
  <c r="Q633" i="17"/>
  <c r="Q628" i="17"/>
  <c r="Q627" i="17"/>
  <c r="Q624" i="17"/>
  <c r="Q615" i="17"/>
  <c r="Q613" i="17"/>
  <c r="Q601" i="17"/>
  <c r="Q596" i="17"/>
  <c r="Q595" i="17"/>
  <c r="Q593" i="17"/>
  <c r="Q591" i="17"/>
  <c r="Q585" i="17"/>
  <c r="Q584" i="17"/>
  <c r="Q583" i="17"/>
  <c r="Q581" i="17"/>
  <c r="Q580" i="17"/>
  <c r="Q579" i="17"/>
  <c r="Q577" i="17"/>
  <c r="Q575" i="17"/>
  <c r="Q574" i="17"/>
  <c r="Q573" i="17"/>
  <c r="Q572" i="17"/>
  <c r="Q571" i="17"/>
  <c r="Q569" i="17"/>
  <c r="Q566" i="17"/>
  <c r="Q564" i="17"/>
  <c r="Q563" i="17"/>
  <c r="Q560" i="17"/>
  <c r="Q558" i="17"/>
  <c r="Q557" i="17"/>
  <c r="Q556" i="17"/>
  <c r="Q532" i="17"/>
  <c r="Q503" i="17"/>
  <c r="Q497" i="17"/>
  <c r="Q489" i="17"/>
  <c r="Q482" i="17"/>
  <c r="Q476" i="17"/>
  <c r="Q474" i="17"/>
  <c r="Q453" i="17"/>
  <c r="Q443" i="17"/>
  <c r="Q441" i="17"/>
  <c r="Q438" i="17"/>
  <c r="Q431" i="17"/>
  <c r="Q430" i="17"/>
  <c r="Q415" i="17"/>
  <c r="Q413" i="17"/>
  <c r="Q412" i="17"/>
  <c r="Q406" i="17"/>
  <c r="Q399" i="17"/>
  <c r="Q397" i="17"/>
  <c r="Q388" i="17"/>
  <c r="Q384" i="17"/>
  <c r="Q380" i="17"/>
  <c r="Q278" i="17"/>
  <c r="Q277" i="17"/>
  <c r="Q276" i="17"/>
  <c r="Q275" i="17"/>
  <c r="Q274" i="17"/>
  <c r="Q273" i="17"/>
  <c r="Q272" i="17"/>
  <c r="Q271" i="17"/>
  <c r="Q270" i="17"/>
  <c r="Q269" i="17"/>
  <c r="Q268" i="17"/>
  <c r="Q267" i="17"/>
  <c r="Q266" i="17"/>
  <c r="Q265" i="17"/>
  <c r="Q264" i="17"/>
  <c r="Q263" i="17"/>
  <c r="Q262" i="17"/>
  <c r="Q261" i="17"/>
  <c r="Q260" i="17"/>
  <c r="Q259" i="17"/>
  <c r="Q258" i="17"/>
  <c r="Q257" i="17"/>
  <c r="Q256" i="17"/>
  <c r="Q255" i="17"/>
  <c r="Q254" i="17"/>
  <c r="Q253" i="17"/>
  <c r="Q252" i="17"/>
  <c r="Q251" i="17"/>
  <c r="Q250" i="17"/>
  <c r="Q249" i="17"/>
  <c r="Q248" i="17"/>
  <c r="Q247" i="17"/>
  <c r="Q246" i="17"/>
  <c r="Q245" i="17"/>
  <c r="Q244" i="17"/>
  <c r="Q243" i="17"/>
  <c r="Q242" i="17"/>
  <c r="Q241" i="17"/>
  <c r="Q240" i="17"/>
  <c r="Q239" i="17"/>
  <c r="Q238" i="17"/>
  <c r="Q237" i="17"/>
  <c r="Q236" i="17"/>
  <c r="Q235" i="17"/>
  <c r="Q234" i="17"/>
  <c r="Q233" i="17"/>
  <c r="Q232" i="17"/>
  <c r="Q231" i="17"/>
  <c r="Q230" i="17"/>
  <c r="Q229" i="17"/>
  <c r="Q228" i="17"/>
  <c r="Q227" i="17"/>
  <c r="Q226" i="17"/>
  <c r="Q225" i="17"/>
  <c r="Q224" i="17"/>
  <c r="Q223" i="17"/>
  <c r="Q222" i="17"/>
  <c r="Q221" i="17"/>
  <c r="Q220" i="17"/>
  <c r="Q219" i="17"/>
  <c r="Q218" i="17"/>
  <c r="Q217" i="17"/>
  <c r="Q216" i="17"/>
  <c r="Q215" i="17"/>
  <c r="Q214" i="17"/>
  <c r="Q213" i="17"/>
  <c r="Q212" i="17"/>
  <c r="Q211" i="17"/>
  <c r="Q210" i="17"/>
  <c r="Q209" i="17"/>
  <c r="Q208" i="17"/>
  <c r="Q207" i="17"/>
  <c r="Q206" i="17"/>
  <c r="Q205" i="17"/>
  <c r="Q204" i="17"/>
  <c r="Q203" i="17"/>
  <c r="Q202" i="17"/>
  <c r="Q201" i="17"/>
  <c r="Q200" i="17"/>
  <c r="Q199" i="17"/>
  <c r="Q198" i="17"/>
  <c r="Q197" i="17"/>
  <c r="Q196" i="17"/>
  <c r="R196" i="17" s="1"/>
  <c r="Q195" i="17"/>
  <c r="Q194" i="17"/>
  <c r="Q193" i="17"/>
  <c r="Q192" i="17"/>
  <c r="Q191" i="17"/>
  <c r="Q190" i="17"/>
  <c r="Q189" i="17"/>
  <c r="Q188" i="17"/>
  <c r="Q187" i="17"/>
  <c r="Q186" i="17"/>
  <c r="Q185" i="17"/>
  <c r="Q184" i="17"/>
  <c r="Q183" i="17"/>
  <c r="Q182" i="17"/>
  <c r="Q181" i="17"/>
  <c r="Q180" i="17"/>
  <c r="Q179" i="17"/>
  <c r="Q178" i="17"/>
  <c r="Q177" i="17"/>
  <c r="Q176" i="17"/>
  <c r="Q175" i="17"/>
  <c r="Q174" i="17"/>
  <c r="Q173" i="17"/>
  <c r="Q172" i="17"/>
  <c r="Q171" i="17"/>
  <c r="Q170" i="17"/>
  <c r="Q169" i="17"/>
  <c r="Q168" i="17"/>
  <c r="Q167" i="17"/>
  <c r="Q166" i="17"/>
  <c r="Q165" i="17"/>
  <c r="Q164" i="17"/>
  <c r="Q163" i="17"/>
  <c r="Q162" i="17"/>
  <c r="Q161" i="17"/>
  <c r="Q160" i="17"/>
  <c r="Q159" i="17"/>
  <c r="Q158" i="17"/>
  <c r="Q157" i="17"/>
  <c r="Q156" i="17"/>
  <c r="Q155" i="17"/>
  <c r="Q154" i="17"/>
  <c r="Q153" i="17"/>
  <c r="Q152" i="17"/>
  <c r="Q151" i="17"/>
  <c r="Q150" i="17"/>
  <c r="Q149" i="17"/>
  <c r="Q148" i="17"/>
  <c r="Q147" i="17"/>
  <c r="Q146" i="17"/>
  <c r="Q145" i="17"/>
  <c r="Q144" i="17"/>
  <c r="Q143" i="17"/>
  <c r="Q142" i="17"/>
  <c r="Q141" i="17"/>
  <c r="Q140" i="17"/>
  <c r="Q139" i="17"/>
  <c r="Q138" i="17"/>
  <c r="Q137" i="17"/>
  <c r="Q136" i="17"/>
  <c r="Q135" i="17"/>
  <c r="Q134" i="17"/>
  <c r="Q133" i="17"/>
  <c r="Q132" i="17"/>
  <c r="Q131" i="17"/>
  <c r="Q130" i="17"/>
  <c r="Q129" i="17"/>
  <c r="Q128" i="17"/>
  <c r="Q127" i="17"/>
  <c r="Q126" i="17"/>
  <c r="Q125" i="17"/>
  <c r="Q124" i="17"/>
  <c r="Q123" i="17"/>
  <c r="Q122" i="17"/>
  <c r="Q121" i="17"/>
  <c r="Q120" i="17"/>
  <c r="Q119" i="17"/>
  <c r="Q118" i="17"/>
  <c r="Q117" i="17"/>
  <c r="Q116" i="17"/>
  <c r="Q115" i="17"/>
  <c r="Q114" i="17"/>
  <c r="Q113" i="17"/>
  <c r="Q112" i="17"/>
  <c r="Q111" i="17"/>
  <c r="Q110" i="17"/>
  <c r="Q109" i="17"/>
  <c r="Q108" i="17"/>
  <c r="Q107" i="17"/>
  <c r="Q106" i="17"/>
  <c r="Q105" i="17"/>
  <c r="Q104" i="17"/>
  <c r="Q103" i="17"/>
  <c r="Q102" i="17"/>
  <c r="Q101" i="17"/>
  <c r="Q100" i="17"/>
  <c r="Q99" i="17"/>
  <c r="Q98" i="17"/>
  <c r="Q97" i="17"/>
  <c r="Q96" i="17"/>
  <c r="Q95" i="17"/>
  <c r="Q94" i="17"/>
  <c r="Q93" i="17"/>
  <c r="Q92" i="17"/>
  <c r="Q91" i="17"/>
  <c r="Q90" i="17"/>
  <c r="Q89" i="17"/>
  <c r="Q88" i="17"/>
  <c r="Q87" i="17"/>
  <c r="Q86" i="17"/>
  <c r="Q85" i="17"/>
  <c r="Q84" i="17"/>
  <c r="Q83" i="17"/>
  <c r="Q82" i="17"/>
  <c r="Q81" i="17"/>
  <c r="Q80" i="17"/>
  <c r="Q79" i="17"/>
  <c r="Q78" i="17"/>
  <c r="R78" i="17" s="1"/>
  <c r="Q77" i="17"/>
  <c r="Q76" i="17"/>
  <c r="Q75" i="17"/>
  <c r="Q74" i="17"/>
  <c r="Q73" i="17"/>
  <c r="Q72" i="17"/>
  <c r="Q71" i="17"/>
  <c r="Q70" i="17"/>
  <c r="Q69" i="17"/>
  <c r="Q68" i="17"/>
  <c r="Q67" i="17"/>
  <c r="R67" i="17" s="1"/>
  <c r="Q66" i="17"/>
  <c r="Q65" i="17"/>
  <c r="R65" i="17" s="1"/>
  <c r="Q64" i="17"/>
  <c r="R64" i="17" s="1"/>
  <c r="Q63" i="17"/>
  <c r="Q62" i="17"/>
  <c r="Q61" i="17"/>
  <c r="Q60" i="17"/>
  <c r="Q59" i="17"/>
  <c r="Q58" i="17"/>
  <c r="Q57" i="17"/>
  <c r="Q56" i="17"/>
  <c r="Q55" i="17"/>
  <c r="Q54" i="17"/>
  <c r="Q53" i="17"/>
  <c r="R53" i="17" s="1"/>
  <c r="Q52" i="17"/>
  <c r="R52" i="17" s="1"/>
  <c r="Q51" i="17"/>
  <c r="R51" i="17" s="1"/>
  <c r="Q50" i="17"/>
  <c r="R50" i="17" s="1"/>
  <c r="Q49" i="17"/>
  <c r="R49" i="17" s="1"/>
  <c r="Q48" i="17"/>
  <c r="R48" i="17" s="1"/>
  <c r="Q47" i="17"/>
  <c r="Q46" i="17"/>
  <c r="Q45" i="17"/>
  <c r="Q44" i="17"/>
  <c r="Q43" i="17"/>
  <c r="R43" i="17" s="1"/>
  <c r="Q42" i="17"/>
  <c r="Q41" i="17"/>
  <c r="Q40" i="17"/>
  <c r="R40" i="17" s="1"/>
  <c r="Q39" i="17"/>
  <c r="Q38" i="17"/>
  <c r="Q37" i="17"/>
  <c r="Q36" i="17"/>
  <c r="R36" i="17" s="1"/>
  <c r="Q35" i="17"/>
  <c r="R35" i="17" s="1"/>
  <c r="Q34" i="17"/>
  <c r="R34" i="17" s="1"/>
  <c r="Q33" i="17"/>
  <c r="R33" i="17" s="1"/>
  <c r="Q32" i="17"/>
  <c r="Q31" i="17"/>
  <c r="R31" i="17" s="1"/>
  <c r="Q30" i="17"/>
  <c r="R30" i="17" s="1"/>
  <c r="Q29" i="17"/>
  <c r="R29" i="17" s="1"/>
  <c r="Q28" i="17"/>
  <c r="R28" i="17" s="1"/>
  <c r="Q27" i="17"/>
  <c r="R27" i="17" s="1"/>
  <c r="Q26" i="17"/>
  <c r="R26" i="17" s="1"/>
  <c r="Q25" i="17"/>
  <c r="Q24" i="17"/>
  <c r="Q23" i="17"/>
  <c r="Q22" i="17"/>
  <c r="Q21" i="17"/>
  <c r="Q20" i="17"/>
  <c r="Q19" i="17"/>
  <c r="R19" i="17" s="1"/>
  <c r="Q18" i="17"/>
  <c r="R18" i="17" s="1"/>
  <c r="Q17" i="17"/>
  <c r="R17" i="17" s="1"/>
  <c r="Q16" i="17"/>
  <c r="Q15" i="17"/>
  <c r="Q14" i="17"/>
  <c r="Q13" i="17"/>
  <c r="Q12" i="17"/>
  <c r="Q11" i="17"/>
  <c r="Q10" i="17"/>
  <c r="R10" i="17" s="1"/>
  <c r="Q9" i="17"/>
  <c r="Q8" i="17"/>
  <c r="R8" i="17" s="1"/>
  <c r="Q7" i="17"/>
  <c r="R7" i="17" s="1"/>
  <c r="Q6" i="17"/>
  <c r="Q5" i="17"/>
  <c r="Q4" i="17"/>
  <c r="Q3" i="17"/>
  <c r="X3" i="16"/>
  <c r="X4" i="16"/>
  <c r="X5" i="16"/>
  <c r="X6" i="16"/>
  <c r="X7" i="16"/>
  <c r="X8" i="16"/>
  <c r="X9" i="16"/>
  <c r="X10" i="16"/>
  <c r="X11" i="16"/>
  <c r="X12" i="16"/>
  <c r="X13" i="16"/>
  <c r="X14" i="16"/>
  <c r="X15" i="16"/>
  <c r="X16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30" i="16"/>
  <c r="X31" i="16"/>
  <c r="X32" i="16"/>
  <c r="X33" i="16"/>
  <c r="X34" i="16"/>
  <c r="X35" i="16"/>
  <c r="X36" i="16"/>
  <c r="X37" i="16"/>
  <c r="X38" i="16"/>
  <c r="X39" i="16"/>
  <c r="X40" i="16"/>
  <c r="X41" i="16"/>
  <c r="X42" i="16"/>
  <c r="X43" i="16"/>
  <c r="X44" i="16"/>
  <c r="X45" i="16"/>
  <c r="X46" i="16"/>
  <c r="X47" i="16"/>
  <c r="X48" i="16"/>
  <c r="X49" i="16"/>
  <c r="X50" i="16"/>
  <c r="X51" i="16"/>
  <c r="X52" i="16"/>
  <c r="X53" i="16"/>
  <c r="X54" i="16"/>
  <c r="X55" i="16"/>
  <c r="X56" i="16"/>
  <c r="X57" i="16"/>
  <c r="X58" i="16"/>
  <c r="X59" i="16"/>
  <c r="X60" i="16"/>
  <c r="X61" i="16"/>
  <c r="X62" i="16"/>
  <c r="X63" i="16"/>
  <c r="X64" i="16"/>
  <c r="X65" i="16"/>
  <c r="X66" i="16"/>
  <c r="X67" i="16"/>
  <c r="X68" i="16"/>
  <c r="X69" i="16"/>
  <c r="X70" i="16"/>
  <c r="X71" i="16"/>
  <c r="X72" i="16"/>
  <c r="X73" i="16"/>
  <c r="X74" i="16"/>
  <c r="X75" i="16"/>
  <c r="X76" i="16"/>
  <c r="X77" i="16"/>
  <c r="X78" i="16"/>
  <c r="X79" i="16"/>
  <c r="X80" i="16"/>
  <c r="X81" i="16"/>
  <c r="X82" i="16"/>
  <c r="X83" i="16"/>
  <c r="X84" i="16"/>
  <c r="X85" i="16"/>
  <c r="X86" i="16"/>
  <c r="X87" i="16"/>
  <c r="X88" i="16"/>
  <c r="X89" i="16"/>
  <c r="X90" i="16"/>
  <c r="X91" i="16"/>
  <c r="X92" i="16"/>
  <c r="X93" i="16"/>
  <c r="X94" i="16"/>
  <c r="X95" i="16"/>
  <c r="X96" i="16"/>
  <c r="X97" i="16"/>
  <c r="X98" i="16"/>
  <c r="X99" i="16"/>
  <c r="X100" i="16"/>
  <c r="X101" i="16"/>
  <c r="X102" i="16"/>
  <c r="X103" i="16"/>
  <c r="X104" i="16"/>
  <c r="X105" i="16"/>
  <c r="X106" i="16"/>
  <c r="X107" i="16"/>
  <c r="X108" i="16"/>
  <c r="X109" i="16"/>
  <c r="X110" i="16"/>
  <c r="X111" i="16"/>
  <c r="X112" i="16"/>
  <c r="X113" i="16"/>
  <c r="X114" i="16"/>
  <c r="X115" i="16"/>
  <c r="X116" i="16"/>
  <c r="X117" i="16"/>
  <c r="X118" i="16"/>
  <c r="X119" i="16"/>
  <c r="X120" i="16"/>
  <c r="X121" i="16"/>
  <c r="X122" i="16"/>
  <c r="X123" i="16"/>
  <c r="X124" i="16"/>
  <c r="X125" i="16"/>
  <c r="X126" i="16"/>
  <c r="X127" i="16"/>
  <c r="X128" i="16"/>
  <c r="X129" i="16"/>
  <c r="X130" i="16"/>
  <c r="X131" i="16"/>
  <c r="X132" i="16"/>
  <c r="X133" i="16"/>
  <c r="X134" i="16"/>
  <c r="X135" i="16"/>
  <c r="X136" i="16"/>
  <c r="X137" i="16"/>
  <c r="X138" i="16"/>
  <c r="X139" i="16"/>
  <c r="X140" i="16"/>
  <c r="X141" i="16"/>
  <c r="X142" i="16"/>
  <c r="X143" i="16"/>
  <c r="X144" i="16"/>
  <c r="X145" i="16"/>
  <c r="X146" i="16"/>
  <c r="X147" i="16"/>
  <c r="X148" i="16"/>
  <c r="X149" i="16"/>
  <c r="X150" i="16"/>
  <c r="X151" i="16"/>
  <c r="X152" i="16"/>
  <c r="X153" i="16"/>
  <c r="X154" i="16"/>
  <c r="X155" i="16"/>
  <c r="X156" i="16"/>
  <c r="X157" i="16"/>
  <c r="X158" i="16"/>
  <c r="X159" i="16"/>
  <c r="X160" i="16"/>
  <c r="X161" i="16"/>
  <c r="X162" i="16"/>
  <c r="X163" i="16"/>
  <c r="X164" i="16"/>
  <c r="X165" i="16"/>
  <c r="X166" i="16"/>
  <c r="X167" i="16"/>
  <c r="X168" i="16"/>
  <c r="X169" i="16"/>
  <c r="X170" i="16"/>
  <c r="X171" i="16"/>
  <c r="X172" i="16"/>
  <c r="X173" i="16"/>
  <c r="X174" i="16"/>
  <c r="X175" i="16"/>
  <c r="X176" i="16"/>
  <c r="X177" i="16"/>
  <c r="X178" i="16"/>
  <c r="X179" i="16"/>
  <c r="X180" i="16"/>
  <c r="X181" i="16"/>
  <c r="X182" i="16"/>
  <c r="X183" i="16"/>
  <c r="X184" i="16"/>
  <c r="X185" i="16"/>
  <c r="X186" i="16"/>
  <c r="X187" i="16"/>
  <c r="X188" i="16"/>
  <c r="X189" i="16"/>
  <c r="X190" i="16"/>
  <c r="X191" i="16"/>
  <c r="X192" i="16"/>
  <c r="X193" i="16"/>
  <c r="X194" i="16"/>
  <c r="X195" i="16"/>
  <c r="X196" i="16"/>
  <c r="X197" i="16"/>
  <c r="X198" i="16"/>
  <c r="X199" i="16"/>
  <c r="X200" i="16"/>
  <c r="X201" i="16"/>
  <c r="X202" i="16"/>
  <c r="X203" i="16"/>
  <c r="X204" i="16"/>
  <c r="X205" i="16"/>
  <c r="X206" i="16"/>
  <c r="X207" i="16"/>
  <c r="X208" i="16"/>
  <c r="X209" i="16"/>
  <c r="X210" i="16"/>
  <c r="X211" i="16"/>
  <c r="X212" i="16"/>
  <c r="X213" i="16"/>
  <c r="X214" i="16"/>
  <c r="X215" i="16"/>
  <c r="X216" i="16"/>
  <c r="X217" i="16"/>
  <c r="X218" i="16"/>
  <c r="X219" i="16"/>
  <c r="X220" i="16"/>
  <c r="X221" i="16"/>
  <c r="X222" i="16"/>
  <c r="X223" i="16"/>
  <c r="X224" i="16"/>
  <c r="X225" i="16"/>
  <c r="X226" i="16"/>
  <c r="X227" i="16"/>
  <c r="X228" i="16"/>
  <c r="X229" i="16"/>
  <c r="X230" i="16"/>
  <c r="X231" i="16"/>
  <c r="X232" i="16"/>
  <c r="X233" i="16"/>
  <c r="X234" i="16"/>
  <c r="X235" i="16"/>
  <c r="X236" i="16"/>
  <c r="X237" i="16"/>
  <c r="X238" i="16"/>
  <c r="X239" i="16"/>
  <c r="X240" i="16"/>
  <c r="X241" i="16"/>
  <c r="X242" i="16"/>
  <c r="X243" i="16"/>
  <c r="X244" i="16"/>
  <c r="X245" i="16"/>
  <c r="X246" i="16"/>
  <c r="X247" i="16"/>
  <c r="X248" i="16"/>
  <c r="X249" i="16"/>
  <c r="X250" i="16"/>
  <c r="X251" i="16"/>
  <c r="X252" i="16"/>
  <c r="X253" i="16"/>
  <c r="X254" i="16"/>
  <c r="X255" i="16"/>
  <c r="X256" i="16"/>
  <c r="X257" i="16"/>
  <c r="X258" i="16"/>
  <c r="X259" i="16"/>
  <c r="X260" i="16"/>
  <c r="X261" i="16"/>
  <c r="X262" i="16"/>
  <c r="X263" i="16"/>
  <c r="X264" i="16"/>
  <c r="X265" i="16"/>
  <c r="X266" i="16"/>
  <c r="X267" i="16"/>
  <c r="X268" i="16"/>
  <c r="X269" i="16"/>
  <c r="X270" i="16"/>
  <c r="X271" i="16"/>
  <c r="X272" i="16"/>
  <c r="X273" i="16"/>
  <c r="X274" i="16"/>
  <c r="X275" i="16"/>
  <c r="X276" i="16"/>
  <c r="X277" i="16"/>
  <c r="X278" i="16"/>
  <c r="X279" i="16"/>
  <c r="X280" i="16"/>
  <c r="X281" i="16"/>
  <c r="X282" i="16"/>
  <c r="X283" i="16"/>
  <c r="X284" i="16"/>
  <c r="X285" i="16"/>
  <c r="X2" i="16"/>
  <c r="O286" i="16"/>
  <c r="N287" i="10"/>
  <c r="E3" i="14"/>
  <c r="E4" i="14"/>
  <c r="E5" i="14"/>
  <c r="E6" i="14"/>
  <c r="E7" i="14"/>
  <c r="E8" i="14"/>
  <c r="E9" i="14"/>
  <c r="E10" i="14"/>
  <c r="E2" i="14"/>
  <c r="D3" i="14"/>
  <c r="D4" i="14"/>
  <c r="D5" i="14"/>
  <c r="D6" i="14"/>
  <c r="D7" i="14"/>
  <c r="D8" i="14"/>
  <c r="D9" i="14"/>
  <c r="D10" i="14"/>
  <c r="D2" i="14"/>
  <c r="C2" i="14"/>
  <c r="C3" i="14"/>
  <c r="C4" i="14"/>
  <c r="C5" i="14"/>
  <c r="C6" i="14"/>
  <c r="C7" i="14"/>
  <c r="C8" i="14"/>
  <c r="C9" i="14"/>
  <c r="C10" i="14"/>
  <c r="AM14" i="11"/>
  <c r="AN14" i="11"/>
  <c r="AO14" i="11"/>
  <c r="AP14" i="11"/>
  <c r="AQ14" i="11"/>
  <c r="AR14" i="11"/>
  <c r="Q14" i="8"/>
  <c r="Q15" i="8" s="1"/>
  <c r="AL14" i="11"/>
  <c r="AK14" i="11"/>
  <c r="AH14" i="11"/>
  <c r="AG14" i="11"/>
  <c r="AF14" i="11"/>
  <c r="AF15" i="11" s="1"/>
  <c r="AE14" i="11"/>
  <c r="AE15" i="11" s="1"/>
  <c r="AD14" i="11"/>
  <c r="AD15" i="11" s="1"/>
  <c r="AB14" i="11"/>
  <c r="AB15" i="11" s="1"/>
  <c r="AA14" i="11"/>
  <c r="AA15" i="11" s="1"/>
  <c r="Z14" i="11"/>
  <c r="Z15" i="11" s="1"/>
  <c r="Y14" i="11"/>
  <c r="Y15" i="11" s="1"/>
  <c r="X14" i="11"/>
  <c r="X15" i="11" s="1"/>
  <c r="W14" i="11"/>
  <c r="W15" i="11" s="1"/>
  <c r="V14" i="11"/>
  <c r="V15" i="11" s="1"/>
  <c r="U14" i="11"/>
  <c r="U15" i="11" s="1"/>
  <c r="T14" i="11"/>
  <c r="T15" i="11" s="1"/>
  <c r="S14" i="11"/>
  <c r="S15" i="11" s="1"/>
  <c r="R14" i="11"/>
  <c r="R15" i="11" s="1"/>
  <c r="P14" i="11"/>
  <c r="P15" i="11" s="1"/>
  <c r="N14" i="11"/>
  <c r="N15" i="11" s="1"/>
  <c r="M14" i="11"/>
  <c r="M15" i="11" s="1"/>
  <c r="L14" i="11"/>
  <c r="L15" i="11" s="1"/>
  <c r="K14" i="11"/>
  <c r="K15" i="11" s="1"/>
  <c r="J14" i="11"/>
  <c r="J15" i="11" s="1"/>
  <c r="I14" i="11"/>
  <c r="I15" i="11" s="1"/>
  <c r="H14" i="11"/>
  <c r="H15" i="11" s="1"/>
  <c r="G14" i="11"/>
  <c r="G15" i="11" s="1"/>
  <c r="F14" i="11"/>
  <c r="F15" i="11" s="1"/>
  <c r="E14" i="11"/>
  <c r="E15" i="11" s="1"/>
  <c r="D14" i="11"/>
  <c r="D15" i="11" s="1"/>
  <c r="N286" i="10"/>
  <c r="AJ14" i="8"/>
  <c r="AJ15" i="8" s="1"/>
  <c r="AI14" i="8"/>
  <c r="AI15" i="8" s="1"/>
  <c r="AH14" i="8"/>
  <c r="AH15" i="8" s="1"/>
  <c r="AG14" i="8"/>
  <c r="AG15" i="8" s="1"/>
  <c r="AF14" i="8"/>
  <c r="AF15" i="8" s="1"/>
  <c r="AE14" i="8"/>
  <c r="AE15" i="8" s="1"/>
  <c r="AD14" i="8"/>
  <c r="AD15" i="8" s="1"/>
  <c r="AC14" i="8"/>
  <c r="AC15" i="8" s="1"/>
  <c r="AB14" i="8"/>
  <c r="AB15" i="8" s="1"/>
  <c r="Z14" i="8"/>
  <c r="Z15" i="8" s="1"/>
  <c r="Y14" i="8"/>
  <c r="Y15" i="8" s="1"/>
  <c r="X14" i="8"/>
  <c r="X15" i="8" s="1"/>
  <c r="W14" i="8"/>
  <c r="W15" i="8" s="1"/>
  <c r="V14" i="8"/>
  <c r="V15" i="8" s="1"/>
  <c r="U14" i="8"/>
  <c r="U15" i="8" s="1"/>
  <c r="T14" i="8"/>
  <c r="T15" i="8" s="1"/>
  <c r="S14" i="8"/>
  <c r="S15" i="8" s="1"/>
  <c r="R14" i="8"/>
  <c r="R15" i="8" s="1"/>
  <c r="P14" i="8"/>
  <c r="P15" i="8" s="1"/>
  <c r="O14" i="8"/>
  <c r="O15" i="8" s="1"/>
  <c r="N14" i="8"/>
  <c r="N15" i="8" s="1"/>
  <c r="M14" i="8"/>
  <c r="M15" i="8" s="1"/>
  <c r="L14" i="8"/>
  <c r="L15" i="8" s="1"/>
  <c r="K14" i="8"/>
  <c r="K15" i="8" s="1"/>
  <c r="J14" i="8"/>
  <c r="J15" i="8" s="1"/>
  <c r="I14" i="8"/>
  <c r="I15" i="8" s="1"/>
  <c r="H14" i="8"/>
  <c r="H15" i="8" s="1"/>
  <c r="G14" i="8"/>
  <c r="G15" i="8" s="1"/>
  <c r="F14" i="8"/>
  <c r="F15" i="8" s="1"/>
  <c r="E14" i="8"/>
  <c r="E15" i="8" s="1"/>
  <c r="D14" i="8"/>
  <c r="D15" i="8" s="1"/>
  <c r="AK14" i="7"/>
  <c r="AK15" i="7" s="1"/>
  <c r="AJ14" i="7"/>
  <c r="AJ15" i="7" s="1"/>
  <c r="AI14" i="7"/>
  <c r="AI15" i="7" s="1"/>
  <c r="AH14" i="7"/>
  <c r="AH15" i="7" s="1"/>
  <c r="AG14" i="7"/>
  <c r="AG15" i="7" s="1"/>
  <c r="AF14" i="7"/>
  <c r="AF15" i="7" s="1"/>
  <c r="AE14" i="7"/>
  <c r="AE15" i="7" s="1"/>
  <c r="AD14" i="7"/>
  <c r="AD15" i="7" s="1"/>
  <c r="AC14" i="7"/>
  <c r="AC15" i="7" s="1"/>
  <c r="AA14" i="7"/>
  <c r="AA15" i="7" s="1"/>
  <c r="Z14" i="7"/>
  <c r="Z15" i="7" s="1"/>
  <c r="Y14" i="7"/>
  <c r="Y15" i="7" s="1"/>
  <c r="X14" i="7"/>
  <c r="X15" i="7" s="1"/>
  <c r="W14" i="7"/>
  <c r="W15" i="7" s="1"/>
  <c r="V14" i="7"/>
  <c r="V15" i="7" s="1"/>
  <c r="U14" i="7"/>
  <c r="U15" i="7" s="1"/>
  <c r="T14" i="7"/>
  <c r="T15" i="7" s="1"/>
  <c r="R14" i="7"/>
  <c r="R15" i="7" s="1"/>
  <c r="Q14" i="7"/>
  <c r="Q15" i="7" s="1"/>
  <c r="P14" i="7"/>
  <c r="P15" i="7" s="1"/>
  <c r="O14" i="7"/>
  <c r="O15" i="7" s="1"/>
  <c r="N15" i="7"/>
  <c r="M14" i="7"/>
  <c r="M15" i="7" s="1"/>
  <c r="L14" i="7"/>
  <c r="L15" i="7" s="1"/>
  <c r="K14" i="7"/>
  <c r="K15" i="7" s="1"/>
  <c r="J14" i="7"/>
  <c r="J15" i="7" s="1"/>
  <c r="I14" i="7"/>
  <c r="I15" i="7" s="1"/>
  <c r="H14" i="7"/>
  <c r="H15" i="7" s="1"/>
  <c r="G14" i="7"/>
  <c r="G15" i="7" s="1"/>
  <c r="F14" i="7"/>
  <c r="F15" i="7" s="1"/>
  <c r="E14" i="7"/>
  <c r="E15" i="7" s="1"/>
  <c r="D14" i="7"/>
  <c r="D15" i="7" s="1"/>
  <c r="AC15" i="4"/>
  <c r="AD15" i="4"/>
  <c r="AE15" i="4"/>
  <c r="AF15" i="4"/>
  <c r="AG15" i="4"/>
  <c r="AH15" i="4"/>
  <c r="AI15" i="4"/>
  <c r="AB15" i="4"/>
  <c r="H15" i="4"/>
  <c r="E15" i="4"/>
  <c r="F15" i="4"/>
  <c r="G15" i="4"/>
  <c r="D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D14" i="4"/>
  <c r="I75" i="20" l="1"/>
  <c r="P357" i="19"/>
  <c r="P8" i="19"/>
  <c r="P16" i="19"/>
  <c r="P337" i="19"/>
  <c r="P237" i="19"/>
  <c r="P77" i="19"/>
  <c r="P347" i="19"/>
  <c r="P327" i="19"/>
  <c r="P227" i="19"/>
  <c r="P257" i="19"/>
  <c r="P417" i="19"/>
  <c r="P317" i="19"/>
  <c r="P217" i="19"/>
  <c r="P157" i="19"/>
  <c r="P147" i="19"/>
  <c r="P10" i="19"/>
  <c r="P407" i="19"/>
  <c r="P307" i="19"/>
  <c r="P207" i="19"/>
  <c r="P247" i="19"/>
  <c r="P6" i="19"/>
  <c r="P397" i="19"/>
  <c r="P297" i="19"/>
  <c r="P197" i="19"/>
  <c r="P387" i="19"/>
  <c r="P287" i="19"/>
  <c r="P7" i="19"/>
  <c r="P97" i="19"/>
  <c r="P47" i="19"/>
  <c r="P17" i="19"/>
  <c r="P67" i="19"/>
  <c r="P107" i="19"/>
  <c r="P137" i="19"/>
  <c r="P27" i="19"/>
  <c r="P57" i="19"/>
  <c r="P87" i="19"/>
  <c r="P117" i="19"/>
  <c r="P37" i="19"/>
  <c r="P127" i="19"/>
  <c r="P277" i="19"/>
  <c r="P177" i="19"/>
  <c r="P377" i="19"/>
  <c r="P367" i="19"/>
  <c r="P267" i="19"/>
  <c r="P167" i="19"/>
  <c r="P415" i="19"/>
  <c r="P405" i="19"/>
  <c r="P395" i="19"/>
  <c r="P385" i="19"/>
  <c r="P375" i="19"/>
  <c r="P365" i="19"/>
  <c r="P355" i="19"/>
  <c r="P345" i="19"/>
  <c r="P335" i="19"/>
  <c r="P325" i="19"/>
  <c r="P315" i="19"/>
  <c r="P305" i="19"/>
  <c r="P295" i="19"/>
  <c r="P285" i="19"/>
  <c r="P275" i="19"/>
  <c r="P265" i="19"/>
  <c r="P255" i="19"/>
  <c r="P245" i="19"/>
  <c r="P235" i="19"/>
  <c r="P225" i="19"/>
  <c r="P215" i="19"/>
  <c r="P205" i="19"/>
  <c r="P195" i="19"/>
  <c r="P185" i="19"/>
  <c r="P175" i="19"/>
  <c r="P165" i="19"/>
  <c r="P155" i="19"/>
  <c r="P145" i="19"/>
  <c r="P135" i="19"/>
  <c r="P125" i="19"/>
  <c r="P115" i="19"/>
  <c r="P105" i="19"/>
  <c r="P95" i="19"/>
  <c r="P85" i="19"/>
  <c r="P75" i="19"/>
  <c r="P65" i="19"/>
  <c r="P55" i="19"/>
  <c r="P45" i="19"/>
  <c r="P35" i="19"/>
  <c r="P25" i="19"/>
  <c r="P15" i="19"/>
  <c r="P5" i="19"/>
  <c r="P414" i="19"/>
  <c r="P404" i="19"/>
  <c r="P394" i="19"/>
  <c r="P384" i="19"/>
  <c r="P374" i="19"/>
  <c r="P364" i="19"/>
  <c r="P354" i="19"/>
  <c r="P344" i="19"/>
  <c r="P334" i="19"/>
  <c r="P324" i="19"/>
  <c r="P314" i="19"/>
  <c r="P304" i="19"/>
  <c r="P294" i="19"/>
  <c r="P284" i="19"/>
  <c r="P274" i="19"/>
  <c r="P264" i="19"/>
  <c r="P254" i="19"/>
  <c r="P244" i="19"/>
  <c r="P234" i="19"/>
  <c r="P224" i="19"/>
  <c r="P214" i="19"/>
  <c r="P204" i="19"/>
  <c r="P194" i="19"/>
  <c r="P184" i="19"/>
  <c r="P174" i="19"/>
  <c r="P164" i="19"/>
  <c r="P154" i="19"/>
  <c r="P144" i="19"/>
  <c r="P134" i="19"/>
  <c r="P124" i="19"/>
  <c r="P114" i="19"/>
  <c r="P104" i="19"/>
  <c r="P94" i="19"/>
  <c r="P84" i="19"/>
  <c r="P74" i="19"/>
  <c r="P64" i="19"/>
  <c r="P54" i="19"/>
  <c r="P44" i="19"/>
  <c r="P34" i="19"/>
  <c r="P24" i="19"/>
  <c r="P14" i="19"/>
  <c r="P4" i="19"/>
  <c r="P413" i="19"/>
  <c r="P403" i="19"/>
  <c r="P393" i="19"/>
  <c r="P383" i="19"/>
  <c r="P373" i="19"/>
  <c r="P363" i="19"/>
  <c r="P353" i="19"/>
  <c r="P343" i="19"/>
  <c r="P333" i="19"/>
  <c r="P323" i="19"/>
  <c r="P313" i="19"/>
  <c r="P303" i="19"/>
  <c r="P293" i="19"/>
  <c r="P283" i="19"/>
  <c r="P273" i="19"/>
  <c r="P263" i="19"/>
  <c r="P253" i="19"/>
  <c r="P243" i="19"/>
  <c r="P233" i="19"/>
  <c r="P223" i="19"/>
  <c r="P213" i="19"/>
  <c r="P203" i="19"/>
  <c r="P193" i="19"/>
  <c r="P183" i="19"/>
  <c r="P173" i="19"/>
  <c r="P163" i="19"/>
  <c r="P153" i="19"/>
  <c r="P143" i="19"/>
  <c r="P133" i="19"/>
  <c r="P123" i="19"/>
  <c r="P113" i="19"/>
  <c r="P103" i="19"/>
  <c r="P93" i="19"/>
  <c r="P83" i="19"/>
  <c r="P73" i="19"/>
  <c r="P63" i="19"/>
  <c r="P53" i="19"/>
  <c r="P43" i="19"/>
  <c r="P33" i="19"/>
  <c r="P23" i="19"/>
  <c r="P13" i="19"/>
  <c r="P3" i="19"/>
  <c r="P412" i="19"/>
  <c r="P402" i="19"/>
  <c r="P392" i="19"/>
  <c r="P382" i="19"/>
  <c r="P372" i="19"/>
  <c r="P362" i="19"/>
  <c r="P352" i="19"/>
  <c r="P342" i="19"/>
  <c r="P332" i="19"/>
  <c r="P322" i="19"/>
  <c r="P312" i="19"/>
  <c r="P302" i="19"/>
  <c r="P292" i="19"/>
  <c r="P282" i="19"/>
  <c r="P272" i="19"/>
  <c r="P262" i="19"/>
  <c r="P252" i="19"/>
  <c r="P242" i="19"/>
  <c r="P232" i="19"/>
  <c r="P222" i="19"/>
  <c r="P212" i="19"/>
  <c r="P202" i="19"/>
  <c r="P192" i="19"/>
  <c r="P182" i="19"/>
  <c r="P172" i="19"/>
  <c r="P162" i="19"/>
  <c r="P152" i="19"/>
  <c r="P142" i="19"/>
  <c r="P132" i="19"/>
  <c r="P122" i="19"/>
  <c r="P112" i="19"/>
  <c r="P102" i="19"/>
  <c r="P92" i="19"/>
  <c r="P82" i="19"/>
  <c r="P72" i="19"/>
  <c r="P62" i="19"/>
  <c r="P52" i="19"/>
  <c r="P42" i="19"/>
  <c r="P32" i="19"/>
  <c r="P22" i="19"/>
  <c r="P12" i="19"/>
  <c r="P2" i="19"/>
  <c r="P411" i="19"/>
  <c r="P401" i="19"/>
  <c r="P391" i="19"/>
  <c r="P381" i="19"/>
  <c r="P371" i="19"/>
  <c r="P361" i="19"/>
  <c r="P351" i="19"/>
  <c r="P341" i="19"/>
  <c r="P331" i="19"/>
  <c r="P321" i="19"/>
  <c r="P311" i="19"/>
  <c r="P301" i="19"/>
  <c r="P291" i="19"/>
  <c r="P281" i="19"/>
  <c r="P271" i="19"/>
  <c r="P261" i="19"/>
  <c r="P251" i="19"/>
  <c r="P241" i="19"/>
  <c r="P231" i="19"/>
  <c r="P221" i="19"/>
  <c r="P211" i="19"/>
  <c r="P201" i="19"/>
  <c r="P191" i="19"/>
  <c r="P181" i="19"/>
  <c r="P171" i="19"/>
  <c r="P161" i="19"/>
  <c r="P151" i="19"/>
  <c r="P141" i="19"/>
  <c r="P131" i="19"/>
  <c r="P121" i="19"/>
  <c r="P111" i="19"/>
  <c r="P101" i="19"/>
  <c r="P91" i="19"/>
  <c r="P81" i="19"/>
  <c r="P71" i="19"/>
  <c r="P61" i="19"/>
  <c r="P51" i="19"/>
  <c r="P41" i="19"/>
  <c r="P31" i="19"/>
  <c r="P21" i="19"/>
  <c r="P11" i="19"/>
  <c r="P420" i="19"/>
  <c r="P410" i="19"/>
  <c r="P400" i="19"/>
  <c r="P390" i="19"/>
  <c r="P380" i="19"/>
  <c r="P370" i="19"/>
  <c r="P360" i="19"/>
  <c r="P350" i="19"/>
  <c r="P340" i="19"/>
  <c r="P330" i="19"/>
  <c r="P320" i="19"/>
  <c r="P310" i="19"/>
  <c r="P300" i="19"/>
  <c r="P290" i="19"/>
  <c r="P280" i="19"/>
  <c r="P270" i="19"/>
  <c r="P260" i="19"/>
  <c r="P250" i="19"/>
  <c r="P240" i="19"/>
  <c r="P230" i="19"/>
  <c r="P220" i="19"/>
  <c r="P210" i="19"/>
  <c r="P200" i="19"/>
  <c r="P190" i="19"/>
  <c r="P180" i="19"/>
  <c r="P170" i="19"/>
  <c r="P160" i="19"/>
  <c r="P150" i="19"/>
  <c r="P140" i="19"/>
  <c r="P130" i="19"/>
  <c r="P120" i="19"/>
  <c r="P110" i="19"/>
  <c r="P100" i="19"/>
  <c r="P90" i="19"/>
  <c r="P80" i="19"/>
  <c r="P70" i="19"/>
  <c r="P60" i="19"/>
  <c r="P50" i="19"/>
  <c r="P40" i="19"/>
  <c r="P30" i="19"/>
  <c r="P20" i="19"/>
  <c r="P419" i="19"/>
  <c r="P409" i="19"/>
  <c r="P399" i="19"/>
  <c r="P389" i="19"/>
  <c r="P379" i="19"/>
  <c r="P369" i="19"/>
  <c r="P359" i="19"/>
  <c r="P349" i="19"/>
  <c r="P339" i="19"/>
  <c r="P329" i="19"/>
  <c r="P319" i="19"/>
  <c r="P309" i="19"/>
  <c r="P299" i="19"/>
  <c r="P289" i="19"/>
  <c r="P279" i="19"/>
  <c r="P269" i="19"/>
  <c r="P259" i="19"/>
  <c r="P249" i="19"/>
  <c r="P239" i="19"/>
  <c r="P229" i="19"/>
  <c r="P219" i="19"/>
  <c r="P209" i="19"/>
  <c r="P199" i="19"/>
  <c r="P189" i="19"/>
  <c r="P179" i="19"/>
  <c r="P169" i="19"/>
  <c r="P159" i="19"/>
  <c r="P149" i="19"/>
  <c r="P139" i="19"/>
  <c r="P129" i="19"/>
  <c r="P119" i="19"/>
  <c r="P109" i="19"/>
  <c r="P99" i="19"/>
  <c r="P89" i="19"/>
  <c r="P79" i="19"/>
  <c r="P69" i="19"/>
  <c r="P59" i="19"/>
  <c r="P49" i="19"/>
  <c r="P39" i="19"/>
  <c r="P29" i="19"/>
  <c r="P19" i="19"/>
  <c r="P9" i="19"/>
  <c r="P418" i="19"/>
  <c r="P408" i="19"/>
  <c r="P398" i="19"/>
  <c r="P388" i="19"/>
  <c r="P378" i="19"/>
  <c r="P368" i="19"/>
  <c r="P358" i="19"/>
  <c r="P348" i="19"/>
  <c r="P338" i="19"/>
  <c r="P328" i="19"/>
  <c r="P318" i="19"/>
  <c r="P308" i="19"/>
  <c r="P298" i="19"/>
  <c r="P288" i="19"/>
  <c r="P278" i="19"/>
  <c r="P268" i="19"/>
  <c r="P258" i="19"/>
  <c r="P248" i="19"/>
  <c r="P238" i="19"/>
  <c r="P228" i="19"/>
  <c r="P218" i="19"/>
  <c r="P208" i="19"/>
  <c r="P198" i="19"/>
  <c r="P188" i="19"/>
  <c r="P178" i="19"/>
  <c r="P168" i="19"/>
  <c r="P158" i="19"/>
  <c r="P148" i="19"/>
  <c r="P138" i="19"/>
  <c r="P128" i="19"/>
  <c r="P118" i="19"/>
  <c r="P108" i="19"/>
  <c r="P98" i="19"/>
  <c r="P88" i="19"/>
  <c r="P78" i="19"/>
  <c r="P68" i="19"/>
  <c r="P58" i="19"/>
  <c r="P48" i="19"/>
  <c r="P38" i="19"/>
  <c r="P28" i="19"/>
  <c r="P18" i="19"/>
  <c r="P416" i="19"/>
  <c r="P406" i="19"/>
  <c r="P396" i="19"/>
  <c r="P386" i="19"/>
  <c r="P376" i="19"/>
  <c r="P366" i="19"/>
  <c r="P356" i="19"/>
  <c r="P346" i="19"/>
  <c r="P336" i="19"/>
  <c r="P326" i="19"/>
  <c r="P316" i="19"/>
  <c r="P306" i="19"/>
  <c r="P296" i="19"/>
  <c r="P286" i="19"/>
  <c r="P276" i="19"/>
  <c r="P266" i="19"/>
  <c r="P256" i="19"/>
  <c r="P246" i="19"/>
  <c r="P236" i="19"/>
  <c r="P226" i="19"/>
  <c r="P216" i="19"/>
  <c r="P206" i="19"/>
  <c r="P196" i="19"/>
  <c r="P186" i="19"/>
  <c r="P176" i="19"/>
  <c r="P166" i="19"/>
  <c r="P156" i="19"/>
  <c r="P146" i="19"/>
  <c r="P136" i="19"/>
  <c r="P126" i="19"/>
  <c r="P116" i="19"/>
  <c r="P106" i="19"/>
  <c r="P96" i="19"/>
  <c r="P86" i="19"/>
  <c r="P76" i="19"/>
  <c r="P66" i="19"/>
  <c r="P56" i="19"/>
  <c r="P46" i="19"/>
  <c r="P36" i="19"/>
  <c r="P26" i="19"/>
  <c r="F2" i="14"/>
  <c r="F10" i="14"/>
  <c r="F9" i="14"/>
  <c r="F8" i="14"/>
  <c r="F7" i="14"/>
  <c r="F6" i="14"/>
  <c r="F5" i="14"/>
  <c r="F4" i="14"/>
  <c r="F3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<sst xmlns="http://schemas.openxmlformats.org/spreadsheetml/2006/main" count="46106" uniqueCount="5305">
  <si>
    <t>Tuần 19</t>
  </si>
  <si>
    <t>Thứ 2</t>
  </si>
  <si>
    <t>Thứ 3</t>
  </si>
  <si>
    <t>Thứ 4</t>
  </si>
  <si>
    <t>Thứ 5</t>
  </si>
  <si>
    <t>Thứ 6</t>
  </si>
  <si>
    <t>Thứ 7</t>
  </si>
  <si>
    <t>Chủ nhật</t>
  </si>
  <si>
    <t>TT</t>
  </si>
  <si>
    <t>Phòng</t>
  </si>
  <si>
    <t>Số sv</t>
  </si>
  <si>
    <t>Kíp 1</t>
  </si>
  <si>
    <t>Kíp 2</t>
  </si>
  <si>
    <t>Kíp 3</t>
  </si>
  <si>
    <t>Kíp 4</t>
  </si>
  <si>
    <t>Kíp 5</t>
  </si>
  <si>
    <t>B1-106</t>
  </si>
  <si>
    <t>Học</t>
  </si>
  <si>
    <t>B1-107</t>
  </si>
  <si>
    <t>B1-108</t>
  </si>
  <si>
    <t>B1-109</t>
  </si>
  <si>
    <t>B1-202</t>
  </si>
  <si>
    <t>B1-203</t>
  </si>
  <si>
    <t>B1-204</t>
  </si>
  <si>
    <t>B1-206</t>
  </si>
  <si>
    <t>B1-207</t>
  </si>
  <si>
    <t>B1-208</t>
  </si>
  <si>
    <t>B1-209</t>
  </si>
  <si>
    <t>số lớp học</t>
  </si>
  <si>
    <t>Số sv thi</t>
  </si>
  <si>
    <t>Họ và tên</t>
  </si>
  <si>
    <t>Tuần 20</t>
  </si>
  <si>
    <t>Tuần 21</t>
  </si>
  <si>
    <t>Tuần 22</t>
  </si>
  <si>
    <t>Cộng</t>
  </si>
  <si>
    <t>Phạm Thanh Liêm</t>
  </si>
  <si>
    <t>Nguyễn An Hưng</t>
  </si>
  <si>
    <t>Hoàng Văn Hiệp</t>
  </si>
  <si>
    <t>Nguyễn Văn Hiên</t>
  </si>
  <si>
    <t>Phạm Quang Hiếu</t>
  </si>
  <si>
    <t>Phạm Thị Phương Giang</t>
  </si>
  <si>
    <t>Trần Thị Dung</t>
  </si>
  <si>
    <t>IT1130</t>
  </si>
  <si>
    <t>Nhữ Thị Nga</t>
  </si>
  <si>
    <t>Lê Thị Hoa</t>
  </si>
  <si>
    <t>Thứ 2 (19.01.2025)</t>
  </si>
  <si>
    <t>Thứ 3 (20.01.2025)</t>
  </si>
  <si>
    <t>Thứ 4 (21.01.2026)</t>
  </si>
  <si>
    <t>Thứ 5 (22.01.2026)</t>
  </si>
  <si>
    <t>Thứ 6 (23.01.2026)</t>
  </si>
  <si>
    <t>Thứ 7 (24.01.2026)</t>
  </si>
  <si>
    <t>Chủ nhật (25.01.2026)</t>
  </si>
  <si>
    <t>Kíp 1 - 7h00</t>
  </si>
  <si>
    <t>Kíp 2-9h30</t>
  </si>
  <si>
    <t>Kíp 3-12h30</t>
  </si>
  <si>
    <t>Kíp 4-15h00</t>
  </si>
  <si>
    <t>Kíp 5-17h30</t>
  </si>
  <si>
    <t>Kíp 5.2-18h45</t>
  </si>
  <si>
    <t>IT4409-161623-ThànhNT</t>
  </si>
  <si>
    <t>IT4409-162307-QuynhPH</t>
  </si>
  <si>
    <t>IT4082 - HoáTN</t>
  </si>
  <si>
    <t>IT3180 - 161626 - 190224</t>
  </si>
  <si>
    <t>IT3230-Trần Đức Duy</t>
  </si>
  <si>
    <t>IT3230</t>
  </si>
  <si>
    <t>IT3030E - HiepHV</t>
  </si>
  <si>
    <t>IT3030E - TrungNL</t>
  </si>
  <si>
    <t>IT3030 - GiangTDK</t>
  </si>
  <si>
    <t>IT4772 - HieuNK</t>
  </si>
  <si>
    <t>IT4172</t>
  </si>
  <si>
    <t>IT4043E</t>
  </si>
  <si>
    <t>IT3120E</t>
  </si>
  <si>
    <t>IT4735</t>
  </si>
  <si>
    <t>Thi TSA</t>
  </si>
  <si>
    <t>IT4409-162308-HuongTT</t>
  </si>
  <si>
    <t>IT4409-162307-HuongTT</t>
  </si>
  <si>
    <t>IT4082 - SơnNV</t>
  </si>
  <si>
    <t>IT3230-Nguyễn Quốc Tuấn</t>
  </si>
  <si>
    <t>IT3030E - TienND</t>
  </si>
  <si>
    <t>IT3030 - TienND</t>
  </si>
  <si>
    <t>IT4409-162308-LamDB</t>
  </si>
  <si>
    <t>IT4409-162307-LamDB</t>
  </si>
  <si>
    <t>IT4082 - TienND</t>
  </si>
  <si>
    <t>IT3180 - 162271</t>
  </si>
  <si>
    <t>IT3230-Lã Thế Vinh</t>
  </si>
  <si>
    <t>IT3030E - Trần Duy</t>
  </si>
  <si>
    <t>IT3030 - NguyênĐS</t>
  </si>
  <si>
    <t>IT4409-162308-HangNTT</t>
  </si>
  <si>
    <t>IT4409-162307-HangNTT</t>
  </si>
  <si>
    <t>IT4082</t>
  </si>
  <si>
    <t>IT3230-Dương Quang Huy</t>
  </si>
  <si>
    <t>IT3030E - ThuanDC</t>
  </si>
  <si>
    <t>IT3030 - LongNH</t>
  </si>
  <si>
    <t>IT4409</t>
  </si>
  <si>
    <t>IT3230-Nguyễn Tiến Thành</t>
  </si>
  <si>
    <t>IT4441</t>
  </si>
  <si>
    <t>IT3030 - QuangNH</t>
  </si>
  <si>
    <t>B1-203 -SD Laptop</t>
  </si>
  <si>
    <t>IT3180 - 162271 - SơnNV</t>
  </si>
  <si>
    <t>IT3230-Nguyễn Hồng Phương</t>
  </si>
  <si>
    <t>IT4409-161256</t>
  </si>
  <si>
    <t>IT4409-161255</t>
  </si>
  <si>
    <t>IT3180-162273-190231</t>
  </si>
  <si>
    <t>IT3180 - 162272 - AnhTL</t>
  </si>
  <si>
    <t>IT4930</t>
  </si>
  <si>
    <t>IT3230-Tạ Duy Hoàng</t>
  </si>
  <si>
    <t>IT3283E - HungPN</t>
  </si>
  <si>
    <t>IT3034 - HungPN</t>
  </si>
  <si>
    <t>IT3030 - HungPN</t>
  </si>
  <si>
    <t>IT3220-161472</t>
  </si>
  <si>
    <t>IT3180 - 162272 - TienND</t>
  </si>
  <si>
    <t>IT3230-Vũ Đức Vượng</t>
  </si>
  <si>
    <t>IT3283E - HuynhDH</t>
  </si>
  <si>
    <t>IT3030 - HiepHV</t>
  </si>
  <si>
    <t>IT3220-161470</t>
  </si>
  <si>
    <t>IT4082E</t>
  </si>
  <si>
    <t>IT3180-162273-190232</t>
  </si>
  <si>
    <t>IT3180 - 162272 - TrungBQ</t>
  </si>
  <si>
    <t>IT3230- Ngô Thành Trung</t>
  </si>
  <si>
    <t>IT4441E</t>
  </si>
  <si>
    <t>IT3283E - TienND</t>
  </si>
  <si>
    <t>IT3030 - TrungLĐ</t>
  </si>
  <si>
    <t>IT3220-161471</t>
  </si>
  <si>
    <t>IT4409-161256,161257-DuyTĐ</t>
  </si>
  <si>
    <t>IT4409-161257-ThànhNT</t>
  </si>
  <si>
    <t>IT3180 - 162272 - HoáTN</t>
  </si>
  <si>
    <t>IT3230-Nguyễn Hồng Quang</t>
  </si>
  <si>
    <t>IT3283E - HiepHV</t>
  </si>
  <si>
    <t>IT3030 - TrungNL</t>
  </si>
  <si>
    <t>IT3030 - HuyNông</t>
  </si>
  <si>
    <t>IT3230-161473</t>
  </si>
  <si>
    <t>IT4409-161257-ĐạtTT</t>
  </si>
  <si>
    <t>IT3180 - 162272</t>
  </si>
  <si>
    <t>IT3230-Nguyễn Duy Tùng</t>
  </si>
  <si>
    <t>IT3283E - LongNH</t>
  </si>
  <si>
    <t>IT3030 - TrungNThanh</t>
  </si>
  <si>
    <t>IT5425</t>
  </si>
  <si>
    <t>IT4681</t>
  </si>
  <si>
    <t>IT4735E</t>
  </si>
  <si>
    <t>Thi Hustack</t>
  </si>
  <si>
    <t>Trực kỹ thuật</t>
  </si>
  <si>
    <t>Tầng 1</t>
  </si>
  <si>
    <t>Tầng 2</t>
  </si>
  <si>
    <t>Trực phòng var</t>
  </si>
  <si>
    <t>Hoàng Việt Dũng</t>
  </si>
  <si>
    <t>Mã lớp thi</t>
  </si>
  <si>
    <t>Mã lớp học</t>
  </si>
  <si>
    <t>Mã học phần</t>
  </si>
  <si>
    <t>Tên học phần</t>
  </si>
  <si>
    <t>Ghi chú</t>
  </si>
  <si>
    <t>Nhóm</t>
  </si>
  <si>
    <t>Đợt</t>
  </si>
  <si>
    <t>Tuần</t>
  </si>
  <si>
    <t xml:space="preserve">Thứ </t>
  </si>
  <si>
    <t>Ngày thi</t>
  </si>
  <si>
    <t>Kíp thi</t>
  </si>
  <si>
    <t>SL</t>
  </si>
  <si>
    <t>Phòng thi</t>
  </si>
  <si>
    <t>Note</t>
  </si>
  <si>
    <t>Giảng viên</t>
  </si>
  <si>
    <t>IT1108</t>
  </si>
  <si>
    <t>Nhập môn lập trình</t>
  </si>
  <si>
    <t>**Tài năng KHMT-K70C</t>
  </si>
  <si>
    <t>CTTN-KHMT-K70</t>
  </si>
  <si>
    <t>AB</t>
  </si>
  <si>
    <t>T21</t>
  </si>
  <si>
    <t>Thứ hai</t>
  </si>
  <si>
    <t>Phòng máy_Trung tâm máy tính</t>
  </si>
  <si>
    <t>KH máy tính 01,02,03,04-K70C</t>
  </si>
  <si>
    <t>Khoa học máy tính 04-K70</t>
  </si>
  <si>
    <t>TC</t>
  </si>
  <si>
    <t>Khoa học máy tính 02-K70</t>
  </si>
  <si>
    <t>Khoa học máy tính 03-K70</t>
  </si>
  <si>
    <t>Khoa học máy tính 01-K70</t>
  </si>
  <si>
    <t>KH máy tính 05,06,07 - KT máy tính 05-K70S</t>
  </si>
  <si>
    <t>Khoa học máy tính 07-K70</t>
  </si>
  <si>
    <t>Khoa học máy tính 05-K70</t>
  </si>
  <si>
    <t>Kỹ thuật máy tính 05-K70</t>
  </si>
  <si>
    <t>Khoa học máy tính 06-K70</t>
  </si>
  <si>
    <t>KT máy tính 01,02,03,04-K70S</t>
  </si>
  <si>
    <t>Kỹ thuật máy tính 01-K70</t>
  </si>
  <si>
    <t>Kỹ thuật máy tính 04-K70</t>
  </si>
  <si>
    <t>Kỹ thuật máy tính 02-K70</t>
  </si>
  <si>
    <t>Kỹ thuật máy tính 03-K70</t>
  </si>
  <si>
    <t>IT1110E</t>
  </si>
  <si>
    <t>**CTTT KHDL 01,02-K70C</t>
  </si>
  <si>
    <t>CTTT Data Science &amp; AI 01-K70</t>
  </si>
  <si>
    <t>CTTT Data Science &amp; AI 02-K70</t>
  </si>
  <si>
    <t>**CTTT KHDL 03, ATKG-K70S</t>
  </si>
  <si>
    <t>CTTT An toàn không gian số 01-K70</t>
  </si>
  <si>
    <t>CTTT Data Science &amp; AI 03-K70</t>
  </si>
  <si>
    <t>IT1110Q</t>
  </si>
  <si>
    <t>Tin học đại cương</t>
  </si>
  <si>
    <t>[SIE]-ME-NUT-K69C</t>
  </si>
  <si>
    <t>Nhóm 1</t>
  </si>
  <si>
    <t>T22</t>
  </si>
  <si>
    <t>Kíp 1-5</t>
  </si>
  <si>
    <t>Nhóm 2</t>
  </si>
  <si>
    <t>Nhóm 3</t>
  </si>
  <si>
    <t>Ngoại ngữ-K69S</t>
  </si>
  <si>
    <t>Nhóm 4</t>
  </si>
  <si>
    <t>IT1140</t>
  </si>
  <si>
    <t>KT ôtô - CKĐL - Hàng không-K69S</t>
  </si>
  <si>
    <t>Nhóm 5</t>
  </si>
  <si>
    <t>KT ôtô - CKĐL - Hàng không-K69C</t>
  </si>
  <si>
    <t>Nhiệt-K69C</t>
  </si>
  <si>
    <t>KT Hóa học - Hóa học-K69S</t>
  </si>
  <si>
    <t>Nhóm 6</t>
  </si>
  <si>
    <t>Sinh học - Thực phẩm-K69C</t>
  </si>
  <si>
    <t>Nhóm 7</t>
  </si>
  <si>
    <t>Môi trường - QLTN Môi trường-K69S</t>
  </si>
  <si>
    <t>Vật liệu - Polyme - KT in-K69C</t>
  </si>
  <si>
    <t>Dệt may-K69S</t>
  </si>
  <si>
    <t>IT2000</t>
  </si>
  <si>
    <t>Nhập môn CNTT và TT</t>
  </si>
  <si>
    <t>KH máy tính - KT máy tính- Tài năng KHMT-K70C</t>
  </si>
  <si>
    <t>Thứ tư</t>
  </si>
  <si>
    <t>IT3011</t>
  </si>
  <si>
    <t>Cấu trúc dữ liệu và thuật toán</t>
  </si>
  <si>
    <t>**Tài năng Cơ điện tử-K68C</t>
  </si>
  <si>
    <t>(Blend)-Cơ điện tử-K68C</t>
  </si>
  <si>
    <t>Cơ điện tử-K68C</t>
  </si>
  <si>
    <t>IT3011E</t>
  </si>
  <si>
    <t>**CTTT-Cơ điện tử-K68S</t>
  </si>
  <si>
    <t>IT3011Q</t>
  </si>
  <si>
    <t>[SIE]-ME-LUH-K68S</t>
  </si>
  <si>
    <t>IT3030</t>
  </si>
  <si>
    <t>Kiến trúc máy tính</t>
  </si>
  <si>
    <t>**Tài năng KHMT-K69S</t>
  </si>
  <si>
    <t>T20</t>
  </si>
  <si>
    <t>KH máy tính - KT máy tính-K69C</t>
  </si>
  <si>
    <t>IT3030E</t>
  </si>
  <si>
    <t>**CTTT Data Science 01,02-K69S</t>
  </si>
  <si>
    <t>**CTTT Data Science 03, An toàn KG-K69S</t>
  </si>
  <si>
    <t>IT3034</t>
  </si>
  <si>
    <t>**PFIEV-Tin học công nghiệp-K67S</t>
  </si>
  <si>
    <t>IT3070</t>
  </si>
  <si>
    <t>Nguyên lý hệ điều hành</t>
  </si>
  <si>
    <t>KT máy tính-K69C</t>
  </si>
  <si>
    <t>Thứ sáu</t>
  </si>
  <si>
    <t>IT3080E</t>
  </si>
  <si>
    <t>Computer Networks</t>
  </si>
  <si>
    <t>**CTTT-Data Science, An toàn KG-K68C</t>
  </si>
  <si>
    <t>IT3100</t>
  </si>
  <si>
    <t>Lập trình hướng đối tượng</t>
  </si>
  <si>
    <t>KH máy tính-K69C</t>
  </si>
  <si>
    <t>KH máy tính-K69S</t>
  </si>
  <si>
    <t>KT máy tính-K69S</t>
  </si>
  <si>
    <t>IT3100E</t>
  </si>
  <si>
    <t>Object-oriented Programming</t>
  </si>
  <si>
    <t>IT3120</t>
  </si>
  <si>
    <t>Phân tích và thiết kế hệ thống</t>
  </si>
  <si>
    <t>KT máy tính - KH máy tính-K67C</t>
  </si>
  <si>
    <t>Phân tích thiết kế hệ thống</t>
  </si>
  <si>
    <t>**CTTT-Data Science &amp; AI K67 + An toàn KG K68-K67,K68S</t>
  </si>
  <si>
    <t>IT3160</t>
  </si>
  <si>
    <t>Nhập môn Trí tuệ nhân tạo</t>
  </si>
  <si>
    <t>**(Blend)-Tài năng KHMT-K68C</t>
  </si>
  <si>
    <t>(Blend)-KH máy tính - KT máy tính-K68C</t>
  </si>
  <si>
    <t>IT3160E</t>
  </si>
  <si>
    <t>Introduction to Artificial Intelligence</t>
  </si>
  <si>
    <t>**CTTT Data Science-K69S</t>
  </si>
  <si>
    <t>IT3170</t>
  </si>
  <si>
    <t>Thuật toán ứng dụng</t>
  </si>
  <si>
    <t>**Tài năng KHMT-K68C</t>
  </si>
  <si>
    <t>KH máy tính - KT máy tính-K68C</t>
  </si>
  <si>
    <t>KH máy tính - KT máy tính-K68S</t>
  </si>
  <si>
    <t>IT3180</t>
  </si>
  <si>
    <t>Nhập môn công nghệ phần mềm</t>
  </si>
  <si>
    <t>(Blend)-**Việt Pháp -K68S</t>
  </si>
  <si>
    <t>(Blend)-KH máy tính - KT máy tính-K68S</t>
  </si>
  <si>
    <t>kíp 3 xin chuyển kíp 4</t>
  </si>
  <si>
    <t>GiangVTH</t>
  </si>
  <si>
    <t>IT3190</t>
  </si>
  <si>
    <t>Nhập môn Học máy và khai phá dữ liệu</t>
  </si>
  <si>
    <t>KH máy tính-K68S</t>
  </si>
  <si>
    <t>KSCS-GenAI - Khối kiến thức ngành rộng</t>
  </si>
  <si>
    <t>IT3320E</t>
  </si>
  <si>
    <t>Introduction to Deep Learning</t>
  </si>
  <si>
    <t>Thứ ba</t>
  </si>
  <si>
    <t>IT4010E</t>
  </si>
  <si>
    <t>Nhập môn an toàn thông tin</t>
  </si>
  <si>
    <t>Big Data Storage and Processing</t>
  </si>
  <si>
    <t>**CTTT-Data Science &amp; AI-K67S</t>
  </si>
  <si>
    <t>Thứ năm</t>
  </si>
  <si>
    <t>IT4142E</t>
  </si>
  <si>
    <t>Introduction to Data Science</t>
  </si>
  <si>
    <t>**CTTT-Data Science-K68C</t>
  </si>
  <si>
    <t>Xử lý tín hiệu</t>
  </si>
  <si>
    <t>KT máy tính-K68C</t>
  </si>
  <si>
    <t>IT4210</t>
  </si>
  <si>
    <t>Hệ nhúng</t>
  </si>
  <si>
    <t>**Tài năng KHMT-K67S</t>
  </si>
  <si>
    <t>IT4244</t>
  </si>
  <si>
    <t>Quản trị dự án CNTT</t>
  </si>
  <si>
    <t>KH máy tính-K67C</t>
  </si>
  <si>
    <t>IT4263</t>
  </si>
  <si>
    <t>An ninh mạng</t>
  </si>
  <si>
    <t>KT máy tính-mô đun 2,3-K67S</t>
  </si>
  <si>
    <t>Công nghệ Web và dịch vụ trực tuyến</t>
  </si>
  <si>
    <t>**Việt Pháp-K67C</t>
  </si>
  <si>
    <t>KT máy tính - KH máy tính-K67S</t>
  </si>
  <si>
    <t>Giao diện và trải nghiệm người dùng</t>
  </si>
  <si>
    <t>KH máy tính-mô đun 1-K67C</t>
  </si>
  <si>
    <t>IT4490</t>
  </si>
  <si>
    <t>Thiết kế và xây dựng phần mềm</t>
  </si>
  <si>
    <t>**Việt Pháp -K67C</t>
  </si>
  <si>
    <t>IT4508E</t>
  </si>
  <si>
    <t>An toàn phần mềm</t>
  </si>
  <si>
    <t>**CTTT-An toàn KG-K67S</t>
  </si>
  <si>
    <t>IT4593</t>
  </si>
  <si>
    <t>Nhập môn kỹ thuật truyền thông</t>
  </si>
  <si>
    <t>IT4613</t>
  </si>
  <si>
    <t>Hệ gợi ý</t>
  </si>
  <si>
    <t>KH máy tính-mô đun 5-K67C</t>
  </si>
  <si>
    <t>IT4651</t>
  </si>
  <si>
    <t>Thiết kế và triển khai mạng IP</t>
  </si>
  <si>
    <t>KT máy tính-K67S</t>
  </si>
  <si>
    <t>IT4653</t>
  </si>
  <si>
    <t>Học sâu và ứng dụng</t>
  </si>
  <si>
    <t>**Tài năng KHMT-K67C</t>
  </si>
  <si>
    <t>KH máy tính-mô đun 3-K67C</t>
  </si>
  <si>
    <t>IT4663</t>
  </si>
  <si>
    <t>Tối ưu lập kế hoạch</t>
  </si>
  <si>
    <t>Tài năng KHMT-K67C</t>
  </si>
  <si>
    <t>Truyền thông đa phương tiện</t>
  </si>
  <si>
    <t>KT máy tính-mô đun 2-K67S</t>
  </si>
  <si>
    <t>IoT và ứng dụng</t>
  </si>
  <si>
    <t>KT máy tính-mô đun 1,2-K67S</t>
  </si>
  <si>
    <t>IT4772</t>
  </si>
  <si>
    <t>Xử lý ngôn ngữ tự nhiên</t>
  </si>
  <si>
    <t>IT4785</t>
  </si>
  <si>
    <t>Phát triển ứng dụng cho thiết bị di động</t>
  </si>
  <si>
    <t>KT máy tính-K67C</t>
  </si>
  <si>
    <t>IT4785E</t>
  </si>
  <si>
    <t>Mobile Programming</t>
  </si>
  <si>
    <t>**CTTT-An toàn KG-K68C</t>
  </si>
  <si>
    <t>IT4788</t>
  </si>
  <si>
    <t>Phát triển ứng dụng đa nền tảng</t>
  </si>
  <si>
    <t>KH máy tính-mô đun 4-K67C</t>
  </si>
  <si>
    <t>IT4815E</t>
  </si>
  <si>
    <t>Thiết kế và quản trị mạng IP</t>
  </si>
  <si>
    <t>IT4868E</t>
  </si>
  <si>
    <t>Web Mining</t>
  </si>
  <si>
    <t>Nhập môn Khoa học dữ liệu</t>
  </si>
  <si>
    <t>IT4931</t>
  </si>
  <si>
    <t>Lưu trữ và xử lý dữ liệu lớn</t>
  </si>
  <si>
    <t>KH máy tính-mô đun 3-K67S</t>
  </si>
  <si>
    <t>KT máy tính-mô đun 1-K67S</t>
  </si>
  <si>
    <t>IT5409</t>
  </si>
  <si>
    <t>Thị giác máy tính</t>
  </si>
  <si>
    <t>IT5411</t>
  </si>
  <si>
    <t>Truy vấn dữ liệu</t>
  </si>
  <si>
    <t>KSCS-GenAI - Kỳ chuẩn 1</t>
  </si>
  <si>
    <t>IT5412</t>
  </si>
  <si>
    <t>Mô hình ngôn ngữ lớn</t>
  </si>
  <si>
    <t>Quản trị dữ liệu và trực quan hóa</t>
  </si>
  <si>
    <t>*Việt Nhật K67C</t>
  </si>
  <si>
    <t>VN_ICT</t>
  </si>
  <si>
    <t>Phòng máy TTMT</t>
  </si>
  <si>
    <t>Phạm Huy Hoàng</t>
  </si>
  <si>
    <t>Elitech</t>
  </si>
  <si>
    <t>TCNTT</t>
  </si>
  <si>
    <t>Trường Công nghệ thông tin và Truyền thông</t>
  </si>
  <si>
    <t>D9-501</t>
  </si>
  <si>
    <t>Thi trên máy tính</t>
  </si>
  <si>
    <t>X</t>
  </si>
  <si>
    <t>*Việt Nhật K67-1C</t>
  </si>
  <si>
    <t>Kíp 3,5</t>
  </si>
  <si>
    <t>Lê Bá Vui</t>
  </si>
  <si>
    <t>*Việt Nhật K67-2C</t>
  </si>
  <si>
    <t>Nguyễn Đình Thuận</t>
  </si>
  <si>
    <t>Kíp 3,4</t>
  </si>
  <si>
    <t>Nguyễn Thị Kim Anh</t>
  </si>
  <si>
    <t>Thân Quang Khoát</t>
  </si>
  <si>
    <t>Đỗ Tiến Dũng</t>
  </si>
  <si>
    <t>*Việt Nhật K67 -1C</t>
  </si>
  <si>
    <t>Kíp 5.2</t>
  </si>
  <si>
    <t>Lê Hải Nam (0.4) - Nguyễn Sơn Tùng (0.6)</t>
  </si>
  <si>
    <t>D9-401</t>
  </si>
  <si>
    <t>Đỗ Bá Lâm, Phạm Huy Hoàng</t>
  </si>
  <si>
    <t>*Việt Nhật K67 -2C</t>
  </si>
  <si>
    <t>*Việt Nhật K67 -3C</t>
  </si>
  <si>
    <t>Trịnh Tuấn Đạt</t>
  </si>
  <si>
    <t>IT3323</t>
  </si>
  <si>
    <t>Xây dựng chương trình dịch</t>
  </si>
  <si>
    <t>*Việt Nhật K67-1(BT)C</t>
  </si>
  <si>
    <t>Trần Vĩnh Đức</t>
  </si>
  <si>
    <t>Phạm Đăng Hải</t>
  </si>
  <si>
    <t>*Việt Nhật K67-2(BT)S</t>
  </si>
  <si>
    <t>Nguyễn Thị Thu Hương</t>
  </si>
  <si>
    <t>*Việt Nhật K67-3(BT)S</t>
  </si>
  <si>
    <t>Trịnh Anh Phúc</t>
  </si>
  <si>
    <t>*Việt Nhật K67-4(BT)S</t>
  </si>
  <si>
    <t>*Việt Nhật K67-5(BT)S</t>
  </si>
  <si>
    <t>*Việt Nhật K67-6(BT)S</t>
  </si>
  <si>
    <t>*Việt Nhật K67-7(BT)S</t>
  </si>
  <si>
    <t>Nguyễn Hữu Đức</t>
  </si>
  <si>
    <t>*Việt Nhật K67-8(BT)S</t>
  </si>
  <si>
    <t>Dương Quang Huy</t>
  </si>
  <si>
    <t>*Việt Nhật K67-9(BT)S</t>
  </si>
  <si>
    <t>IoT and Applications</t>
  </si>
  <si>
    <t>*ICT K67S</t>
  </si>
  <si>
    <t>Phạm Ngọc Hưng</t>
  </si>
  <si>
    <t>D9-502</t>
  </si>
  <si>
    <t>IT4651E</t>
  </si>
  <si>
    <t>IP Network Design and Implementation</t>
  </si>
  <si>
    <t>D9-405</t>
  </si>
  <si>
    <t>User Interface and User Experience</t>
  </si>
  <si>
    <t>Trịnh Thành Trung</t>
  </si>
  <si>
    <t>Vũ Thị Hương Giang</t>
  </si>
  <si>
    <t>Tống Văn Vạn</t>
  </si>
  <si>
    <t>IT4015E</t>
  </si>
  <si>
    <t>Introduction to Information Security</t>
  </si>
  <si>
    <t>Nguyễn Khanh Văn</t>
  </si>
  <si>
    <t>Trần Quang Đức</t>
  </si>
  <si>
    <t>Kỹ thuật phần mềm</t>
  </si>
  <si>
    <t>(Blend)-*Việt Nhật K68-1S</t>
  </si>
  <si>
    <t xml:space="preserve">Thứ bảy </t>
  </si>
  <si>
    <t>Trần Nhật Hoá</t>
  </si>
  <si>
    <t>(Blend)-*Việt Nhật K68-2S</t>
  </si>
  <si>
    <t>Nguyễn Mạnh Tuấn</t>
  </si>
  <si>
    <t>IT4015</t>
  </si>
  <si>
    <t>*Việt Nhật K68-1S</t>
  </si>
  <si>
    <t>*Việt Nhật K68-2S</t>
  </si>
  <si>
    <t>*Việt Nhật K68-1C</t>
  </si>
  <si>
    <t>D9-306</t>
  </si>
  <si>
    <t>*Việt Nhật K68-2C</t>
  </si>
  <si>
    <t>Đỗ Tuấn Anh</t>
  </si>
  <si>
    <t>D7-201</t>
  </si>
  <si>
    <t>*Việt Nhật K68 + Việt Pháp K68-3S</t>
  </si>
  <si>
    <t>Ban Hà Bằng</t>
  </si>
  <si>
    <t>IT3080</t>
  </si>
  <si>
    <t>Mạng máy tính</t>
  </si>
  <si>
    <t>*Việt Nhật K68 -1S</t>
  </si>
  <si>
    <t>Kíp 3,4,5</t>
  </si>
  <si>
    <t>Bùi Trọng Tùng</t>
  </si>
  <si>
    <t>*Việt Nhật K68 -2S</t>
  </si>
  <si>
    <t>Nguyễn Khánh Phương</t>
  </si>
  <si>
    <t>Phạm Quang Dũng</t>
  </si>
  <si>
    <t>*Việt Nhật K68 -1C</t>
  </si>
  <si>
    <t>Kíp 4,5</t>
  </si>
  <si>
    <t>Trịnh Văn Chiến</t>
  </si>
  <si>
    <t>B1-405</t>
  </si>
  <si>
    <t>*Việt Nhật K68 -2C</t>
  </si>
  <si>
    <t>D3-101</t>
  </si>
  <si>
    <t>*ICT K68C</t>
  </si>
  <si>
    <t>D9-402</t>
  </si>
  <si>
    <t>Ngô Lam Trung</t>
  </si>
  <si>
    <t>Trần Nguyên Ngọc</t>
  </si>
  <si>
    <t>IT3292E</t>
  </si>
  <si>
    <t>Database</t>
  </si>
  <si>
    <t>Vũ Tuyết Trinh</t>
  </si>
  <si>
    <t>Software Engineering</t>
  </si>
  <si>
    <t>Bùi Thị Mai Anh (0.0) - Nguyễn Quốc Tuấn (1.0)</t>
  </si>
  <si>
    <t>IT4593E</t>
  </si>
  <si>
    <t>Introduction to Communication Enginieering</t>
  </si>
  <si>
    <t>Đỗ Công Thuần</t>
  </si>
  <si>
    <t>IT3420</t>
  </si>
  <si>
    <t>Điện tử cho CNTT</t>
  </si>
  <si>
    <t>*Việt Nhật K69 -1S</t>
  </si>
  <si>
    <t>*Việt Nhật K69 -2S</t>
  </si>
  <si>
    <t>Nguyễn Thị Thanh Nga</t>
  </si>
  <si>
    <t>*Việt Nhật K69 + Việt Pháp K69-3S</t>
  </si>
  <si>
    <t>Lê Xuân Thành</t>
  </si>
  <si>
    <t>Nguyễn Hồng Quang</t>
  </si>
  <si>
    <t>D9-305</t>
  </si>
  <si>
    <t>*Việt Nhật K69 -2C</t>
  </si>
  <si>
    <t>Đoàn Phong Tùng</t>
  </si>
  <si>
    <t>Nguyễn Tuấn Dũng</t>
  </si>
  <si>
    <t>(Blend)-*Việt Nhật K69 -2S</t>
  </si>
  <si>
    <t>Bùi Quốc Trung</t>
  </si>
  <si>
    <t>(Blend)-*Việt Nhật K69 + Việt Pháp K69-3S</t>
  </si>
  <si>
    <t>Đỗ Quốc Huy</t>
  </si>
  <si>
    <t>Lập trình C cơ bản</t>
  </si>
  <si>
    <t>*Việt Nhật K69 -1 S</t>
  </si>
  <si>
    <t>Kíp 1,2</t>
  </si>
  <si>
    <t>Lã Thế Vinh</t>
  </si>
  <si>
    <t>B1-208, B1-208</t>
  </si>
  <si>
    <t>*Việt Nhật K69 -3S</t>
  </si>
  <si>
    <t>Nguyễn Tiến Thành</t>
  </si>
  <si>
    <t>B1-207, B1-207</t>
  </si>
  <si>
    <t>*Việt Nhật K69 -4 S</t>
  </si>
  <si>
    <t>Nguyễn Quốc Tuấn</t>
  </si>
  <si>
    <t>B1-204, B1-204</t>
  </si>
  <si>
    <t>*Việt Nhật K69 -5 C</t>
  </si>
  <si>
    <t>Ngô Thành Trung</t>
  </si>
  <si>
    <t>*Việt Nhật K69 -6 S</t>
  </si>
  <si>
    <t>Nguyễn Hồng Phương</t>
  </si>
  <si>
    <t>*Việt Nhật K69 -7 C</t>
  </si>
  <si>
    <t>Vũ Đức Vượng</t>
  </si>
  <si>
    <t>*Việt Nhật K69 -8C</t>
  </si>
  <si>
    <t>Tạ Duy Hoàng</t>
  </si>
  <si>
    <t>*Việt Nhật K69 -9S</t>
  </si>
  <si>
    <t>*Việt Nhật K69 + Việt Pháp K69-10C</t>
  </si>
  <si>
    <t>IT3020E</t>
  </si>
  <si>
    <t>Discrete Math</t>
  </si>
  <si>
    <t>*ICT K69-1C</t>
  </si>
  <si>
    <t>*ICT K69-2C</t>
  </si>
  <si>
    <t>D9-407</t>
  </si>
  <si>
    <t>IT3170E</t>
  </si>
  <si>
    <t>Applied Algorithms</t>
  </si>
  <si>
    <t>IT3283E</t>
  </si>
  <si>
    <t>Computer Architecture</t>
  </si>
  <si>
    <t>*ICT K69C</t>
  </si>
  <si>
    <t>Nguyễn Kim Khánh</t>
  </si>
  <si>
    <t>IT3280E</t>
  </si>
  <si>
    <t>Assembly Language and Computer Architecture Lab</t>
  </si>
  <si>
    <t>Lê Bá Vui (0.5) - Nguyễn Đình Thuận (0.5)</t>
  </si>
  <si>
    <t>*ICT K69-2S</t>
  </si>
  <si>
    <t>Nguyễn Đức Tiến</t>
  </si>
  <si>
    <t>*ICT K69-3S</t>
  </si>
  <si>
    <t>*Việt Nhật K70, Việt Pháp K70C</t>
  </si>
  <si>
    <t>Việt Nhật 03-K70</t>
  </si>
  <si>
    <t>B1-504</t>
  </si>
  <si>
    <t>x</t>
  </si>
  <si>
    <t>Lê Thanh Hương</t>
  </si>
  <si>
    <t>Việt Nhật 01-K70</t>
  </si>
  <si>
    <t>Việt Nhật 02-K70</t>
  </si>
  <si>
    <t>CNTT Việt Pháp 01-K70</t>
  </si>
  <si>
    <t>Việt Nhật 04-K70</t>
  </si>
  <si>
    <t>*ICT, KHDL, An toàn KG số - K70S</t>
  </si>
  <si>
    <t>GD-B1</t>
  </si>
  <si>
    <t>ICT 02-K70</t>
  </si>
  <si>
    <t>ICT 01-K70</t>
  </si>
  <si>
    <t>IT3210</t>
  </si>
  <si>
    <t>C Programming Language</t>
  </si>
  <si>
    <t>*ICT K70S</t>
  </si>
  <si>
    <t>IT3220</t>
  </si>
  <si>
    <t>C Programming (Introduction)</t>
  </si>
  <si>
    <t>*ICT K70-1S</t>
  </si>
  <si>
    <t xml:space="preserve">Thứ sáu </t>
  </si>
  <si>
    <t>23/01/2026</t>
  </si>
  <si>
    <t>*ICT K70-2S</t>
  </si>
  <si>
    <t>*ICT K70-3S</t>
  </si>
  <si>
    <t>Cao Tuấn Dũng (0.8) - Nguyễn Tiến Thành (0.2)</t>
  </si>
  <si>
    <t>*ICT K70-4S</t>
  </si>
  <si>
    <t>Nguyễn Duy Hiệp</t>
  </si>
  <si>
    <t>*Việt Nhật K68 + Việt Pháp K69-3</t>
  </si>
  <si>
    <t>giữ nguyên</t>
  </si>
  <si>
    <t>Mã lớp QT</t>
  </si>
  <si>
    <t>primaryclassid</t>
  </si>
  <si>
    <t>Mã HP</t>
  </si>
  <si>
    <t>studyGroupID</t>
  </si>
  <si>
    <t xml:space="preserve">Tuần </t>
  </si>
  <si>
    <t>Thứ</t>
  </si>
  <si>
    <t>Ngày</t>
  </si>
  <si>
    <t>sessionid</t>
  </si>
  <si>
    <t>SLĐK</t>
  </si>
  <si>
    <t>Đợt mở</t>
  </si>
  <si>
    <t>ManagerID</t>
  </si>
  <si>
    <t>Mã_QL</t>
  </si>
  <si>
    <t>TeachUnitID</t>
  </si>
  <si>
    <t>Name</t>
  </si>
  <si>
    <t>Phòng học</t>
  </si>
  <si>
    <t>Khóa</t>
  </si>
  <si>
    <t>IT4062</t>
  </si>
  <si>
    <t>Thực hành Lập trình mạng</t>
  </si>
  <si>
    <t>*Việt Nhật K67-1S</t>
  </si>
  <si>
    <t>Theo lịch của giáo viên</t>
  </si>
  <si>
    <t>*Việt Nhật K67-3C</t>
  </si>
  <si>
    <t>*Việt Nhật K67-4S</t>
  </si>
  <si>
    <t>*Việt Nhật K67-5S</t>
  </si>
  <si>
    <t>*Việt Nhật K67-6S</t>
  </si>
  <si>
    <t>*Việt Nhật K67-7S</t>
  </si>
  <si>
    <t>*Việt Nhật K67-8S</t>
  </si>
  <si>
    <t>*Việt Nhật K67-9S</t>
  </si>
  <si>
    <t>IT3362</t>
  </si>
  <si>
    <t>Kỹ năng ITSS học bằng tiếng Nhật 1</t>
  </si>
  <si>
    <t>*Việt Nhật K67-3S</t>
  </si>
  <si>
    <t>*Việt Nhật K67-5C</t>
  </si>
  <si>
    <t>*Việt Nhật K67-6C</t>
  </si>
  <si>
    <t>*Việt Nhật K67-7C</t>
  </si>
  <si>
    <t>*Việt Nhật K67-8C</t>
  </si>
  <si>
    <t>JP2210</t>
  </si>
  <si>
    <t>Tiếng Nhật 7</t>
  </si>
  <si>
    <t>D9-402, D9-402</t>
  </si>
  <si>
    <t>*Việt Nhật K67-2S</t>
  </si>
  <si>
    <t>D9-403</t>
  </si>
  <si>
    <t>D9-403, D9-403</t>
  </si>
  <si>
    <t>D9-404</t>
  </si>
  <si>
    <t>D9-404, D9-404</t>
  </si>
  <si>
    <t>C7-114, C7-114</t>
  </si>
  <si>
    <t>D9-406</t>
  </si>
  <si>
    <t>C7-217, C7-217</t>
  </si>
  <si>
    <t>C7-219, C7-219</t>
  </si>
  <si>
    <t>D9-503</t>
  </si>
  <si>
    <t>D9-504</t>
  </si>
  <si>
    <t>*Việt Nhật K67-10S</t>
  </si>
  <si>
    <t>D9-505</t>
  </si>
  <si>
    <t>*Việt Nhật K67-11S</t>
  </si>
  <si>
    <t>D9-506</t>
  </si>
  <si>
    <t>*Việt Nhật K67-12S</t>
  </si>
  <si>
    <t>D9-507</t>
  </si>
  <si>
    <t>*Việt Nhật K67-13S</t>
  </si>
  <si>
    <t>D9-405, D9-405</t>
  </si>
  <si>
    <t>IT4542E</t>
  </si>
  <si>
    <t>Management of Software Development</t>
  </si>
  <si>
    <t>D3-5-201</t>
  </si>
  <si>
    <t>IT4062E</t>
  </si>
  <si>
    <t>Network Programming</t>
  </si>
  <si>
    <t>*ICT K67-1S</t>
  </si>
  <si>
    <t>*ICT K67-2S</t>
  </si>
  <si>
    <t>*ICT K67-3C</t>
  </si>
  <si>
    <t>JP3110</t>
  </si>
  <si>
    <t>Tiếng Nhật chuyên ngành 1</t>
  </si>
  <si>
    <t>*Việt Nhật K68-3S</t>
  </si>
  <si>
    <t>*Việt Nhật K68-4C</t>
  </si>
  <si>
    <t>*Việt Nhật K68-5S</t>
  </si>
  <si>
    <t>*Việt Nhật K68-6C</t>
  </si>
  <si>
    <t>*Việt Nhật K68-7S</t>
  </si>
  <si>
    <t>JP2126</t>
  </si>
  <si>
    <t>Tiếng Nhật 5</t>
  </si>
  <si>
    <t>D9-406, D9-406</t>
  </si>
  <si>
    <t>D9-407, D9-407</t>
  </si>
  <si>
    <t>D9-502, C7-114</t>
  </si>
  <si>
    <t>D9-507, D9-405</t>
  </si>
  <si>
    <t>*Việt Nhật K68-6S</t>
  </si>
  <si>
    <t>*Việt Nhật K68-8S</t>
  </si>
  <si>
    <t>*Việt Nhật K68-9S</t>
  </si>
  <si>
    <t>D9-503, C7-217</t>
  </si>
  <si>
    <t>*Việt Nhật K68-10S</t>
  </si>
  <si>
    <t>D9-504, C7-219</t>
  </si>
  <si>
    <t>SSH1151</t>
  </si>
  <si>
    <t>Tư tưởng Hồ Chí Minh</t>
  </si>
  <si>
    <t>KML</t>
  </si>
  <si>
    <t>Khoa Lý luận chính trị</t>
  </si>
  <si>
    <t>SSH1131</t>
  </si>
  <si>
    <t>Chủ nghĩa xã hội khoa học</t>
  </si>
  <si>
    <t>(Blend)-*ICT K68 + Việt Nhật K69C</t>
  </si>
  <si>
    <t>IT4210E</t>
  </si>
  <si>
    <t>Embedded Systems</t>
  </si>
  <si>
    <t>B1-402</t>
  </si>
  <si>
    <t>IT2030</t>
  </si>
  <si>
    <t>Technical Writing and Presentation</t>
  </si>
  <si>
    <t>*ICT K68-1C</t>
  </si>
  <si>
    <t>*ICT K68-2C</t>
  </si>
  <si>
    <t>IT3290E</t>
  </si>
  <si>
    <t>Database Lab</t>
  </si>
  <si>
    <t>*ICT K68-1S</t>
  </si>
  <si>
    <t>*ICT K68-2S</t>
  </si>
  <si>
    <t>*ICT K68-3C</t>
  </si>
  <si>
    <t>*Việt Nhật K69S</t>
  </si>
  <si>
    <t>JP1132</t>
  </si>
  <si>
    <t>Tiếng Nhật 3</t>
  </si>
  <si>
    <t>*Việt Nhật K69-1S</t>
  </si>
  <si>
    <t>D9-402, D9-402, D9-406</t>
  </si>
  <si>
    <t>*Việt Nhật K69-2S</t>
  </si>
  <si>
    <t>C7-114, C7-114, D9-407</t>
  </si>
  <si>
    <t>*Việt Nhật K69-5S</t>
  </si>
  <si>
    <t>*Việt Nhật K69-6S</t>
  </si>
  <si>
    <t>*Việt Nhật K69-7S</t>
  </si>
  <si>
    <t>C7-217, C7-217, D9-502</t>
  </si>
  <si>
    <t>*Việt Nhật K69-8S</t>
  </si>
  <si>
    <t>C7-219, C7-219, D9-503</t>
  </si>
  <si>
    <t>IT2140</t>
  </si>
  <si>
    <t>Điện tử cho CNTT lab</t>
  </si>
  <si>
    <t>*Việt Nhật K69 + Việt Pháp K69-1S</t>
  </si>
  <si>
    <t>*Việt Nhật K69 + Việt Pháp K69-2S</t>
  </si>
  <si>
    <t>*Việt Nhật K69 + Việt Pháp K69-4C</t>
  </si>
  <si>
    <t>*Việt Nhật K69 + Việt Pháp K69-5S</t>
  </si>
  <si>
    <t>*Việt Nhật K69 + Việt Pháp K69-6C</t>
  </si>
  <si>
    <t>*Việt Nhật K69 + Việt Pháp K69-7C</t>
  </si>
  <si>
    <t>*Việt Nhật K69 + Việt Pháp K69-8S</t>
  </si>
  <si>
    <t>IT4110</t>
  </si>
  <si>
    <t>Tính toán khoa học</t>
  </si>
  <si>
    <t>*Việt Nhật K69 -1C</t>
  </si>
  <si>
    <t>*Việt Nhật K69-1C</t>
  </si>
  <si>
    <t>D6-208</t>
  </si>
  <si>
    <t>*Việt Nhật K69-2C</t>
  </si>
  <si>
    <t>*Việt Nhật K69-3S</t>
  </si>
  <si>
    <t>*Việt Nhật K69-4S</t>
  </si>
  <si>
    <t>SSH1111</t>
  </si>
  <si>
    <t>Triết học Mác - Lênin</t>
  </si>
  <si>
    <t>*ICT K69-1(BT)C</t>
  </si>
  <si>
    <t>D9-402,403</t>
  </si>
  <si>
    <t>*ICT K69-2(BT)C</t>
  </si>
  <si>
    <t>D9-404,405</t>
  </si>
  <si>
    <t>MI2020E</t>
  </si>
  <si>
    <t>Probability and Statistics</t>
  </si>
  <si>
    <t>KTTD</t>
  </si>
  <si>
    <t>Khoa Toán - Tin</t>
  </si>
  <si>
    <t>*ICT K69-3(BT)C</t>
  </si>
  <si>
    <t>PH1120E</t>
  </si>
  <si>
    <t>Vật lý đại cương II</t>
  </si>
  <si>
    <t>VVLKT</t>
  </si>
  <si>
    <t>Khoa Vật lý kỹ thuật</t>
  </si>
  <si>
    <t>*Việt Nhật K70-1(BT)C</t>
  </si>
  <si>
    <t>*Việt Nhật K70-2(BT)C</t>
  </si>
  <si>
    <t>*Việt Nhật K70-3(BT)C</t>
  </si>
  <si>
    <t>*Việt Nhật K70-4(BT)C</t>
  </si>
  <si>
    <t>JP1110</t>
  </si>
  <si>
    <t>Tiếng Nhật 1</t>
  </si>
  <si>
    <t>*Việt Nhật K70 -1C</t>
  </si>
  <si>
    <t>C7-114, Online, C7-114, Online, C7-114</t>
  </si>
  <si>
    <t>*Việt Nhật K70 -2C</t>
  </si>
  <si>
    <t>C7-217, Online, C7-217, Online, C7-217</t>
  </si>
  <si>
    <t>*Việt Nhật K70 -3C</t>
  </si>
  <si>
    <t>C7-219, Online, C7-219, Online, C7-219</t>
  </si>
  <si>
    <t>*Việt Nhật K70 -4C</t>
  </si>
  <si>
    <t>D9-403, Online, D9-403, Online, D9-403</t>
  </si>
  <si>
    <t>*Việt Nhật K70 -5C</t>
  </si>
  <si>
    <t>D9-404, Online, D9-404, Online, D9-404</t>
  </si>
  <si>
    <t>*Việt Nhật K70 -6C</t>
  </si>
  <si>
    <t>*Việt Nhật K70 -7C</t>
  </si>
  <si>
    <t>*Việt Nhật K70 -8C</t>
  </si>
  <si>
    <t>*Việt Nhật K70 -9C</t>
  </si>
  <si>
    <t>*Việt Nhật K70 -10C</t>
  </si>
  <si>
    <t>MI1144</t>
  </si>
  <si>
    <t>Đại số tuyến tính</t>
  </si>
  <si>
    <t>*Việt Nhật K70-1(BT)S</t>
  </si>
  <si>
    <t>*Việt Nhật K70-2(BT)S</t>
  </si>
  <si>
    <t>*Việt Nhật K70-3(BT)S</t>
  </si>
  <si>
    <t>*Việt Nhật K70-4(BT)S</t>
  </si>
  <si>
    <t>*Việt Nhật K70-5(BT)S</t>
  </si>
  <si>
    <t>*Việt Nhật K70-6(BT)S</t>
  </si>
  <si>
    <t>MI1114</t>
  </si>
  <si>
    <t>Giải tích I</t>
  </si>
  <si>
    <t xml:space="preserve">Chủ nhật </t>
  </si>
  <si>
    <t>Kíp 2,3</t>
  </si>
  <si>
    <t>MI1144E</t>
  </si>
  <si>
    <t>Algebra</t>
  </si>
  <si>
    <t>*ICT K70-1(BT)S</t>
  </si>
  <si>
    <t>*ICT K70-2(BT)S</t>
  </si>
  <si>
    <t>*ICT K70-3(BT)S</t>
  </si>
  <si>
    <t>*ICT K70-4(BT)S</t>
  </si>
  <si>
    <t>MI1114E</t>
  </si>
  <si>
    <t>Caculus 1</t>
  </si>
  <si>
    <t>EM1170</t>
  </si>
  <si>
    <t>Pháp luật đại cương</t>
  </si>
  <si>
    <t>*ICT-K70S</t>
  </si>
  <si>
    <t>B</t>
  </si>
  <si>
    <t>KKTVQL</t>
  </si>
  <si>
    <t>Trường Kinh tế</t>
  </si>
  <si>
    <t>Thứ 2 (26.01.2026)</t>
  </si>
  <si>
    <t>Thứ 3 (27.01.2026)</t>
  </si>
  <si>
    <t>Thứ 4 (28.01.2026)</t>
  </si>
  <si>
    <t>Thứ 5 (29.01.2026)</t>
  </si>
  <si>
    <t>Thứ 6 (30.01.2026)</t>
  </si>
  <si>
    <t>IT3190 - HaiPV</t>
  </si>
  <si>
    <t>IT3080E (NgocTN)</t>
  </si>
  <si>
    <t>IT3080 (TungBT)</t>
  </si>
  <si>
    <t>IT3190 - QuangNH</t>
  </si>
  <si>
    <t>IT3080E (DongLV)</t>
  </si>
  <si>
    <t>IT3190 - TrinhVT</t>
  </si>
  <si>
    <t>IT5412 (LinhNV)</t>
  </si>
  <si>
    <t>IT3080E (DungHV)</t>
  </si>
  <si>
    <t>IT3190 - HieuNK</t>
  </si>
  <si>
    <t>IT5412 (NamLH)</t>
  </si>
  <si>
    <t>IT3190 - HauLD</t>
  </si>
  <si>
    <t>IT3080E (LinhTD)</t>
  </si>
  <si>
    <t>IT3190 - TuanDQ</t>
  </si>
  <si>
    <t>IT3190 - TrungTV</t>
  </si>
  <si>
    <t>IT1110E - TuanDQ</t>
  </si>
  <si>
    <t>IT3190 - Lương</t>
  </si>
  <si>
    <t>IT3080E (LyDTH)</t>
  </si>
  <si>
    <t>IT3190 - Duy</t>
  </si>
  <si>
    <t>IT3280E - TienND</t>
  </si>
  <si>
    <t>IT1110E - ThieuVV</t>
  </si>
  <si>
    <t>IT3190 - AnhNK</t>
  </si>
  <si>
    <t>IT5411-LTHuong</t>
  </si>
  <si>
    <t>IT4142E -Khoat</t>
  </si>
  <si>
    <t>IT1110E - AnhDT</t>
  </si>
  <si>
    <t>IT3190 - DungDT</t>
  </si>
  <si>
    <t>IT5411-NSTung</t>
  </si>
  <si>
    <t>IT4142E -TungND</t>
  </si>
  <si>
    <t>Hustack</t>
  </si>
  <si>
    <t>Thứ 2 (02.02.2026)</t>
  </si>
  <si>
    <t>Thứ 3 (3.2.2026)</t>
  </si>
  <si>
    <t>Thứ 4 (4.2.2026)</t>
  </si>
  <si>
    <t>Thứ 5 (5.2.2026)</t>
  </si>
  <si>
    <t>Thứ 6 (6.2.2026)</t>
  </si>
  <si>
    <t>Thứ 7 (7.2.2026)</t>
  </si>
  <si>
    <t>Chủ nhật (8.2.2026)</t>
  </si>
  <si>
    <t>Kíp 1.1</t>
  </si>
  <si>
    <t>Kíp 1.2</t>
  </si>
  <si>
    <t>Kíp 2.1</t>
  </si>
  <si>
    <t>Kíp 2.2</t>
  </si>
  <si>
    <t>Kíp 3 (12h20)</t>
  </si>
  <si>
    <t>Kíp 4 (15h00)</t>
  </si>
  <si>
    <t>Kíp 1 (7h)</t>
  </si>
  <si>
    <t>Kíp 2 (8h10)</t>
  </si>
  <si>
    <t>Kíp 3 (9h20)</t>
  </si>
  <si>
    <t>Kíp 4 (10h40)</t>
  </si>
  <si>
    <t>Kíp 5 (13h)</t>
  </si>
  <si>
    <t>Kíp 6 (14h10)</t>
  </si>
  <si>
    <t>Kíp 7 (15h20)</t>
  </si>
  <si>
    <t>Kíp 8 (16h30)</t>
  </si>
  <si>
    <t>IT3320E KhoatTQ</t>
  </si>
  <si>
    <t>IT3160-TDKhang</t>
  </si>
  <si>
    <t>IT2000 - ĐồngLV</t>
  </si>
  <si>
    <t>IT4244 - TrungLĐ</t>
  </si>
  <si>
    <t>IT1130-NgaNT</t>
  </si>
  <si>
    <t>756922</t>
  </si>
  <si>
    <t>756921</t>
  </si>
  <si>
    <t>IT3320E TungND</t>
  </si>
  <si>
    <t>IT4244 - TienND</t>
  </si>
  <si>
    <t>756924</t>
  </si>
  <si>
    <t>756923</t>
  </si>
  <si>
    <t>IT4244 - HaiNN</t>
  </si>
  <si>
    <t>756916</t>
  </si>
  <si>
    <t>756915</t>
  </si>
  <si>
    <t>IT4244 - TuanNM</t>
  </si>
  <si>
    <t>IT1130-DungTT</t>
  </si>
  <si>
    <t>756917</t>
  </si>
  <si>
    <t>IT3160-DTDung</t>
  </si>
  <si>
    <t>IT4613 - Linh NV</t>
  </si>
  <si>
    <t>756920</t>
  </si>
  <si>
    <t>IT3160-DQTuan</t>
  </si>
  <si>
    <t>IT4613 - NamLH</t>
  </si>
  <si>
    <t>756919</t>
  </si>
  <si>
    <t>IT3160 - LTHuong</t>
  </si>
  <si>
    <t>IT4613 - TungNS</t>
  </si>
  <si>
    <t>IT1130-HoaLT</t>
  </si>
  <si>
    <t>756918</t>
  </si>
  <si>
    <t>IT3160-dự phòng</t>
  </si>
  <si>
    <t>IT4613 - LuongHDV</t>
  </si>
  <si>
    <t>756925</t>
  </si>
  <si>
    <t>Sáng Chủ nhật 8.02.2026</t>
  </si>
  <si>
    <t>Chiều chủ nhật 8.02.2026</t>
  </si>
  <si>
    <t>Trần Thị Ding</t>
  </si>
  <si>
    <t>DANH SÁCH PHÂN CÔNG COI THI CÁC LỚP THI TRÊN PHÒNG MÁY TÍNH</t>
  </si>
  <si>
    <t>KỲ</t>
  </si>
  <si>
    <t>2025.1</t>
  </si>
  <si>
    <t>Giờ thi: Kíp 1 (7h00) - Kíp 2 (9h30) - Kíp 3 (12h30) - Kíp 4 (15h00) - Kíp 5 (17h30)</t>
  </si>
  <si>
    <t>STT</t>
  </si>
  <si>
    <t>Mã lớp</t>
  </si>
  <si>
    <t>Tuần thi</t>
  </si>
  <si>
    <t>Số lượng sinh viên/1 lớp thi</t>
  </si>
  <si>
    <t>Cán bộ coi thi</t>
  </si>
  <si>
    <t>Giảng viên phụ trách</t>
  </si>
  <si>
    <t>Trực cam</t>
  </si>
  <si>
    <t>Trần Duy</t>
  </si>
  <si>
    <t>Dương Hữu Huynh</t>
  </si>
  <si>
    <t>Nguyễn Hoàng Long</t>
  </si>
  <si>
    <t>Kiến trúc Máy tính</t>
  </si>
  <si>
    <t>Trần Đình Kiến Giang</t>
  </si>
  <si>
    <t>Đoàn Sỹ Nguyên</t>
  </si>
  <si>
    <t>Lê Đức Trung</t>
  </si>
  <si>
    <t>Nông Đức Huy</t>
  </si>
  <si>
    <t>Nhập môn CNTT&amp;TT</t>
  </si>
  <si>
    <t>Công nghệ web và dịch vụ trực tuyến</t>
  </si>
  <si>
    <t>19/1/2026</t>
  </si>
  <si>
    <t>Trần Thị Hương</t>
  </si>
  <si>
    <t>Đỗ Bá Lâm</t>
  </si>
  <si>
    <t>Nguyễn Thị Thúy Hằng</t>
  </si>
  <si>
    <t>Phạm Thị Ngọc Quỳnh</t>
  </si>
  <si>
    <t>19/1/2027</t>
  </si>
  <si>
    <t>Nguyễn Đức Anh</t>
  </si>
  <si>
    <t>Nguyễn Sơn Tùng - Lê Hải Nam</t>
  </si>
  <si>
    <t>19/1/2028</t>
  </si>
  <si>
    <t>Lê Hải Nam</t>
  </si>
  <si>
    <t>19/1/2029</t>
  </si>
  <si>
    <t>Nguyễn Sơn Tùng</t>
  </si>
  <si>
    <t>19/1/2030</t>
  </si>
  <si>
    <t>Trần Đức Duy</t>
  </si>
  <si>
    <t>19/1/2031</t>
  </si>
  <si>
    <t>19/1/2032</t>
  </si>
  <si>
    <t>19/1/2033</t>
  </si>
  <si>
    <t>Nguyễn Sơn Tùng - Lê Hải Nam - Trịnh Tuấn Đạt</t>
  </si>
  <si>
    <t>Nhập môn Công nghệ phần mềm</t>
  </si>
  <si>
    <t>Trần Nhật Hóa</t>
  </si>
  <si>
    <t>27/1/2026</t>
  </si>
  <si>
    <t>Lê Văn Đồng</t>
  </si>
  <si>
    <t>Nguyễn Quốc Khánh</t>
  </si>
  <si>
    <t>Introduction to Cryptography and Security</t>
  </si>
  <si>
    <t>Nguyễn Đức Toàn</t>
  </si>
  <si>
    <t>20/1/2026</t>
  </si>
  <si>
    <t>Kíp 3, 4</t>
  </si>
  <si>
    <t xml:space="preserve"> Vũ Đức Vượng</t>
  </si>
  <si>
    <t>Nguyễn Duy Tùng</t>
  </si>
  <si>
    <t>30/01/2026</t>
  </si>
  <si>
    <t>190145/190146</t>
  </si>
  <si>
    <t>Trương Diệu Linh</t>
  </si>
  <si>
    <t>190149/190146</t>
  </si>
  <si>
    <t>161856/161350</t>
  </si>
  <si>
    <t>Đinh Thị Hà Ly</t>
  </si>
  <si>
    <t>190148/190147</t>
  </si>
  <si>
    <t>Nguyễn Nhất Hải</t>
  </si>
  <si>
    <t>Trường/Khoa</t>
  </si>
  <si>
    <t>Mã lớp thi2</t>
  </si>
  <si>
    <t>Thứ bảy</t>
  </si>
  <si>
    <t xml:space="preserve">Thứ hai </t>
  </si>
  <si>
    <t xml:space="preserve">Thứ ba </t>
  </si>
  <si>
    <t>Count of Mã lớp thi</t>
  </si>
  <si>
    <t>Column Labels</t>
  </si>
  <si>
    <t>Row Labels</t>
  </si>
  <si>
    <t>Grand Total</t>
  </si>
  <si>
    <t>Đơn vị</t>
  </si>
  <si>
    <t>Học kỳ</t>
  </si>
  <si>
    <t>Tên lớp</t>
  </si>
  <si>
    <t>GVGD</t>
  </si>
  <si>
    <t>Tín chỉ</t>
  </si>
  <si>
    <t>CTĐT</t>
  </si>
  <si>
    <t>Đợt học</t>
  </si>
  <si>
    <t>Số SV</t>
  </si>
  <si>
    <t>Số SV ĐK</t>
  </si>
  <si>
    <t>Loại lớp</t>
  </si>
  <si>
    <t>Ngày bắt đầu</t>
  </si>
  <si>
    <t>Ngày kết thúc</t>
  </si>
  <si>
    <t>Buổi</t>
  </si>
  <si>
    <t>Thời khoá biểu</t>
  </si>
  <si>
    <t>Lesson</t>
  </si>
  <si>
    <t>Địa điểm</t>
  </si>
  <si>
    <t>Lịch thi</t>
  </si>
  <si>
    <t>Khoa</t>
  </si>
  <si>
    <t>Email</t>
  </si>
  <si>
    <t>Phone</t>
  </si>
  <si>
    <t>Trợ giảng</t>
  </si>
  <si>
    <t>Trưởng nhóm CM</t>
  </si>
  <si>
    <t>Trạng thái</t>
  </si>
  <si>
    <t>Hình thức GD</t>
  </si>
  <si>
    <t>OnlineLink</t>
  </si>
  <si>
    <t>AccessCode</t>
  </si>
  <si>
    <t>Hình thức thi HK</t>
  </si>
  <si>
    <t>Yêu cầu xếp phòng và lịch thi</t>
  </si>
  <si>
    <t>Thời gian bắt đầu thi HK</t>
  </si>
  <si>
    <t>Phản hồi TKB</t>
  </si>
  <si>
    <t>Ý kiến BĐT</t>
  </si>
  <si>
    <t>Trường Cơ khí</t>
  </si>
  <si>
    <t>20251</t>
  </si>
  <si>
    <t>IT6606E-1-25 (25.1A01)</t>
  </si>
  <si>
    <t>IT6606E</t>
  </si>
  <si>
    <t>Trí tuệ nhân tạo</t>
  </si>
  <si>
    <t>Phạm Văn Hải</t>
  </si>
  <si>
    <t>2(2-1-0-4)</t>
  </si>
  <si>
    <t>, Học phần thạc sĩ</t>
  </si>
  <si>
    <t>ThSKH</t>
  </si>
  <si>
    <t>4</t>
  </si>
  <si>
    <t>45</t>
  </si>
  <si>
    <t>DA</t>
  </si>
  <si>
    <t>-</t>
  </si>
  <si>
    <t/>
  </si>
  <si>
    <t>Khoa Khoa học Máy tính</t>
  </si>
  <si>
    <t>hai.phamvan@hust.edu.vn</t>
  </si>
  <si>
    <t>0823727555</t>
  </si>
  <si>
    <t>Nguyễn Xuân Thuận</t>
  </si>
  <si>
    <t>Mở(Học phần thạc sĩ)</t>
  </si>
  <si>
    <t>Giảng dạy trực tiếp (Offline)</t>
  </si>
  <si>
    <t>Trường Điện - Điện tử</t>
  </si>
  <si>
    <t>161853</t>
  </si>
  <si>
    <t>JP2123</t>
  </si>
  <si>
    <t>Đàm Hoàng Giang</t>
  </si>
  <si>
    <t>4(0-8-0-8)</t>
  </si>
  <si>
    <t>**CTTT-HT nhúng &amp; IoT  (nhóm 2)-K68S, **CTTT-HT nhúng &amp; IoT  (nhóm 2)-K68S</t>
  </si>
  <si>
    <t>CTTT</t>
  </si>
  <si>
    <t>22</t>
  </si>
  <si>
    <t>LT+BT</t>
  </si>
  <si>
    <t>Sáng</t>
  </si>
  <si>
    <t xml:space="preserve"> Sáng T2: Tiết 3-4 , Địa điểm: C7-225, Tuần: 2-9,11-19
 Sáng T3: Tiết 3-4 , Địa điểm: C7-225, Tuần: 2-9,11-19
 Sáng T5: Tiết 3-4 , Địa điểm: C7-225, Tuần: 2-9,11-19
 Sáng T6: Tiết 3-4 , Địa điểm: C7-225, Tuần: 2-9,11-19
</t>
  </si>
  <si>
    <t>4,613,614,2-9,11-19,C7-225;3,513,514,2-9,11-19,C7-225;2,313,314,2-9,11-19,C7-225;1,213,214,2-9,11-19,C7-225</t>
  </si>
  <si>
    <t>C7-225, C7-225, C7-225, C7-225</t>
  </si>
  <si>
    <t>Khoa Điện tử</t>
  </si>
  <si>
    <t>invited.lecturer27.soict@hust.edu.vn</t>
  </si>
  <si>
    <t>Mở(**CTTT-HT nhúng &amp; IoT  (nhóm 2)-K68S)</t>
  </si>
  <si>
    <t>161852</t>
  </si>
  <si>
    <t>**CTTT-HT nhúng &amp; IoT  (nhóm 1)-K68S, **CTTT-HT nhúng &amp; IoT  (nhóm 1)-K68S</t>
  </si>
  <si>
    <t>21</t>
  </si>
  <si>
    <t xml:space="preserve"> Sáng T2: Tiết 1-2 , Địa điểm: C7-225, Tuần: 2-9,11-19
 Sáng T3: Tiết 1-2 , Địa điểm: C7-225, Tuần: 2-9,11-19
 Sáng T5: Tiết 1-2 , Địa điểm: C7-225, Tuần: 2-9,11-19
 Sáng T6: Tiết 1-2 , Địa điểm: C7-225, Tuần: 2-9,11-19
</t>
  </si>
  <si>
    <t>4,611,612,2-9,11-19,C7-225;3,511,512,2-9,11-19,C7-225;2,311,312,2-9,11-19,C7-225;1,211,212,2-9,11-19,C7-225</t>
  </si>
  <si>
    <t>Mở(**CTTT-HT nhúng &amp; IoT  (nhóm 1)-K68S)</t>
  </si>
  <si>
    <t>161854</t>
  </si>
  <si>
    <t>**CTTT-HT nhúng &amp; IoT  (nhóm 3)-K68S, **CTTT-HT nhúng &amp; IoT  (nhóm 3)-K68S</t>
  </si>
  <si>
    <t xml:space="preserve"> Sáng T2: Tiết 5-6 , Địa điểm: C7-225, Tuần: 2-9,11-19
 Sáng T3: Tiết 5-6 , Địa điểm: C7-225, Tuần: 2-9,11-19
 Sáng T5: Tiết 5-6 , Địa điểm: C7-225, Tuần: 2-9,11-19
 Sáng T6: Tiết 5-6 , Địa điểm: C7-225, Tuần: 2-9,11-19
</t>
  </si>
  <si>
    <t>4,615,616,2-9,11-19,C7-225;3,515,516,2-9,11-19,C7-225;2,315,316,2-9,11-19,C7-225;1,215,216,2-9,11-19,C7-225</t>
  </si>
  <si>
    <t>Mở(**CTTT-HT nhúng &amp; IoT  (nhóm 3)-K68S)</t>
  </si>
  <si>
    <t>161662</t>
  </si>
  <si>
    <t>ET4596E</t>
  </si>
  <si>
    <t>Tin sinh học</t>
  </si>
  <si>
    <t>Lê Đức Hậu (0.7) - Dương Trọng Lượng (0.3)</t>
  </si>
  <si>
    <t>3(3-1-0-6)</t>
  </si>
  <si>
    <t>**CTTT-KT y sinh-K67C, **CTTT-KT y sinh-K67C</t>
  </si>
  <si>
    <t>13</t>
  </si>
  <si>
    <t>15</t>
  </si>
  <si>
    <t>Chiều</t>
  </si>
  <si>
    <t xml:space="preserve"> Chiều T5: Tiết 1-4 , Địa điểm: C7-108, Tuần: 2-9,11-19
</t>
  </si>
  <si>
    <t>1,521,524,2-9,11-19,C7-108</t>
  </si>
  <si>
    <t>C7-108</t>
  </si>
  <si>
    <t>hau.leduc@hust.edu.vnluong.duongtrong@hust.edu.vn</t>
  </si>
  <si>
    <t>09123245640967008876</t>
  </si>
  <si>
    <t>Trần Anh Vũ</t>
  </si>
  <si>
    <t>Mở(**CTTT-KT y sinh-K67C)</t>
  </si>
  <si>
    <t>s8uwaxk</t>
  </si>
  <si>
    <t>Trường Công nghệ Thông tin và Truyền thông</t>
  </si>
  <si>
    <t>IT4043E-BS2025.1IT</t>
  </si>
  <si>
    <t>Big Data Storage and Processing- BS2025.1IT</t>
  </si>
  <si>
    <t>Trần Văn Đặng</t>
  </si>
  <si>
    <t xml:space="preserve">Học phần bổ sung, </t>
  </si>
  <si>
    <t>1</t>
  </si>
  <si>
    <t>dang.tranvan1@hust.edu.vn</t>
  </si>
  <si>
    <t>0948181948</t>
  </si>
  <si>
    <t>Trần Việt Trung</t>
  </si>
  <si>
    <t>Mở</t>
  </si>
  <si>
    <t>IT4735-BS2025.1IT</t>
  </si>
  <si>
    <t>Nguyễn Đình Thuận (0.0) - Phạm Ngọc Hưng (0.0)</t>
  </si>
  <si>
    <t>6</t>
  </si>
  <si>
    <t>Khoa Kỹ thuật Máy tính</t>
  </si>
  <si>
    <t>thuan.nguyendinh@hust.edu.vnhung.phamngoc1@hust.edu.vn</t>
  </si>
  <si>
    <t>09666143960985410656</t>
  </si>
  <si>
    <t>Giao bài tập lớn/tiểu luận kết hợp vấn đáp</t>
  </si>
  <si>
    <t>IT5421-1-25-2 (25.1B01)</t>
  </si>
  <si>
    <t>IT5421</t>
  </si>
  <si>
    <t>Chuyên đề nghiên cứu 01</t>
  </si>
  <si>
    <t>Đinh Thị Hà Ly (0.5) - Tạ Duy Hoàng (0.5)</t>
  </si>
  <si>
    <t>34</t>
  </si>
  <si>
    <t>60</t>
  </si>
  <si>
    <t xml:space="preserve"> Chiều T2: Tiết 3-6 , Địa điểm: B1-404, Tuần: Thầy Hoàng các ngày: 17, 22, 24, 29 và 31/12
 Tối T5: Tiết 1-4 , Địa điểm: B1-404, Tuần: Cô Ly các ngày:  2, 8, 9, 15, 16/1
</t>
  </si>
  <si>
    <t>B1-404, B1-404</t>
  </si>
  <si>
    <t>ly.dinhthiha@hust.edu.vnHoang.TaDuy@hust.edu.vn</t>
  </si>
  <si>
    <t>09720013260878507175</t>
  </si>
  <si>
    <t>i4e8gly</t>
  </si>
  <si>
    <t>755079</t>
  </si>
  <si>
    <t>NGUYÊN LÝ HỆ ĐIỀU HÀNH</t>
  </si>
  <si>
    <t>, B2CQ-CNTT02-K69</t>
  </si>
  <si>
    <t>VB2</t>
  </si>
  <si>
    <t>46</t>
  </si>
  <si>
    <t>44</t>
  </si>
  <si>
    <t xml:space="preserve"> Tối T2: Tiết 1-4 , Địa điểm: TC 207, Tuần: 15 -17
 Tối T3: Tiết 1-4 , Địa điểm: TC 207, Tuần: 15 -17
 Tối T4: Tiết 1-4 , Địa điểm: TC 207, Tuần: 15 -17
 Tối T5: Tiết 1-4 , Địa điểm: TC 207, Tuần: 15 -17
 Tối T6: Tiết 1-4 , Địa điểm: TC 207, Tuần: 15 -17
 Sáng T7: Tiết 1-4 , Địa điểm: TC 207, Tuần: 15 -17
 Chiều T7: Tiết 1-4 , Địa điểm: TC 207, Tuần: 15 -17
</t>
  </si>
  <si>
    <t>TC 207, TC 207, TC 207, TC 207, TC 207, TC 207, TC 207</t>
  </si>
  <si>
    <t>huy.doquoc@hust.edu.vn</t>
  </si>
  <si>
    <t>0936356172</t>
  </si>
  <si>
    <t>Mở(B2CQ-CNTT02-K69)</t>
  </si>
  <si>
    <t>Học tập dựa trên dự án (Project-based learning)</t>
  </si>
  <si>
    <t>756990</t>
  </si>
  <si>
    <t xml:space="preserve">IT1140- CT Chuẩn K69-N64, </t>
  </si>
  <si>
    <t>CN</t>
  </si>
  <si>
    <t>37</t>
  </si>
  <si>
    <t>TN</t>
  </si>
  <si>
    <t>T5</t>
  </si>
  <si>
    <t xml:space="preserve"> Sáng T5: Tiết 645-915 , Địa điểm: B1-107, Tuần: 9,12,14,16,18
</t>
  </si>
  <si>
    <t>1,510645,510915,9,12,14,16,18,B1-107;</t>
  </si>
  <si>
    <t>Trung tâm Máy tính và Thực hành</t>
  </si>
  <si>
    <t>Hieu.PhamQuang@hust.edu.vn</t>
  </si>
  <si>
    <t>0388273219</t>
  </si>
  <si>
    <t>Lê Minh Kiệt</t>
  </si>
  <si>
    <t>IT4868-1-25-2 (25.1B01)</t>
  </si>
  <si>
    <t>IT4868</t>
  </si>
  <si>
    <t>Khai phá Web</t>
  </si>
  <si>
    <t xml:space="preserve"> Sáng T7: Tiết 2-6 , Địa điểm: C7-236, Tuần: 29/11 - 31/1
</t>
  </si>
  <si>
    <t>C7-236</t>
  </si>
  <si>
    <t>huy.duongquang@hust.edu.vn</t>
  </si>
  <si>
    <t>0971691246</t>
  </si>
  <si>
    <t>6hhqtbj</t>
  </si>
  <si>
    <t>IT4527-1-25-2 (25.1B01)</t>
  </si>
  <si>
    <t>IT4527</t>
  </si>
  <si>
    <t>BlockChain và ứng dụng</t>
  </si>
  <si>
    <t xml:space="preserve"> Sáng T7: Tiết 2-6 , Địa điểm: B1-403, Tuần: 13/12, 20/12, 27/12, 03/01, 10/01, 17/01, 24/01
</t>
  </si>
  <si>
    <t>B1-403</t>
  </si>
  <si>
    <t>duc.tranvinh@hust.edu.vn</t>
  </si>
  <si>
    <t>0828232275</t>
  </si>
  <si>
    <t>Nguyễn Bình Minh</t>
  </si>
  <si>
    <t>eqgmc3z</t>
  </si>
  <si>
    <t>161332</t>
  </si>
  <si>
    <t>Lê Quang Duy</t>
  </si>
  <si>
    <t>2(0-4-0-4)</t>
  </si>
  <si>
    <t>*Việt Nhật K68-7S, *Việt Nhật K68-7S</t>
  </si>
  <si>
    <t>HEDSPI</t>
  </si>
  <si>
    <t>40</t>
  </si>
  <si>
    <t>39</t>
  </si>
  <si>
    <t>BT</t>
  </si>
  <si>
    <t>T4</t>
  </si>
  <si>
    <t xml:space="preserve"> Sáng T4: Tiết 5-6 , Địa điểm: B1-202, Tuần: 2-9,11-19
 Chiều T4: Tiết 1-2 , Địa điểm: B1-202, Tuần: 2-9,11-19
</t>
  </si>
  <si>
    <t>2,421,422,2-9,11-19,B1-203;1,415,416,2-9,11-19,B1-203</t>
  </si>
  <si>
    <t>B1-202, B1-202</t>
  </si>
  <si>
    <t>Văn phòng Trường Công nghệ Thông tin và Truyền thông</t>
  </si>
  <si>
    <t>le.quang.duy@sun-asterisk.com</t>
  </si>
  <si>
    <t>Nguyễn Phi Lê, Lê Quang Duy</t>
  </si>
  <si>
    <t>Mở(*Việt Nhật K68-7S)</t>
  </si>
  <si>
    <t>Thi viết (thi tập trung)</t>
  </si>
  <si>
    <t>161331</t>
  </si>
  <si>
    <t>*Việt Nhật K68-6C, *Việt Nhật K68-6C</t>
  </si>
  <si>
    <t>T3</t>
  </si>
  <si>
    <t xml:space="preserve"> Chiều T3: Tiết 3-6 , Địa điểm: B1-202, Tuần: 2-9,11-19
</t>
  </si>
  <si>
    <t>1,323,326,2-9,11-19,B1-203</t>
  </si>
  <si>
    <t>Mở(*Việt Nhật K68-6C)</t>
  </si>
  <si>
    <t>161328</t>
  </si>
  <si>
    <t xml:space="preserve">*Việt Nhật K68-3S, </t>
  </si>
  <si>
    <t xml:space="preserve"> Sáng T3: Tiết 5-6 , Địa điểm: B1-202, Tuần: 2-9,11-19
 Chiều T3: Tiết 1-2 , Địa điểm: B1-202, Tuần: 2-9,11-19
</t>
  </si>
  <si>
    <t>2,321,322,2-9,11-19,B1-203;1,315,316,2-9,11-19,B1-203</t>
  </si>
  <si>
    <t>761441</t>
  </si>
  <si>
    <t>IT5030E</t>
  </si>
  <si>
    <t>Graduation research 3</t>
  </si>
  <si>
    <t>3(0-0-6-6)</t>
  </si>
  <si>
    <t>, ICT mở cho SV học chậm, học lại</t>
  </si>
  <si>
    <t>10</t>
  </si>
  <si>
    <t>Mở(ICT mở cho SV học chậm, học lại)</t>
  </si>
  <si>
    <t>761447</t>
  </si>
  <si>
    <t>IT4940Q</t>
  </si>
  <si>
    <t>Project 3: Thiết kế và quản trị HTTT</t>
  </si>
  <si>
    <t>3(0-0-6-12)</t>
  </si>
  <si>
    <t>, SIE</t>
  </si>
  <si>
    <t>SIE</t>
  </si>
  <si>
    <t>Mở(SIE)</t>
  </si>
  <si>
    <t>761314</t>
  </si>
  <si>
    <t>IT3804</t>
  </si>
  <si>
    <t>Thực tập doanh nghiệp</t>
  </si>
  <si>
    <t>2(0-0-6-4)</t>
  </si>
  <si>
    <t>, CT KSCLC  (mở cho sv học chậm, học lại)</t>
  </si>
  <si>
    <t>KSCLC</t>
  </si>
  <si>
    <t>Mở(CT KSCLC  (mở cho sv học chậm, học lại))</t>
  </si>
  <si>
    <t>761346</t>
  </si>
  <si>
    <t>3(2-0-2-6)</t>
  </si>
  <si>
    <t>IT2000-(KHDL+ATKGS)-K70-N03, IT2000-(KHDL+ATKGS)-K70-N03</t>
  </si>
  <si>
    <t>35</t>
  </si>
  <si>
    <t>T2</t>
  </si>
  <si>
    <t xml:space="preserve"> Sáng T2: Tiết 645-1145 , Địa điểm: B1-107, Tuần: 4,5,6,10,11
</t>
  </si>
  <si>
    <t>Hoàng Yến Nhi</t>
  </si>
  <si>
    <t>Mở(IT2000-(KHDL+ATKGS)-K70-N03)</t>
  </si>
  <si>
    <t>761347</t>
  </si>
  <si>
    <t>IT2000-(KHDL+ATKGS)-K70-N04, IT2000-(KHDL+ATKGS)-K70-N04</t>
  </si>
  <si>
    <t>31</t>
  </si>
  <si>
    <t xml:space="preserve"> Sáng T4: Tiết 645-1145 , Địa điểm: B1-107, Tuần: 4,5,6,10,11
</t>
  </si>
  <si>
    <t>dung.tranthi@hust.edu.vn</t>
  </si>
  <si>
    <t>0989161528</t>
  </si>
  <si>
    <t>Nguyễn Quý Đức</t>
  </si>
  <si>
    <t>Mở(IT2000-(KHDL+ATKGS)-K70-N04)</t>
  </si>
  <si>
    <t>xwpwazm</t>
  </si>
  <si>
    <t>761345</t>
  </si>
  <si>
    <t>, IT2000-(KHDL+ATKGS)-K70-N02</t>
  </si>
  <si>
    <t>0</t>
  </si>
  <si>
    <t xml:space="preserve"> Sáng T3: Tiết 645-1145 , Địa điểm: B1-106, Tuần: 4,5,6,7,10
</t>
  </si>
  <si>
    <t>Nguyễn Minh Tiến</t>
  </si>
  <si>
    <t>Mở(IT2000-(KHDL+ATKGS)-K70-N02)</t>
  </si>
  <si>
    <t>761344</t>
  </si>
  <si>
    <t>IT2000-(KHDL+ATKGS)-K70-N01, IT2000-(KHDL+ATKGS)-K70-N01</t>
  </si>
  <si>
    <t>30</t>
  </si>
  <si>
    <t xml:space="preserve"> Sáng T4: Tiết 645-1145 , Địa điểm: B1-106, Tuần: 4,5,6,10,11
</t>
  </si>
  <si>
    <t>hung.nguyenan@hust.edu.vn</t>
  </si>
  <si>
    <t>0972794554</t>
  </si>
  <si>
    <t>Ma Ngọc Thắng</t>
  </si>
  <si>
    <t>Mở(IT2000-(KHDL+ATKGS)-K70-N01)</t>
  </si>
  <si>
    <t>761348</t>
  </si>
  <si>
    <t>IT2000-(KHDL+ATKGS)-K70-N05, IT2000-(KHDL+ATKGS)-K70-N05</t>
  </si>
  <si>
    <t xml:space="preserve"> Sáng T4: Tiết 645-1145 , Địa điểm: B1-108, Tuần: 4,5,6,10,11
</t>
  </si>
  <si>
    <t>liem.phamthanh@hust.edu.vn</t>
  </si>
  <si>
    <t>0912151204</t>
  </si>
  <si>
    <t>Phạm Nguyễn Khánh Minh</t>
  </si>
  <si>
    <t>Mở(IT2000-(KHDL+ATKGS)-K70-N05)</t>
  </si>
  <si>
    <t>2x2avv3</t>
  </si>
  <si>
    <t>761485</t>
  </si>
  <si>
    <t>, IT1108-(KHMT+KTMT) K70-N16</t>
  </si>
  <si>
    <t>T6</t>
  </si>
  <si>
    <t xml:space="preserve"> Sáng T6: Tiết 645-1145 , Địa điểm: B1-108, Tuần: 8,10,15,17,19
</t>
  </si>
  <si>
    <t>Mở(IT1108-(KHMT+KTMT) K70-N16)</t>
  </si>
  <si>
    <t>761387</t>
  </si>
  <si>
    <t>IT4182</t>
  </si>
  <si>
    <t>Thực hành xây dựng chương trình dịch</t>
  </si>
  <si>
    <t>2(0-0-4-4)</t>
  </si>
  <si>
    <t>, Lớp dạng Project base</t>
  </si>
  <si>
    <t>hai.phamdang@hust.edu.vn</t>
  </si>
  <si>
    <t>0913537715</t>
  </si>
  <si>
    <t>Mở(Lớp dạng Project base)</t>
  </si>
  <si>
    <t>761386</t>
  </si>
  <si>
    <t>IT4422</t>
  </si>
  <si>
    <t>Phát triển Hệ thống phần mềm doanh nghiệp</t>
  </si>
  <si>
    <t>Lê Tấn Hùng</t>
  </si>
  <si>
    <t>hung.letan@hust.edu.vn</t>
  </si>
  <si>
    <t>0913030731</t>
  </si>
  <si>
    <t>761388</t>
  </si>
  <si>
    <t>IT4343E</t>
  </si>
  <si>
    <t>Computer Vision</t>
  </si>
  <si>
    <t>Nguyễn Thị Oanh</t>
  </si>
  <si>
    <t>oanh.nguyenthi@hust.edu.vn</t>
  </si>
  <si>
    <t>0943206566</t>
  </si>
  <si>
    <t>761385</t>
  </si>
  <si>
    <t>Nguyễn Kiêm Hiếu</t>
  </si>
  <si>
    <t>hieu.nguyenkiem@hust.edu.vn</t>
  </si>
  <si>
    <t>0964596784</t>
  </si>
  <si>
    <t>761268</t>
  </si>
  <si>
    <t>IT5448</t>
  </si>
  <si>
    <t>Đồ án chuyên ngành 1</t>
  </si>
  <si>
    <t>2(0-0-4-8)</t>
  </si>
  <si>
    <t>, KSCS- Kỹ thuật Ô tô số</t>
  </si>
  <si>
    <t>KSCS</t>
  </si>
  <si>
    <t>50</t>
  </si>
  <si>
    <t>Mở(KSCS- Kỹ thuật Ô tô số)</t>
  </si>
  <si>
    <t>761245</t>
  </si>
  <si>
    <t>IT5001</t>
  </si>
  <si>
    <t>Thực tập kỹ sư</t>
  </si>
  <si>
    <t>, Hệ Chuẩn (mở cho sinh viên học chậm, học lại)</t>
  </si>
  <si>
    <t>KSCQ</t>
  </si>
  <si>
    <t>Mở(Hệ Chuẩn (mở cho sinh viên học chậm, học lại))</t>
  </si>
  <si>
    <t>761398</t>
  </si>
  <si>
    <t>, IT3170-(KHMT + KTMT) K68-N14</t>
  </si>
  <si>
    <t xml:space="preserve"> Sáng T2: Tiết 645-915 , Địa điểm: B1-107, Tuần: 7,9,12,14,16
</t>
  </si>
  <si>
    <t>Mở(IT3170-(KHMT + KTMT) K68-N14)</t>
  </si>
  <si>
    <t>761084</t>
  </si>
  <si>
    <t>IT4126E</t>
  </si>
  <si>
    <t>Đồ án tốt nghiệp</t>
  </si>
  <si>
    <t>6(0-0-12-24)</t>
  </si>
  <si>
    <t>CT ATKGS (mở cho sinh viên học chậm, học lại), CT ATKGS (mở cho sinh viên học chậm, học lại)</t>
  </si>
  <si>
    <t>DATN</t>
  </si>
  <si>
    <t>Mở(CT ATKGS (mở cho sinh viên học chậm, học lại))</t>
  </si>
  <si>
    <t>755074</t>
  </si>
  <si>
    <t>Bành Thị Quỳnh Mai</t>
  </si>
  <si>
    <t>3(3-0-1-6)</t>
  </si>
  <si>
    <t>, B2CQ-CNTT01-K69</t>
  </si>
  <si>
    <t>69</t>
  </si>
  <si>
    <t>67</t>
  </si>
  <si>
    <t xml:space="preserve"> Tối T2: Tiết 1-4 , Địa điểm: TC 211, Tuần: 14-16
 Tối T3: Tiết 1-4 , Địa điểm: TC 211, Tuần: 14-16
 Tối T4: Tiết 1-4 , Địa điểm: TC 211, Tuần: 14-16
 Tối T5: Tiết 1-4 , Địa điểm: TC 211, Tuần: 14-16
 Tối T6: Tiết 1-4 , Địa điểm: TC 211, Tuần: 14-16
 Sáng T7: Tiết 1-4 , Địa điểm: TC 211, Tuần: 14-16
 Chiều T7: Tiết 1-4 , Địa điểm: TC 211, Tuần: 14-16
</t>
  </si>
  <si>
    <t>TC 211, TC 211, TC 211, TC 211, TC 211, TC 211, TC 211</t>
  </si>
  <si>
    <t>mai.banhthiquynh@hust.edu.vn</t>
  </si>
  <si>
    <t>0912640079</t>
  </si>
  <si>
    <t>Trương Thị Diệu Linh, Phạm Huy Hoàng</t>
  </si>
  <si>
    <t>Mở(B2CQ-CNTT01-K69)</t>
  </si>
  <si>
    <t>755073</t>
  </si>
  <si>
    <t>IT4480</t>
  </si>
  <si>
    <t>Làm việc nhóm và kỹ năng giao tiếp</t>
  </si>
  <si>
    <t>71</t>
  </si>
  <si>
    <t xml:space="preserve"> Tối T3: Tiết 1-4 , Địa điểm: TC 211, Tuần: 16-18
 Tối T4: Tiết 1-4 , Địa điểm: TC 211, Tuần: 16-18
 Tối T5: Tiết 1-4 , Địa điểm: TC 211, Tuần: 16-18
 Tối T6: Tiết 1-4 , Địa điểm: TC 211, Tuần: 16-18
 Sáng T7: Tiết 1-4 , Địa điểm: TC 211, Tuần: 16-18
 Chiều T7: Tiết 1-4 , Địa điểm: TC 211, Tuần: 16-18
 Tối T2: Tiết 1-4 , Địa điểm: TC 211, Tuần: 16-18
</t>
  </si>
  <si>
    <t>hoa.lethi@hust.edu.vn</t>
  </si>
  <si>
    <t>0915229959</t>
  </si>
  <si>
    <t>IT5427-1-25-2 (25.1B01)</t>
  </si>
  <si>
    <t>IT5427</t>
  </si>
  <si>
    <t>AI tạo sinh trong thương mại điện tử và marketing số</t>
  </si>
  <si>
    <t xml:space="preserve"> Tối T2: Tiết 1-4 , Địa điểm: B1-404, Tuần: 1,8,15,22,29/12; 5,12,19,26/1;
 Sáng CN: Tiết 1-4 , Địa điểm: B1-404, Tuần: 25/1
</t>
  </si>
  <si>
    <t>trinh.vutuyet@hust.edu.vn</t>
  </si>
  <si>
    <t>0983371753</t>
  </si>
  <si>
    <t>mn90hsf</t>
  </si>
  <si>
    <t>IT4043E-1-25-2 (25.1B01)</t>
  </si>
  <si>
    <t xml:space="preserve"> Sáng T2: Tiết 1-4 , Địa điểm: C7-226, Tuần: 1/12, 8/12, 22/12, 29/12, 5/1, 12/1, 19/1, 26/1.
 Sáng T5: Tiết 1-4 , Địa điểm: C7-226, Tuần: 8/1, 15/1, 22/1
</t>
  </si>
  <si>
    <t>C7-226, C7-226</t>
  </si>
  <si>
    <t>Hoang.TaDuy@hust.edu.vn</t>
  </si>
  <si>
    <t>0878507175</t>
  </si>
  <si>
    <t>iobhla1</t>
  </si>
  <si>
    <t>161388</t>
  </si>
  <si>
    <t xml:space="preserve">*Việt Nhật K69 -3S, </t>
  </si>
  <si>
    <t xml:space="preserve"> Sáng T2: Tiết 5-6 , Địa điểm: B1-207, Tuần: 2-9,11-19
 Chiều T2: Tiết 1-2 , Địa điểm: B1-207, Tuần: 2-9,11-19
</t>
  </si>
  <si>
    <t>2,221,222,2-9,11-19,B1-207;1,215,216,2-9,11-19,B1-207</t>
  </si>
  <si>
    <t>thanh.nguyentien2@hust.edu.vn</t>
  </si>
  <si>
    <t>0987768886</t>
  </si>
  <si>
    <t>https://teams.microsoft.com/l/team/19%3Ainh-OL9I_5labsxWxr0cQXHOn9FlavEaQlKanw9VqzE1%40thread.tacv2/conversations?groupId=0d48bc2b-754d-486f-ab2e-92488c5b61da&amp;tenantId=06f1b89f-07e8-464f-b408-ec1b45703f31</t>
  </si>
  <si>
    <t>eclza72</t>
  </si>
  <si>
    <t>IT5305E-1-25-2 (25.1B01)</t>
  </si>
  <si>
    <t>IT5305E</t>
  </si>
  <si>
    <t>Data Entrepreneurship in Action</t>
  </si>
  <si>
    <t>Vũ Văn Thiệu (0.5) - Nguyễn Bình Minh (0.5)</t>
  </si>
  <si>
    <t>61</t>
  </si>
  <si>
    <t xml:space="preserve"> Sáng T7: Tiết 2-6 , Địa điểm: C7-223, Tuần: 29/11, 6/12, 13/12, 20/12, 27/12, 3/1, 10/1, 17/1, 24/1
</t>
  </si>
  <si>
    <t>C7-223</t>
  </si>
  <si>
    <t>thieu.vuvan@hust.edu.vnminh.nguyenbinh@hust.edu.vn</t>
  </si>
  <si>
    <t>09829283070967995584</t>
  </si>
  <si>
    <t>ibw3onn</t>
  </si>
  <si>
    <t>IT4922-1-25-2 (25.1B01)</t>
  </si>
  <si>
    <t>IT4922</t>
  </si>
  <si>
    <t>Mạng thế hệ sau</t>
  </si>
  <si>
    <t>Đinh Thị Hà Ly (0.25) - Trịnh Văn Chiến (0.5) - Trương Thị Diệu Linh (0.25)</t>
  </si>
  <si>
    <t>27</t>
  </si>
  <si>
    <t xml:space="preserve"> Tối T2: Tiết 1-4 , Địa điểm: B1-404, Tuần: tối 18h-21h cô Ly : 20h30 (24/11, 28/11)
 Sáng T7: Tiết 2-6 , Địa điểm: B1-403, Tuần: Cô Linh: Thứ 7 tiết 3-6 (sáng): 29/11, 6/12 (online)
 Sáng CN: Tiết 2-4 , Địa điểm: B1-403, Tuần: Thầy Chiến: Chủ nhật 8h-12h (sáng): 23/11, 30/11, 7/12
</t>
  </si>
  <si>
    <t>B1-404, B1-403, B1-403</t>
  </si>
  <si>
    <t>ly.dinhthiha@hust.edu.vnchien.trinhvan@hust.edu.vnlinh.truongthidieu@hust.edu.vn</t>
  </si>
  <si>
    <t>097200132608546909170949455961</t>
  </si>
  <si>
    <t>Trương Thị Diệu Linh</t>
  </si>
  <si>
    <t>uc2tkhh</t>
  </si>
  <si>
    <t>IT6012-1-25-2 (25.1B01)</t>
  </si>
  <si>
    <t>IT6012</t>
  </si>
  <si>
    <t>Các giải pháp an ninh cho mạng doanh nghiệp</t>
  </si>
  <si>
    <t>Tống Văn Vạn (0.5) - Nguyễn Đức Toàn (0.5)</t>
  </si>
  <si>
    <t>ThSKT</t>
  </si>
  <si>
    <t>26</t>
  </si>
  <si>
    <t xml:space="preserve"> Sáng T7: Tiết 2-6 , Địa điểm: B1-404, Tuần: 22/11, 29/11, 6/12, 13/12, 20/12, 27/12, 03/01, 10/01, 17/01
</t>
  </si>
  <si>
    <t>B1-404</t>
  </si>
  <si>
    <t>van.tongvan@hust.edu.vntoan.nguyenduc1@hust.edu.vn</t>
  </si>
  <si>
    <t>09642624250969208565</t>
  </si>
  <si>
    <t>https://teams.microsoft.com/l/team/19%3A6uM0NILxnnmZXY9BeO7-coT5W9awSHWwMh12RRJvyWM1%40thread.tacv2/conversations?groupId=b3223bb4-6cc9-4f47-936f-080cd7387e31&amp;tenantId=06f1b89f-07e8-464f-b408-ec1b45703f31</t>
  </si>
  <si>
    <t>oal6i7i</t>
  </si>
  <si>
    <t>IT6011-1-25-2 (25.1B01)</t>
  </si>
  <si>
    <t>IT6011</t>
  </si>
  <si>
    <t>Học máy</t>
  </si>
  <si>
    <t>Nguyễn Thị Kim Anh (0.5) - Đàm Quang Tuấn (0.5)</t>
  </si>
  <si>
    <t>38</t>
  </si>
  <si>
    <t xml:space="preserve"> Sáng CN: Tiết 2-6 , Địa điểm: B1-404, Tuần: 9/11, 16/11,  23/11, 30/11, 7/12, 14/12
</t>
  </si>
  <si>
    <t>anh.nguyenthikim@hust.edu.vntuan.damquang@hust.edu.vn</t>
  </si>
  <si>
    <t>09788719550966581455</t>
  </si>
  <si>
    <t>IT4735-1-25-2 (25.1B01)</t>
  </si>
  <si>
    <t>Phạm Ngọc Hưng (0.5) - Nguyễn Đình Thuận (0.5)</t>
  </si>
  <si>
    <t>66</t>
  </si>
  <si>
    <t xml:space="preserve">  T3: Tiết 1-1 , Địa điểm: C7-223, Tuần: Tiết 13-15 (Tối) Thứ 3 hàng tuần 11/11/2025 - 13/1/2026
</t>
  </si>
  <si>
    <t>hung.phamngoc1@hust.edu.vnthuan.nguyendinh@hust.edu.vn</t>
  </si>
  <si>
    <t>09854106560966614396</t>
  </si>
  <si>
    <t>https://teams.microsoft.com/l/team/19%3ALzIEi1JFW3Z5SFhLw-seljRF-JkgXm1p7IpHwXiDBpo1%40thread.tacv2/conversations?groupId=bb7d4f14-9bde-4d40-a496-cb1255d74142&amp;tenantId=06f1b89f-07e8-464f-b408-ec1b45703f31</t>
  </si>
  <si>
    <t>mwl7d2k</t>
  </si>
  <si>
    <t>IT4868E-1-25-2 (25.1B01)</t>
  </si>
  <si>
    <t>51</t>
  </si>
  <si>
    <t xml:space="preserve"> Chiều T3: Tiết 2-6 , Địa điểm: C7-226, Tuần: 18/11- 20/1
</t>
  </si>
  <si>
    <t>C7-226</t>
  </si>
  <si>
    <t>rohlch9</t>
  </si>
  <si>
    <t>161278</t>
  </si>
  <si>
    <t>3(2-2-0-6)</t>
  </si>
  <si>
    <t xml:space="preserve">*Việt Nhật K67-9(BT)S, </t>
  </si>
  <si>
    <t>41</t>
  </si>
  <si>
    <t xml:space="preserve"> Sáng T4: Tiết 1-4 , Địa điểm: B1-202, Tuần: 11-19
</t>
  </si>
  <si>
    <t>1,511,514,11-19,B1-203</t>
  </si>
  <si>
    <t>Khác</t>
  </si>
  <si>
    <t>l9w70r7</t>
  </si>
  <si>
    <t>161277</t>
  </si>
  <si>
    <t xml:space="preserve">*Việt Nhật K67-8(BT)S, </t>
  </si>
  <si>
    <t xml:space="preserve"> Sáng T3: Tiết 1-4 , Địa điểm: B1-209, Tuần: 11-19
</t>
  </si>
  <si>
    <t>1,311,314,11-19,B1-203</t>
  </si>
  <si>
    <t>Nguyễn Đình Phúc</t>
  </si>
  <si>
    <t>161276</t>
  </si>
  <si>
    <t xml:space="preserve">*Việt Nhật K67-7(BT)S, </t>
  </si>
  <si>
    <t xml:space="preserve"> Sáng T3: Tiết 1-4 , Địa điểm: B1-202, Tuần: 11-19
</t>
  </si>
  <si>
    <t>1,311,314,11-19,B1-202</t>
  </si>
  <si>
    <t>duc.nguyenhuu@hust.edu.vn</t>
  </si>
  <si>
    <t>0975651915</t>
  </si>
  <si>
    <t>https://teams.microsoft.com/l/team/19%3A4F_bXCvop7TrGzCn-bqa347DPCPy603Ej-z1Z8p4LN81%40thread.tacv2/conversations?groupId=1ec0ada1-04d7-4312-99c1-8362926d956f&amp;tenantId=06f1b89f-07e8-464f-b408-ec1b45703f31</t>
  </si>
  <si>
    <t>sb6mkni</t>
  </si>
  <si>
    <t>760921</t>
  </si>
  <si>
    <t>, GenAI - Học phần bổ sung - Dạng project</t>
  </si>
  <si>
    <t>2</t>
  </si>
  <si>
    <t>nam.lehai@hust.edu.vn</t>
  </si>
  <si>
    <t>0379696690</t>
  </si>
  <si>
    <t>Mở(GenAI - Học phần bổ sung - Dạng project)</t>
  </si>
  <si>
    <t>760919</t>
  </si>
  <si>
    <t>hiep.nguyenduy@hust.edu.vn</t>
  </si>
  <si>
    <t>906167269</t>
  </si>
  <si>
    <t>760922</t>
  </si>
  <si>
    <t>IT3020</t>
  </si>
  <si>
    <t>Toán rời rạc</t>
  </si>
  <si>
    <t>3</t>
  </si>
  <si>
    <t>phuong.nguyenkhanh@hust.edu.vn</t>
  </si>
  <si>
    <t>0941471023</t>
  </si>
  <si>
    <t>760920</t>
  </si>
  <si>
    <t>IT3040</t>
  </si>
  <si>
    <t>Kỹ thuật lập trình</t>
  </si>
  <si>
    <t>2(2-0-1-4)</t>
  </si>
  <si>
    <t>vuong.vuduc@hust.edu.vn</t>
  </si>
  <si>
    <t>0984753061</t>
  </si>
  <si>
    <t>Bùi Thị Mai Anh</t>
  </si>
  <si>
    <t>https://teams.microsoft.com/l/team/19%3AQIJLwXrNKHeHvpnhl_yYdoTZZwSn7l6rZSwacrGIY2U1%40thread.tacv2/conversations?groupId=c04a68de-2619-4bf5-9577-c0553f850983&amp;tenantId=06f1b89f-07e8-464f-b408-ec1b45703f31</t>
  </si>
  <si>
    <t>itehc3o</t>
  </si>
  <si>
    <t>760872</t>
  </si>
  <si>
    <t>IT5023E</t>
  </si>
  <si>
    <t>Graduation Research 1</t>
  </si>
  <si>
    <t>, CT ICT (mở cho sinh viên học chậm, học lại)</t>
  </si>
  <si>
    <t>11</t>
  </si>
  <si>
    <t>Mở(CT ICT (mở cho sinh viên học chậm, học lại))</t>
  </si>
  <si>
    <t>760871</t>
  </si>
  <si>
    <t>IT5021</t>
  </si>
  <si>
    <t>Nghiên cứu tốt nghiệp 1</t>
  </si>
  <si>
    <t>, CT Việt Nhật (mở cho sinh viên học chậm, học lại)</t>
  </si>
  <si>
    <t>Mở(CT Việt Nhật (mở cho sinh viên học chậm, học lại))</t>
  </si>
  <si>
    <t>756908</t>
  </si>
  <si>
    <t>IT2000-ICT-K70-N02, IT2000-ICT-K70-N02</t>
  </si>
  <si>
    <t>23</t>
  </si>
  <si>
    <t xml:space="preserve"> Chiều T6: Tiết 1230-1730 , Địa điểm: B1-109, Tuần: 4,5,6,8,10
</t>
  </si>
  <si>
    <t>1,621230,621730,4,5,6,8,10,B1-109;</t>
  </si>
  <si>
    <t>hien.nguyenvan1@hust.edu.vn</t>
  </si>
  <si>
    <t>0356095140</t>
  </si>
  <si>
    <t>Mở(IT2000-ICT-K70-N02)</t>
  </si>
  <si>
    <t>https://teams.microsoft.com/l/team/19%3Ah8Zx9ID0o8ejYfdPoaVKkcJpwgCyQVYQe3LrSMC7q1s1%40thread.tacv2/conversations?groupId=7660e24c-2d1b-4756-a467-3f6f1c8b040e&amp;tenantId=06f1b89f-07e8-464f-b408-ec1b45703f31</t>
  </si>
  <si>
    <t>mp6gh91</t>
  </si>
  <si>
    <t>756901</t>
  </si>
  <si>
    <t>IT2000-(Việt Nhật + Việt Pháp)-K70-N04, IT2000-(Việt Nhật + Việt Pháp)-K70-N04</t>
  </si>
  <si>
    <t>Viet-Phap</t>
  </si>
  <si>
    <t xml:space="preserve"> Sáng T5: Tiết 645-1145 , Địa điểm: B1-107, Tuần: 4,5,6,7,10
</t>
  </si>
  <si>
    <t>1,510645,511145,4,5,6,7,10,B1-107;</t>
  </si>
  <si>
    <t>giang.phamthiphuong@hust.edu.vn</t>
  </si>
  <si>
    <t>0988181512</t>
  </si>
  <si>
    <t>Trần Quang Thắng</t>
  </si>
  <si>
    <t>Mở(IT2000-(Việt Nhật + Việt Pháp)-K70-N04)</t>
  </si>
  <si>
    <t>756909</t>
  </si>
  <si>
    <t>IT2000-ICT-K70-N03, IT2000-ICT-K70-N03</t>
  </si>
  <si>
    <t xml:space="preserve"> Chiều T3: Tiết 1230-1730 , Địa điểm: B1-207, Tuần: 4,5,6,7,10
</t>
  </si>
  <si>
    <t>1,321230,321730,4,5,6,7,10,B1-207;</t>
  </si>
  <si>
    <t>Đặng Kim Ngân</t>
  </si>
  <si>
    <t>Mở(IT2000-ICT-K70-N03)</t>
  </si>
  <si>
    <t>https://teams.microsoft.com/meet/4142686040907?p=ASwXSkDZABqh4sAXfU</t>
  </si>
  <si>
    <t>zrdo06c</t>
  </si>
  <si>
    <t>756905</t>
  </si>
  <si>
    <t>IT2000-(Việt Nhật + Việt Pháp)-K70-N08, IT2000-(Việt Nhật + Việt Pháp)-K70-N08</t>
  </si>
  <si>
    <t>25</t>
  </si>
  <si>
    <t xml:space="preserve"> Sáng T6: Tiết 645-1145 , Địa điểm: B1-107, Tuần: 4,5,6,7,10
</t>
  </si>
  <si>
    <t>1,610645,611145,4,5,6,7,10,B1-107;</t>
  </si>
  <si>
    <t>Mở(IT2000-(Việt Nhật + Việt Pháp)-K70-N08)</t>
  </si>
  <si>
    <t>756907</t>
  </si>
  <si>
    <t>IT2000-ICT-K70-N01, IT2000-ICT-K70-N01</t>
  </si>
  <si>
    <t xml:space="preserve"> Chiều T5: Tiết 1230-1730 , Địa điểm: B1-109, Tuần: 4,5,6,8,10
</t>
  </si>
  <si>
    <t>1,521230,521730,4,5,6,8,10,B1-109;</t>
  </si>
  <si>
    <t>Phạm Vương Minh Quang</t>
  </si>
  <si>
    <t>Mở(IT2000-ICT-K70-N01)</t>
  </si>
  <si>
    <t>https://teams.microsoft.com/l/team/19%3AsT23bGGj6C_TgfmNM5qC0LktmwKBRYoQofKff4zGP8I1%40thread.tacv2/conversations?groupId=80f9f627-fb84-4e31-b453-52f0f407c892&amp;tenantId=06f1b89f-07e8-464f-b408-ec1b45703f31</t>
  </si>
  <si>
    <t>ibxo4eh</t>
  </si>
  <si>
    <t>756906</t>
  </si>
  <si>
    <t>IT2000-(Việt Nhật + Việt Pháp)-K70-N09, IT2000-(Việt Nhật + Việt Pháp)-K70-N09</t>
  </si>
  <si>
    <t xml:space="preserve"> Sáng T5: Tiết 645-1145 , Địa điểm: B1-207, Tuần: 4,5,6,7,10
</t>
  </si>
  <si>
    <t>1,510645,511145,4,5,6,7,10,B1-207;</t>
  </si>
  <si>
    <t>Trịnh Quang Minh</t>
  </si>
  <si>
    <t>Mở(IT2000-(Việt Nhật + Việt Pháp)-K70-N09)</t>
  </si>
  <si>
    <t>rcynvva</t>
  </si>
  <si>
    <t>756902</t>
  </si>
  <si>
    <t>IT2000-(Việt Nhật + Việt Pháp)-K70-N05, IT2000-(Việt Nhật + Việt Pháp)-K70-N05</t>
  </si>
  <si>
    <t>33</t>
  </si>
  <si>
    <t xml:space="preserve"> Sáng T5: Tiết 645-1145 , Địa điểm: B1-109, Tuần: 4,5,6,7,9
</t>
  </si>
  <si>
    <t>1,510645,511145,4,5,6,7,9,B1-109;</t>
  </si>
  <si>
    <t>Lê Trọng Việt Dũng</t>
  </si>
  <si>
    <t>Mở(IT2000-(Việt Nhật + Việt Pháp)-K70-N05)</t>
  </si>
  <si>
    <t>https://teams.microsoft.com/l/team/19%3AcGB_GNwfnAdtFZ2yO2wpXqCT8s5zJbAsC2vJqi0lbaQ1%40thread.tacv2/conversations?groupId=99994df1-9310-4404-8295-1871642e0d28&amp;tenantId=06f1b89f-07e8-464f-b408-ec1b45703f31</t>
  </si>
  <si>
    <t>33znbua</t>
  </si>
  <si>
    <t>756904</t>
  </si>
  <si>
    <t>IT2000-(Việt Nhật + Việt Pháp)-K70-N07, IT2000-(Việt Nhật + Việt Pháp)-K70-N07</t>
  </si>
  <si>
    <t xml:space="preserve"> Sáng T3: Tiết 645-1145 , Địa điểm: B1-207, Tuần: 4,5,6,7,10
</t>
  </si>
  <si>
    <t>1,310645,311145,4,5,6,7,10,B1-207;</t>
  </si>
  <si>
    <t>Phạm Sơn Nam</t>
  </si>
  <si>
    <t>Mở(IT2000-(Việt Nhật + Việt Pháp)-K70-N07)</t>
  </si>
  <si>
    <t>756900</t>
  </si>
  <si>
    <t>IT2000-(Việt Nhật + Việt Pháp)-K70-N03, IT2000-(Việt Nhật + Việt Pháp)-K70-N03</t>
  </si>
  <si>
    <t xml:space="preserve"> Sáng T3: Tiết 645-1145 , Địa điểm: B1-109, Tuần: 4,5,6,7,10
</t>
  </si>
  <si>
    <t>1,310645,311145,4,5,6,7,10,B1-109;</t>
  </si>
  <si>
    <t>Võ Hữu Trí Dũng</t>
  </si>
  <si>
    <t>Mở(IT2000-(Việt Nhật + Việt Pháp)-K70-N03)</t>
  </si>
  <si>
    <t>h5hk20h</t>
  </si>
  <si>
    <t>756903</t>
  </si>
  <si>
    <t>IT2000-(Việt Nhật + Việt Pháp)-K70-N06, IT2000-(Việt Nhật + Việt Pháp)-K70-N06</t>
  </si>
  <si>
    <t xml:space="preserve"> Sáng T6: Tiết 645-1145 , Địa điểm: B1-109, Tuần: 4,5,6,7,10
</t>
  </si>
  <si>
    <t>1,610645,611145,4,5,6,7,10,B1-109;</t>
  </si>
  <si>
    <t>Bùi Quang Hưng</t>
  </si>
  <si>
    <t>Mở(IT2000-(Việt Nhật + Việt Pháp)-K70-N06)</t>
  </si>
  <si>
    <t>756487</t>
  </si>
  <si>
    <t>IT4995</t>
  </si>
  <si>
    <t>Đồ án tốt nghiệp cử nhân</t>
  </si>
  <si>
    <t>6(0-0-12-12)</t>
  </si>
  <si>
    <t>, B2CQ-CNTT01-K68,67 (BVL)</t>
  </si>
  <si>
    <t>Vũ Thị Hương Giang, Lê Thanh Hương, Phạm Đăng Hải</t>
  </si>
  <si>
    <t>Mở(B2CQ-CNTT01-K68,67 (BVL))</t>
  </si>
  <si>
    <t>756486</t>
  </si>
  <si>
    <t>IT3150</t>
  </si>
  <si>
    <t>Project I</t>
  </si>
  <si>
    <t>, B2CQ-CNTT01-K68, B2CQ-CNTT04-K68 (HL)</t>
  </si>
  <si>
    <t>Mở(B2CQ-CNTT01-K68, B2CQ-CNTT04-K68 (HL))</t>
  </si>
  <si>
    <t>756887</t>
  </si>
  <si>
    <t>IT2000-(KHMT+KTMT)-K70-N04, IT2000-(KHMT+KTMT)-K70-N04</t>
  </si>
  <si>
    <t>36</t>
  </si>
  <si>
    <t xml:space="preserve"> Chiều T2: Tiết 1230-1730 , Địa điểm: B1-209, Tuần: 4,5,6,7,10
</t>
  </si>
  <si>
    <t>1,221230,221730,4,5,6,7,10,B1-209;</t>
  </si>
  <si>
    <t>Trịnh Lương Việt</t>
  </si>
  <si>
    <t>Mở(IT2000-(KHMT+KTMT)-K70-N04)</t>
  </si>
  <si>
    <t>756415</t>
  </si>
  <si>
    <t>IT4991</t>
  </si>
  <si>
    <t>Thực tập kỹ thuật</t>
  </si>
  <si>
    <t>, DH-BK-CNTT1.1-K66, DH-BK-CNTT1.2-K66</t>
  </si>
  <si>
    <t>VLVH</t>
  </si>
  <si>
    <t>57</t>
  </si>
  <si>
    <t xml:space="preserve">  CN: Tiết 1-1 , Địa điểm: , Tuần: 02-19
</t>
  </si>
  <si>
    <t>Mở(DH-BK-CNTT1.1-K66, DH-BK-CNTT1.2-K66)</t>
  </si>
  <si>
    <t>756881</t>
  </si>
  <si>
    <t>IT1110E (KHDL + ATKGS)-K70-N04, IT1110E (KHDL + ATKGS)-K70-N04</t>
  </si>
  <si>
    <t>32</t>
  </si>
  <si>
    <t xml:space="preserve"> Sáng T5: Tiết 915-1145 , Địa điểm: B1-109, Tuần: 8,10,15,17,19
</t>
  </si>
  <si>
    <t>1,510915,511145,8,10,15,17,19,B1-109;</t>
  </si>
  <si>
    <t>Lê Thành Vinh</t>
  </si>
  <si>
    <t>Đinh Viết Sang</t>
  </si>
  <si>
    <t>Mở(IT1110E (KHDL + ATKGS)-K70-N04)</t>
  </si>
  <si>
    <t>756893</t>
  </si>
  <si>
    <t>IT2000-(KHMT+KTMT)-K70-N10, IT2000-(KHMT+KTMT)-K70-N10</t>
  </si>
  <si>
    <t xml:space="preserve"> Chiều T6: Tiết 1230-1730 , Địa điểm: B1-107, Tuần: 4,5,6,7,10
</t>
  </si>
  <si>
    <t>1,621230,621730,4,5,6,7,10,B1-107;</t>
  </si>
  <si>
    <t>Tạ Công Nam</t>
  </si>
  <si>
    <t>Mở(IT2000-(KHMT+KTMT)-K70-N10)</t>
  </si>
  <si>
    <t>756894</t>
  </si>
  <si>
    <t>IT2000-(KHMT+KTMT)-K70-N11, IT2000-(KHMT+KTMT)-K70-N11</t>
  </si>
  <si>
    <t xml:space="preserve"> Chiều T3: Tiết 1230-1730 , Địa điểm: B1-206, Tuần: 4,5,6,7,10
</t>
  </si>
  <si>
    <t>1,321230,321730,4,5,6,7,10,B1-206;</t>
  </si>
  <si>
    <t>nga.nhuthi@hust.edu.vn</t>
  </si>
  <si>
    <t>0982524487</t>
  </si>
  <si>
    <t>Nguyễn Xuân Ba</t>
  </si>
  <si>
    <t>Mở(IT2000-(KHMT+KTMT)-K70-N11)</t>
  </si>
  <si>
    <t>756888</t>
  </si>
  <si>
    <t>IT2000-(KHMT+KTMT)-K70-N05, IT2000-(KHMT+KTMT)-K70-N05</t>
  </si>
  <si>
    <t xml:space="preserve"> Chiều T6: Tiết 1230-1730 , Địa điểm: B1-106, Tuần: 4,5,6,7,10
</t>
  </si>
  <si>
    <t>1,621230,621730,4,5,6,7,10,B1-106;</t>
  </si>
  <si>
    <t>Lê Xuân Phúc</t>
  </si>
  <si>
    <t>Mở(IT2000-(KHMT+KTMT)-K70-N05)</t>
  </si>
  <si>
    <t>sh514z1</t>
  </si>
  <si>
    <t>756885</t>
  </si>
  <si>
    <t>IT2000-(KHMT+KTMT)-K70-N02, IT2000-(KHMT+KTMT)-K70-N02</t>
  </si>
  <si>
    <t xml:space="preserve"> Chiều T3: Tiết 1230-1730 , Địa điểm: B1-106, Tuần: 4,5,6,7,10
</t>
  </si>
  <si>
    <t>1,321230,321730,4,5,6,7,10,B1-106;</t>
  </si>
  <si>
    <t>Phạm Thái Sơn</t>
  </si>
  <si>
    <t>Mở(IT2000-(KHMT+KTMT)-K70-N02)</t>
  </si>
  <si>
    <t>yasejw4</t>
  </si>
  <si>
    <t>756877</t>
  </si>
  <si>
    <t>IT1108-(KHMT+KTMT) K70-N15, IT1108-(KHMT+KTMT) K70-N15</t>
  </si>
  <si>
    <t xml:space="preserve"> Chiều T3: Tiết 1230-1730 , Địa điểm: B1-109, Tuần: 8,10,15,17,19
</t>
  </si>
  <si>
    <t>1,321230,321730,8,10,15,17,19,B1-109;</t>
  </si>
  <si>
    <t>Mở(IT1108-(KHMT+KTMT) K70-N15)</t>
  </si>
  <si>
    <t>756880</t>
  </si>
  <si>
    <t>IT1110E (KHDL + ATKGS)-K70-N03, IT1110E (KHDL + ATKGS)-K70-N03</t>
  </si>
  <si>
    <t>1,510645,510915,8,10,15,17,19,B1-109;</t>
  </si>
  <si>
    <t>Nguyễn Trung Tường</t>
  </si>
  <si>
    <t>Mở(IT1110E (KHDL + ATKGS)-K70-N03)</t>
  </si>
  <si>
    <t>756896</t>
  </si>
  <si>
    <t>IT2000-(KHMT+KTMT)-K70-N13, IT2000-(KHMT+KTMT)-K70-N13</t>
  </si>
  <si>
    <t>1,210645,211145,4,5,6,7,10,B1-106;</t>
  </si>
  <si>
    <t>Nguyễn Ngọc Ánh</t>
  </si>
  <si>
    <t>Mở(IT2000-(KHMT+KTMT)-K70-N13)</t>
  </si>
  <si>
    <t>756890</t>
  </si>
  <si>
    <t>IT2000-(KHMT+KTMT)-K70-N07, IT2000-(KHMT+KTMT)-K70-N07</t>
  </si>
  <si>
    <t xml:space="preserve"> Chiều T3: Tiết 1230-1730 , Địa điểm: B1-107, Tuần: 4,5,6,7,10
</t>
  </si>
  <si>
    <t>1,321230,321730,4,5,6,7,10,B1-107;</t>
  </si>
  <si>
    <t>Lê Minh Hoàng</t>
  </si>
  <si>
    <t>Mở(IT2000-(KHMT+KTMT)-K70-N07)</t>
  </si>
  <si>
    <t>w4w3ibs</t>
  </si>
  <si>
    <t>756883</t>
  </si>
  <si>
    <t>IT2000-CTTài năng KHMT-K70, IT2000-CTTài năng KHMT-K70</t>
  </si>
  <si>
    <t>CTTN</t>
  </si>
  <si>
    <t>49</t>
  </si>
  <si>
    <t xml:space="preserve"> Sáng T5: Tiết 645-1145 , Địa điểm: B1-405, Tuần: 7,9,14,16,18
</t>
  </si>
  <si>
    <t>1,510645,511145,7,9,14,16,18,B1-405;</t>
  </si>
  <si>
    <t>Mở(IT2000-CTTài năng KHMT-K70)</t>
  </si>
  <si>
    <t>756416</t>
  </si>
  <si>
    <t>28</t>
  </si>
  <si>
    <t>756886</t>
  </si>
  <si>
    <t>IT2000-(KHMT+KTMT)-K70-N03, IT2000-(KHMT+KTMT)-K70-N03</t>
  </si>
  <si>
    <t xml:space="preserve"> Chiều T4: Tiết 1230-1730 , Địa điểm: B1-106, Tuần: 4,5,6,7,10
</t>
  </si>
  <si>
    <t>1,421230,421730,4,5,6,7,10,B1-106;</t>
  </si>
  <si>
    <t>Mở(IT2000-(KHMT+KTMT)-K70-N03)</t>
  </si>
  <si>
    <t>756878</t>
  </si>
  <si>
    <t>4(3-1-1-8)</t>
  </si>
  <si>
    <t>IT1110E (KHDL + ATKGS)-K70-N01, IT1110E (KHDL + ATKGS)-K70-N01</t>
  </si>
  <si>
    <t xml:space="preserve"> Sáng T2: Tiết 645-915 , Địa điểm: B1-107, Tuần: 8,13,15,17,19
</t>
  </si>
  <si>
    <t>1,510645,510915,8,10,15,17,19,B1-108;</t>
  </si>
  <si>
    <t>Nguyễn Thế Anh</t>
  </si>
  <si>
    <t>Mở(IT1110E (KHDL + ATKGS)-K70-N01)</t>
  </si>
  <si>
    <t>https://teams.microsoft.com/l/team/19%3Andt7nF2BWkxZcfTwu4yYLmgZ8SlEA2z2okW6H1bLAhM1%40thread.tacv2/conversations?groupId=5e1df717-4396-4e52-93e8-ac8300abec79&amp;tenantId=06f1b89f-07e8-464f-b408-ec1b45703f31</t>
  </si>
  <si>
    <t>e6g21y1</t>
  </si>
  <si>
    <t>756884</t>
  </si>
  <si>
    <t>IT2000-(KHMT+KTMT)-K70-N01, IT2000-(KHMT+KTMT)-K70-N01</t>
  </si>
  <si>
    <t xml:space="preserve"> Chiều T2: Tiết 1230-1730 , Địa điểm: B1-106, Tuần: 4,5,6,7,10
</t>
  </si>
  <si>
    <t>1,221230,221730,4,5,6,7,10,B1-106;</t>
  </si>
  <si>
    <t>Hoàng Thị Hà Huyền</t>
  </si>
  <si>
    <t>Mở(IT2000-(KHMT+KTMT)-K70-N01)</t>
  </si>
  <si>
    <t>2e780lu</t>
  </si>
  <si>
    <t>756891</t>
  </si>
  <si>
    <t>IT2000-(KHMT+KTMT)-K70-N08, IT2000-(KHMT+KTMT)-K70-N08</t>
  </si>
  <si>
    <t xml:space="preserve"> Chiều T4: Tiết 1230-1730 , Địa điểm: B1-107, Tuần: 4,5,6,7,10
</t>
  </si>
  <si>
    <t>1,421230,421730,4,5,6,7,10,B1-107;</t>
  </si>
  <si>
    <t>Mở(IT2000-(KHMT+KTMT)-K70-N08)</t>
  </si>
  <si>
    <t>y0zeyhg</t>
  </si>
  <si>
    <t>756899</t>
  </si>
  <si>
    <t>IT2000-(Việt Nhật + Việt Pháp)-K70-N02, IT2000-(Việt Nhật + Việt Pháp)-K70-N02</t>
  </si>
  <si>
    <t xml:space="preserve"> Sáng T3: Tiết 645-1145 , Địa điểm: B1-107, Tuần: 4,5,6,7,10
</t>
  </si>
  <si>
    <t>1,310645,311145,4,5,6,7,10,B1-107;</t>
  </si>
  <si>
    <t>Mở(IT2000-(Việt Nhật + Việt Pháp)-K70-N02)</t>
  </si>
  <si>
    <t>756897</t>
  </si>
  <si>
    <t>IT2000-(KHMT+KTMT)-K70-N14, IT2000-(KHMT+KTMT)-K70-N14</t>
  </si>
  <si>
    <t xml:space="preserve"> Chiều T6: Tiết 1230-1730 , Địa điểm: B1-206, Tuần: 4,5,6,7,10
</t>
  </si>
  <si>
    <t>1,621230,621730,4,5,6,7,10,B1-206;</t>
  </si>
  <si>
    <t>Hoàng Công Vinh</t>
  </si>
  <si>
    <t>Mở(IT2000-(KHMT+KTMT)-K70-N14)</t>
  </si>
  <si>
    <t>756882</t>
  </si>
  <si>
    <t>IT1110E (KHDL + ATKGS)-K70-N05, IT1110E (KHDL + ATKGS)-K70-N05</t>
  </si>
  <si>
    <t xml:space="preserve"> Sáng T2: Tiết 915-1145 , Địa điểm: B1-109, Tuần: 8,10,15,17,19
</t>
  </si>
  <si>
    <t>1,210915,211145,8,10,15,17,19,B1-109;</t>
  </si>
  <si>
    <t>Nguyễn Hữu Trường</t>
  </si>
  <si>
    <t>Mở(IT1110E (KHDL + ATKGS)-K70-N05)</t>
  </si>
  <si>
    <t>https://teams.microsoft.com/l/team/19%3Awp9xjyowLyaj5jvqA7lpe1-NXd3OGnqf2NqxVGcGckc1%40thread.tacv2/conversations?groupId=12cb8d19-5cc7-4e56-bcb1-3a4c91d1d2cb&amp;tenantId=06f1b89f-07e8-464f-b408-ec1b45703f31</t>
  </si>
  <si>
    <t>6cqn3s1</t>
  </si>
  <si>
    <t>756879</t>
  </si>
  <si>
    <t>IT1110E (KHDL + ATKGS)-K70-N02, IT1110E (KHDL + ATKGS)-K70-N02</t>
  </si>
  <si>
    <t xml:space="preserve"> Sáng T5: Tiết 915-1145 , Địa điểm: B1-108, Tuần: 8,10,15,17,19
</t>
  </si>
  <si>
    <t>1,510915,511145,8,10,15,17,19,B1-108;</t>
  </si>
  <si>
    <t>Nguyễn Tiến Đăng</t>
  </si>
  <si>
    <t>Mở(IT1110E (KHDL + ATKGS)-K70-N02)</t>
  </si>
  <si>
    <t>https://teams.microsoft.com/l/team/19%3AT6hByruZZ_9nkOVQLIBNfL-hroE-s4tOJu-DrRygR8Q1%40thread.tacv2/conversations?groupId=79d1dcfb-8205-4389-8e44-30613fa9b9fa&amp;tenantId=06f1b89f-07e8-464f-b408-ec1b45703f31</t>
  </si>
  <si>
    <t>0mm3wyg</t>
  </si>
  <si>
    <t>756895</t>
  </si>
  <si>
    <t>IT2000-(KHMT+KTMT)-K70-N12, IT2000-(KHMT+KTMT)-K70-N12</t>
  </si>
  <si>
    <t xml:space="preserve"> Chiều T4: Tiết 1230-1730 , Địa điểm: B1-206, Tuần: 4,5,6,7,10
</t>
  </si>
  <si>
    <t>1,421230,421730,4,5,6,7,10,B1-206;</t>
  </si>
  <si>
    <t>Mở(IT2000-(KHMT+KTMT)-K70-N12)</t>
  </si>
  <si>
    <t>756898</t>
  </si>
  <si>
    <t>IT2000-(Việt Nhật + Việt Pháp)-K70-N01, IT2000-(Việt Nhật + Việt Pháp)-K70-N01</t>
  </si>
  <si>
    <t xml:space="preserve"> Sáng T3: Tiết 645-1145 , Địa điểm: B1-108, Tuần: 4,5,6,7,10
</t>
  </si>
  <si>
    <t>1,310645,311145,4,5,6,7,10,B1-108;</t>
  </si>
  <si>
    <t>Mở(IT2000-(Việt Nhật + Việt Pháp)-K70-N01)</t>
  </si>
  <si>
    <t>y66pr8x</t>
  </si>
  <si>
    <t>756892</t>
  </si>
  <si>
    <t>IT2000-(KHMT+KTMT)-K70-N09, IT2000-(KHMT+KTMT)-K70-N09</t>
  </si>
  <si>
    <t xml:space="preserve"> Chiều T3: Tiết 1230-1730 , Địa điểm: B1-209, Tuần: 3,4,5,6,10
</t>
  </si>
  <si>
    <t>1,321230,321730,4,5,6,7,10,B1-209;</t>
  </si>
  <si>
    <t>Mở(IT2000-(KHMT+KTMT)-K70-N09)</t>
  </si>
  <si>
    <t>8kdw8s7</t>
  </si>
  <si>
    <t>756889</t>
  </si>
  <si>
    <t>IT2000-(KHMT+KTMT)-K70-N06, IT2000-(KHMT+KTMT)-K70-N06</t>
  </si>
  <si>
    <t xml:space="preserve"> Chiều T2: Tiết 1230-1730 , Địa điểm: B1-107, Tuần: 4,5,6,7,10
</t>
  </si>
  <si>
    <t>1,221230,221730,4,5,6,7,10,B1-107;</t>
  </si>
  <si>
    <t>Mở(IT2000-(KHMT+KTMT)-K70-N06)</t>
  </si>
  <si>
    <t>z121wu3</t>
  </si>
  <si>
    <t>756866</t>
  </si>
  <si>
    <t>Nguyễn Minh Huyền</t>
  </si>
  <si>
    <t>IT1108-(KHMT+KTMT) K70-N04, IT1108-(KHMT+KTMT) K70-N04</t>
  </si>
  <si>
    <t xml:space="preserve"> Chiều T6: Tiết 1230-1730 , Địa điểm: B1-108, Tuần: 7,9,14,16,18
</t>
  </si>
  <si>
    <t>1,621230,621730,7,9,14,16,18,B1-108;</t>
  </si>
  <si>
    <t>huyen.nguyenminh1@hust.edu.vn</t>
  </si>
  <si>
    <t>0835996812</t>
  </si>
  <si>
    <t>Nguyễn Đình Hoàng</t>
  </si>
  <si>
    <t>Mở(IT1108-(KHMT+KTMT) K70-N04)</t>
  </si>
  <si>
    <t>756874</t>
  </si>
  <si>
    <t>IT1108-(KHMT+KTMT) K70-N12, IT1108-(KHMT+KTMT) K70-N12</t>
  </si>
  <si>
    <t xml:space="preserve"> Chiều T4: Tiết 1230-1730 , Địa điểm: B1-109, Tuần: 7,9,14,16,18
</t>
  </si>
  <si>
    <t>1,421230,421730,7,9,14,16,18,B1-109;</t>
  </si>
  <si>
    <t>duy.tranduc@hust.edu.vn</t>
  </si>
  <si>
    <t>0837198139</t>
  </si>
  <si>
    <t>Vũ Tiến Đạt</t>
  </si>
  <si>
    <t>Mở(IT1108-(KHMT+KTMT) K70-N12)</t>
  </si>
  <si>
    <t>756867</t>
  </si>
  <si>
    <t>Hồ Viết Đức Lương</t>
  </si>
  <si>
    <t>4(3-0-2-8)</t>
  </si>
  <si>
    <t>IT1108-(KHMT+KTMT) K70-N05, IT1108-(KHMT+KTMT) K70-N05</t>
  </si>
  <si>
    <t xml:space="preserve"> Chiều T2: Tiết 1230-1730 , Địa điểm: B1-108, Tuần: 8,10,15,17,19
</t>
  </si>
  <si>
    <t>1,221230,221730,8,10,15,17,19,B1-108;</t>
  </si>
  <si>
    <t>luong.hovietduc@hust.edu.vn</t>
  </si>
  <si>
    <t>0853788995</t>
  </si>
  <si>
    <t>Mở(IT1108-(KHMT+KTMT) K70-N05)</t>
  </si>
  <si>
    <t>d7nh85t</t>
  </si>
  <si>
    <t>756871</t>
  </si>
  <si>
    <t>Phạm Mạnh Tuấn</t>
  </si>
  <si>
    <t>IT1108-(KHMT+KTMT) K70-N09, IT1108-(KHMT+KTMT) K70-N09</t>
  </si>
  <si>
    <t>1,210645,211145,7,9,14,16,18,B1-109;</t>
  </si>
  <si>
    <t>tuan.phammanh@hust.edu.vn</t>
  </si>
  <si>
    <t>0982208931</t>
  </si>
  <si>
    <t>Nguyễn Quốc Anh</t>
  </si>
  <si>
    <t>Mở(IT1108-(KHMT+KTMT) K70-N09)</t>
  </si>
  <si>
    <t>756873</t>
  </si>
  <si>
    <t>Bùi Trọng Đức</t>
  </si>
  <si>
    <t>IT1108-(KHMT+KTMT) K70-N11, IT1108-(KHMT+KTMT) K70-N11</t>
  </si>
  <si>
    <t xml:space="preserve"> Chiều T3: Tiết 1230-1730 , Địa điểm: B1-109, Tuần: 7,9,14,16,18
</t>
  </si>
  <si>
    <t>1,321230,321730,7,9,14,16,18,B1-109;</t>
  </si>
  <si>
    <t>duc.buitrong@hust.edu.vn</t>
  </si>
  <si>
    <t>0356910806</t>
  </si>
  <si>
    <t>Mở(IT1108-(KHMT+KTMT) K70-N11)</t>
  </si>
  <si>
    <t>8wm6b20</t>
  </si>
  <si>
    <t>756872</t>
  </si>
  <si>
    <t>IT1108-(KHMT+KTMT) K70-N10, IT1108-(KHMT+KTMT) K70-N10</t>
  </si>
  <si>
    <t xml:space="preserve"> Chiều T2: Tiết 1230-1730 , Địa điểm: B1-109, Tuần: 7,9,14,16,18
</t>
  </si>
  <si>
    <t>1,221230,221730,7,9,14,16,18,B1-109;</t>
  </si>
  <si>
    <t>Phạm Thị Hoài Thu</t>
  </si>
  <si>
    <t>Mở(IT1108-(KHMT+KTMT) K70-N10)</t>
  </si>
  <si>
    <t>https://teams.microsoft.com/l/team/19%3A02ObbqEYuaJQJ6XWUe9petG-1ajeqv9FsCCQvvGTIyE1%40thread.tacv2/conversations?groupId=2ab6e141-05a2-4fd4-b7ad-a20dfa478f23&amp;tenantId=06f1b89f-07e8-464f-b408-ec1b45703f31</t>
  </si>
  <si>
    <t>qswf00w</t>
  </si>
  <si>
    <t>756865</t>
  </si>
  <si>
    <t>IT1108-(KHMT+KTMT) K70-N03, IT1108-(KHMT+KTMT) K70-N03</t>
  </si>
  <si>
    <t xml:space="preserve"> Chiều T3: Tiết 1230-1730 , Địa điểm: B1-209, Tuần: 7,9,14,16,18
</t>
  </si>
  <si>
    <t>1,521230,521730,7,9,14,16,18,B1-108;</t>
  </si>
  <si>
    <t>Mở(IT1108-(KHMT+KTMT) K70-N03)</t>
  </si>
  <si>
    <t>https://teams.microsoft.com/l/team/19%3AWGEGSjmqMROkWArJzKE35Qde0Wp__4PSHhLs68Ha3is1%40thread.tacv2/conversations?groupId=0f2fb683-6603-458b-88ed-daec5c295d02&amp;tenantId=06f1b89f-07e8-464f-b408-ec1b45703f31</t>
  </si>
  <si>
    <t>12j0jy9</t>
  </si>
  <si>
    <t>756876</t>
  </si>
  <si>
    <t>IT1108-(KHMT+KTMT) K70-N14, IT1108-(KHMT+KTMT) K70-N14</t>
  </si>
  <si>
    <t xml:space="preserve"> Chiều T2: Tiết 1230-1730 , Địa điểm: B1-109, Tuần: 8,10,15,17,19
</t>
  </si>
  <si>
    <t>1,221230,221730,8,10,15,17,19,B1-109;</t>
  </si>
  <si>
    <t>Mở(IT1108-(KHMT+KTMT) K70-N14)</t>
  </si>
  <si>
    <t>https://teams.microsoft.com/l/team/19%3ATpO8NyynhlvejUKQ3UNKlaPeMiDE3dlDy91xoPM0uf41%40thread.tacv2/conversations?groupId=8ccc3f29-6d60-4d18-8227-d2820252f8ad&amp;tenantId=06f1b89f-07e8-464f-b408-ec1b45703f31</t>
  </si>
  <si>
    <t>5chynve</t>
  </si>
  <si>
    <t>756862</t>
  </si>
  <si>
    <t>IT1108-CT Tài năng KHMT-K70, IT1108-CT Tài năng KHMT-K70</t>
  </si>
  <si>
    <t xml:space="preserve"> Sáng T3: Tiết 645-1145 , Địa điểm: B1-405, Tuần: 7,9,14,16,18
</t>
  </si>
  <si>
    <t>1,610645,611145,7,9,14,16,18,B1-405;</t>
  </si>
  <si>
    <t>Bùi Duy Ninh</t>
  </si>
  <si>
    <t>Mở(IT1108-CT Tài năng KHMT-K70)</t>
  </si>
  <si>
    <t>https://teams.microsoft.com/l/team/19%3AylCfCUp72_6WM6WDdKDA_oaUAA6xzgf8T42NkqBasII1%40thread.tacv2/conversations?groupId=67f4b075-7d8c-47bf-a68d-accd27ac6bf1&amp;tenantId=06f1b89f-07e8-464f-b408-ec1b45703f31</t>
  </si>
  <si>
    <t>k5dcbua</t>
  </si>
  <si>
    <t>756863</t>
  </si>
  <si>
    <t>IT1108-(KHMT+KTMT) K70-N01, IT1108-(KHMT+KTMT) K70-N01</t>
  </si>
  <si>
    <t xml:space="preserve"> Chiều T2: Tiết 1230-1730 , Địa điểm: B1-108, Tuần: 7,9,14,16,18
</t>
  </si>
  <si>
    <t>1,221230,221730,7,9,14,16,18,B1-108;</t>
  </si>
  <si>
    <t>Mở(IT1108-(KHMT+KTMT) K70-N01)</t>
  </si>
  <si>
    <t>756868</t>
  </si>
  <si>
    <t>IT1108-(KHMT+KTMT) K70-N06, IT1108-(KHMT+KTMT) K70-N06</t>
  </si>
  <si>
    <t xml:space="preserve"> Chiều T3: Tiết 1230-1730 , Địa điểm: B1-108, Tuần: 8,10,15,17,19
</t>
  </si>
  <si>
    <t>1,321230,321730,8,10,15,17,19,B1-108;</t>
  </si>
  <si>
    <t>Trần Tuấn Anh</t>
  </si>
  <si>
    <t>Mở(IT1108-(KHMT+KTMT) K70-N06)</t>
  </si>
  <si>
    <t>756869</t>
  </si>
  <si>
    <t>IT1108-(KHMT+KTMT) K70-N07, IT1108-(KHMT+KTMT) K70-N07</t>
  </si>
  <si>
    <t>24</t>
  </si>
  <si>
    <t>T7</t>
  </si>
  <si>
    <t xml:space="preserve"> Chiều T7: Tiết 1230-1730 , Địa điểm: B1-106, Tuần: 7,9,14,16,18
</t>
  </si>
  <si>
    <t>1,521230,521730,8,10,15,17,19,B1-108;</t>
  </si>
  <si>
    <t>Mở(IT1108-(KHMT+KTMT) K70-N07)</t>
  </si>
  <si>
    <t>https://teams.microsoft.com/l/team/19%3A4PtNK2c6DKdv7Owm663xX57WvFJ2hU8Q1zrOAfkOjME1%40thread.tacv2/conversations?groupId=72fe22da-1160-463c-97ef-78ad7d391d85&amp;tenantId=06f1b89f-07e8-464f-b408-ec1b45703f31</t>
  </si>
  <si>
    <t>1l6n8ic</t>
  </si>
  <si>
    <t>756875</t>
  </si>
  <si>
    <t>IT1108-(KHMT+KTMT) K70-N13, IT1108-(KHMT+KTMT) K70-N13</t>
  </si>
  <si>
    <t xml:space="preserve"> Chiều T6: Tiết 1230-1730 , Địa điểm: B1-109, Tuần: 7,9,14,16,18
</t>
  </si>
  <si>
    <t>1,621230,621730,7,9,14,16,18,B1-109;</t>
  </si>
  <si>
    <t>Nguyễn Huy Được</t>
  </si>
  <si>
    <t>Mở(IT1108-(KHMT+KTMT) K70-N13)</t>
  </si>
  <si>
    <t>756870</t>
  </si>
  <si>
    <t>IT1108-(KHMT+KTMT) K70-N08, IT1108-(KHMT+KTMT) K70-N08</t>
  </si>
  <si>
    <t xml:space="preserve"> Chiều T6: Tiết 1230-1730 , Địa điểm: B1-108, Tuần: 8,10,15,17,19
</t>
  </si>
  <si>
    <t>1,621230,621730,8,10,15,17,19,B1-108;</t>
  </si>
  <si>
    <t>Mở(IT1108-(KHMT+KTMT) K70-N08)</t>
  </si>
  <si>
    <t>756864</t>
  </si>
  <si>
    <t>IT1108-(KHMT+KTMT) K70-N02, IT1108-(KHMT+KTMT) K70-N02</t>
  </si>
  <si>
    <t xml:space="preserve"> Chiều T3: Tiết 1230-1730 , Địa điểm: B1-108, Tuần: 7,9,14,16,18
</t>
  </si>
  <si>
    <t>1,321230,321730,7,9,14,16,18,B1-108;</t>
  </si>
  <si>
    <t>Mở(IT1108-(KHMT+KTMT) K70-N02)</t>
  </si>
  <si>
    <t>757063</t>
  </si>
  <si>
    <t>IT3170-CT Tài năng K68, IT3170-CT Tài năng K68</t>
  </si>
  <si>
    <t xml:space="preserve"> Sáng T4: Tiết 645-915 , Địa điểm: B1-405, Tuần: 5,7,9,12,14
</t>
  </si>
  <si>
    <t>1,410645,410915,5,7,9,12,14,B1-405;</t>
  </si>
  <si>
    <t>Nguyễn Minh Tú</t>
  </si>
  <si>
    <t>Mở(IT3170-CT Tài năng K68)</t>
  </si>
  <si>
    <t>757061</t>
  </si>
  <si>
    <t>IT3170- Việt Nhật K68-N06, IT3170- Việt Nhật K68-N06</t>
  </si>
  <si>
    <t xml:space="preserve"> Chiều T6: Tiết 1500-1730 , Địa điểm: B1-202, Tuần: 4,6,8,11,13
</t>
  </si>
  <si>
    <t>1,621500,621730,4,6,8,11,13,B1-202;</t>
  </si>
  <si>
    <t>Trần Đình Phúc</t>
  </si>
  <si>
    <t>Mở(IT3170- Việt Nhật K68-N06)</t>
  </si>
  <si>
    <t>s725gcu</t>
  </si>
  <si>
    <t>757052</t>
  </si>
  <si>
    <t>IT3100E CTTT (KHDL + ATKGS) K69-N02, IT3100E CTTT (KHDL + ATKGS) K69-N02</t>
  </si>
  <si>
    <t xml:space="preserve"> Chiều T5: Tiết 1230-1500 , Địa điểm: B1-209, Tuần: 4,5,7,11,13
</t>
  </si>
  <si>
    <t>1,521230,521500,4,5,7,11,13,B1-209;</t>
  </si>
  <si>
    <t>Mở(IT3100E CTTT (KHDL + ATKGS) K69-N02)</t>
  </si>
  <si>
    <t>757050</t>
  </si>
  <si>
    <t>IT3090</t>
  </si>
  <si>
    <t>Cơ sở dữ liệu</t>
  </si>
  <si>
    <t>Trần Thị Lan Anh</t>
  </si>
  <si>
    <t>IT3090-(KHMT+KTMT) K68-N07, IT3090-(KHMT+KTMT) K68-N07</t>
  </si>
  <si>
    <t xml:space="preserve"> Chiều T4: Tiết 1500-1730 , Địa điểm: B1-405, Tuần: 7,9,12,14,16
</t>
  </si>
  <si>
    <t>1,421500,421730,7,9,12,14,16,B1-405;</t>
  </si>
  <si>
    <t>anh.tranthilan@hust.edu.vn</t>
  </si>
  <si>
    <t>0865570358</t>
  </si>
  <si>
    <t>Lương Quý Hiếu</t>
  </si>
  <si>
    <t>Mở(IT3090-(KHMT+KTMT) K68-N07)</t>
  </si>
  <si>
    <t>757058</t>
  </si>
  <si>
    <t>IT3170- Việt Nhật K68-N03, IT3170- Việt Nhật K68-N03</t>
  </si>
  <si>
    <t xml:space="preserve"> Chiều T2: Tiết 1230-1500 , Địa điểm: B1-202, Tuần: 5,7,9,12,14
</t>
  </si>
  <si>
    <t>1,221230,221500,5,7,9,12,14,B1-202;</t>
  </si>
  <si>
    <t>Bùi Đình Phẩm</t>
  </si>
  <si>
    <t>Mở(IT3170- Việt Nhật K68-N03)</t>
  </si>
  <si>
    <t>m5aw85d</t>
  </si>
  <si>
    <t>757082</t>
  </si>
  <si>
    <t>Mai Xuân Ngọc</t>
  </si>
  <si>
    <t>IT4210-CT Tài năng K67, IT4210-CT Tài năng K67</t>
  </si>
  <si>
    <t xml:space="preserve"> Chiều T3: Tiết 1230-1645 , Địa điểm: B1-402, Tuần: 6,9,13
</t>
  </si>
  <si>
    <t>1,321230,321730,6,9,13,B1-402;</t>
  </si>
  <si>
    <t>ngoc.maixuan@hust.edu.vn</t>
  </si>
  <si>
    <t>0378526837</t>
  </si>
  <si>
    <t>Mở(IT4210-CT Tài năng K67)</t>
  </si>
  <si>
    <t>757086</t>
  </si>
  <si>
    <t>IT4263-CT Chuẩn KTMT K67-N03, IT4263-CT Chuẩn KTMT K67-N03</t>
  </si>
  <si>
    <t xml:space="preserve"> Chiều T5: Tiết 1230-1730 , Địa điểm: B1-208, Tuần: 7,9,12,14,16
</t>
  </si>
  <si>
    <t>1,521230,521730,7,9,12,14,16,B1-208;</t>
  </si>
  <si>
    <t>Dong.LeVan1@hust.edu.vn</t>
  </si>
  <si>
    <t>0354389368</t>
  </si>
  <si>
    <t>Mở(IT4263-CT Chuẩn KTMT K67-N03)</t>
  </si>
  <si>
    <t>Học tập dựa trên thực hành (Practice-based learning)</t>
  </si>
  <si>
    <t>tu753s9</t>
  </si>
  <si>
    <t>757054</t>
  </si>
  <si>
    <t>3(2-1-1-6)</t>
  </si>
  <si>
    <t>IT3100E CTTT (KHDL + ATKGS) K69-N04, IT3100E CTTT (KHDL + ATKGS) K69-N04</t>
  </si>
  <si>
    <t xml:space="preserve"> Chiều T5: Tiết 1500-1730 , Địa điểm: B1-209, Tuần: 4,5,7,11,13
</t>
  </si>
  <si>
    <t>1,521500,521730,4,5,7,11,13,B1-209;</t>
  </si>
  <si>
    <t>Mở(IT3100E CTTT (KHDL + ATKGS) K69-N04)</t>
  </si>
  <si>
    <t>73x7p5h</t>
  </si>
  <si>
    <t>757081</t>
  </si>
  <si>
    <t>IT3170E- ICT K69-N05, IT3170E- ICT K69-N05</t>
  </si>
  <si>
    <t xml:space="preserve"> Sáng T3: Tiết 645-915 , Địa điểm: B1-206, Tuần: 5,7,9,12,14
</t>
  </si>
  <si>
    <t>1,310645,310915,5,7,9,12,14,B1-206;</t>
  </si>
  <si>
    <t>tung.nguyenduy@hust.edu.vn</t>
  </si>
  <si>
    <t>0931436286</t>
  </si>
  <si>
    <t>Đoàn Quốc Việt</t>
  </si>
  <si>
    <t>Mở(IT3170E- ICT K69-N05)</t>
  </si>
  <si>
    <t>re68ye6</t>
  </si>
  <si>
    <t>757080</t>
  </si>
  <si>
    <t>IT3170E- ICT K69-N04, IT3170E- ICT K69-N04</t>
  </si>
  <si>
    <t xml:space="preserve"> Sáng T4: Tiết 915-1145 , Địa điểm: B1-206, Tuần: 4,6,8,11,13
</t>
  </si>
  <si>
    <t>1,410915,411145,4,6,8,11,13,B1-206;</t>
  </si>
  <si>
    <t>Mở(IT3170E- ICT K69-N04)</t>
  </si>
  <si>
    <t>757053</t>
  </si>
  <si>
    <t>IT3100E CTTT (KHDL + ATKGS) K69-N03, IT3100E CTTT (KHDL + ATKGS) K69-N03</t>
  </si>
  <si>
    <t xml:space="preserve"> Chiều T4: Tiết 1500-1730 , Địa điểm: B1-209, Tuần: 4,5,7,11,13
</t>
  </si>
  <si>
    <t>1,421500,421730,4,5,7,11,13,B1-209;</t>
  </si>
  <si>
    <t>Ngô Minh Đức</t>
  </si>
  <si>
    <t>Mở(IT3100E CTTT (KHDL + ATKGS) K69-N03)</t>
  </si>
  <si>
    <t>ijdu4o7</t>
  </si>
  <si>
    <t>757068</t>
  </si>
  <si>
    <t>IT3170-(KHMT + KTMT) K68-N05, IT3170-(KHMT + KTMT) K68-N05</t>
  </si>
  <si>
    <t xml:space="preserve"> Sáng T2: Tiết 645-915 , Địa điểm: B1-108, Tuần: 5,7,9,12,14
</t>
  </si>
  <si>
    <t>1,210645,210915,5,7,9,12,14,B1-108;</t>
  </si>
  <si>
    <t>Mở(IT3170-(KHMT + KTMT) K68-N05)</t>
  </si>
  <si>
    <t>757065</t>
  </si>
  <si>
    <t>IT3170-(KHMT + KTMT) K68-N02, IT3170-(KHMT + KTMT) K68-N02</t>
  </si>
  <si>
    <t xml:space="preserve"> Sáng T2: Tiết 915-1145 , Địa điểm: B1-202, Tuần: 4,6,8,11,13
</t>
  </si>
  <si>
    <t>1,210915,211145,4,6,8,11,13,B1-202;</t>
  </si>
  <si>
    <t>Mở(IT3170-(KHMT + KTMT) K68-N02)</t>
  </si>
  <si>
    <t>757056</t>
  </si>
  <si>
    <t>IT3170- Việt Nhật K68-N01, IT3170- Việt Nhật K68-N01</t>
  </si>
  <si>
    <t xml:space="preserve"> Chiều T2: Tiết 1230-1500 , Địa điểm: B1-202, Tuần: 4,6,8,11,13
</t>
  </si>
  <si>
    <t>1,221230,221500,4,6,8,11,13,B1-202;</t>
  </si>
  <si>
    <t>Mở(IT3170- Việt Nhật K68-N01)</t>
  </si>
  <si>
    <t>clko3ki</t>
  </si>
  <si>
    <t>757083</t>
  </si>
  <si>
    <t>IT4210E-ICT K68, IT4210E-ICT K68</t>
  </si>
  <si>
    <t xml:space="preserve"> Sáng T6: Tiết 645-1100 , Địa điểm: B1-402, Tuần: 6,9,13
</t>
  </si>
  <si>
    <t>1,610645,611145,6,9,13,B1-402;</t>
  </si>
  <si>
    <t>Mở(IT4210E-ICT K68)</t>
  </si>
  <si>
    <t>757060</t>
  </si>
  <si>
    <t>IT3170- Việt Nhật K68-N05, IT3170- Việt Nhật K68-N05</t>
  </si>
  <si>
    <t xml:space="preserve"> Chiều T6: Tiết 1500-1730 , Địa điểm: B1-209, Tuần: 6,8,12,14,16
</t>
  </si>
  <si>
    <t>1,621500,621730,6,8,12,14,16,B1-209;</t>
  </si>
  <si>
    <t>Đỗ Tuấn Nam</t>
  </si>
  <si>
    <t>Mở(IT3170- Việt Nhật K68-N05)</t>
  </si>
  <si>
    <t>757051</t>
  </si>
  <si>
    <t>IT3100E CTTT (KHDL + ATKGS) K69-N01, IT3100E CTTT (KHDL + ATKGS) K69-N01</t>
  </si>
  <si>
    <t xml:space="preserve"> Chiều T4: Tiết 1230-1500 , Địa điểm: B1-209, Tuần: 4,5,7,11,13
</t>
  </si>
  <si>
    <t>1,421230,421500,4,5,7,11,13,B1-209;</t>
  </si>
  <si>
    <t>Nguyễn Huy Vũ</t>
  </si>
  <si>
    <t>Mở(IT3100E CTTT (KHDL + ATKGS) K69-N01)</t>
  </si>
  <si>
    <t>757087</t>
  </si>
  <si>
    <t>IT4263-CT Chuẩn KTMT K67-N04, IT4263-CT Chuẩn KTMT K67-N04</t>
  </si>
  <si>
    <t xml:space="preserve"> Chiều T5: Tiết 1230-1730 , Địa điểm: B1-208, Tuần: 8,11,13,15,17
</t>
  </si>
  <si>
    <t>1,521230,521730,8,11,13,15,17,B1-208;</t>
  </si>
  <si>
    <t>Mở(IT4263-CT Chuẩn KTMT K67-N04)</t>
  </si>
  <si>
    <t>xojhtgm</t>
  </si>
  <si>
    <t>757059</t>
  </si>
  <si>
    <t>IT3170- Việt Nhật K68-N04, IT3170- Việt Nhật K68-N04</t>
  </si>
  <si>
    <t xml:space="preserve"> Chiều T2: Tiết 1500-1730 , Địa điểm: B1-202, Tuần: 5,7,9,12,14
</t>
  </si>
  <si>
    <t>1,221500,221730,5,7,9,12,14,B1-202;</t>
  </si>
  <si>
    <t>Nguyễn Minh Giáp</t>
  </si>
  <si>
    <t>Mở(IT3170- Việt Nhật K68-N04)</t>
  </si>
  <si>
    <t>757069</t>
  </si>
  <si>
    <t>IT3170-(KHMT + KTMT) K68-N06, IT3170-(KHMT + KTMT) K68-N06</t>
  </si>
  <si>
    <t xml:space="preserve"> Sáng T2: Tiết 915-1145 , Địa điểm: B1-108, Tuần: 5,7,9,12,14
</t>
  </si>
  <si>
    <t>1,210915,211145,5,7,9,12,14,B1-108;</t>
  </si>
  <si>
    <t>Mở(IT3170-(KHMT + KTMT) K68-N06)</t>
  </si>
  <si>
    <t>757057</t>
  </si>
  <si>
    <t>IT3170- Việt Nhật K68-N02, IT3170- Việt Nhật K68-N02</t>
  </si>
  <si>
    <t xml:space="preserve"> Chiều T2: Tiết 1500-1730 , Địa điểm: B1-202, Tuần: 4,6,8,11,13
</t>
  </si>
  <si>
    <t>1,221500,221730,4,6,8,11,13,B1-202;</t>
  </si>
  <si>
    <t>Mở(IT3170- Việt Nhật K68-N02)</t>
  </si>
  <si>
    <t>757084</t>
  </si>
  <si>
    <t xml:space="preserve">IT4263-CT Chuẩn KTMT K67-N01, IT4263-CT Chuẩn KTMT K67-N01 </t>
  </si>
  <si>
    <t xml:space="preserve"> Chiều T4: Tiết 1230-1730 , Địa điểm: B1-209, Tuần: 9,12,14,16,18
</t>
  </si>
  <si>
    <t>1,421230,421730,9,12,14,16,18,B1-209;</t>
  </si>
  <si>
    <t>Mở(IT4263-CT Chuẩn KTMT K67-N01 )</t>
  </si>
  <si>
    <t>6log484</t>
  </si>
  <si>
    <t>757055</t>
  </si>
  <si>
    <t>IT3100E CTTT (KHDL + ATKGS) K69-N05, IT3100E CTTT (KHDL + ATKGS) K69-N05</t>
  </si>
  <si>
    <t xml:space="preserve"> Chiều T6: Tiết 1500-1730 , Địa điểm: B1-209, Tuần: 4,5,7,11,13
</t>
  </si>
  <si>
    <t>1,621500,621730,4,5,7,11,13,B1-209;</t>
  </si>
  <si>
    <t>Bùi Quang Phương</t>
  </si>
  <si>
    <t>Mở(IT3100E CTTT (KHDL + ATKGS) K69-N05)</t>
  </si>
  <si>
    <t>w4qhfj9</t>
  </si>
  <si>
    <t>757062</t>
  </si>
  <si>
    <t>IT3170- Việt Nhật K68-N07, IT3170- Việt Nhật K68-N07</t>
  </si>
  <si>
    <t xml:space="preserve"> Chiều T6: Tiết 1500-1730 , Địa điểm: B1-202, Tuần: 5,7,9,12,14
</t>
  </si>
  <si>
    <t>1,621500,621730,5,7,9,12,14,B1-202;</t>
  </si>
  <si>
    <t>Mở(IT3170- Việt Nhật K68-N07)</t>
  </si>
  <si>
    <t>757066</t>
  </si>
  <si>
    <t>IT3170-(KHMT + KTMT) K68-N03, IT3170-(KHMT + KTMT) K68-N03</t>
  </si>
  <si>
    <t xml:space="preserve"> Sáng T2: Tiết 645-915 , Địa điểm: B1-108, Tuần: 4,6,8,11,13
</t>
  </si>
  <si>
    <t>1,210645,210915,4,6,8,11,13,B1-108;</t>
  </si>
  <si>
    <t>Nguyễn Việt Thành</t>
  </si>
  <si>
    <t>Mở(IT3170-(KHMT + KTMT) K68-N03)</t>
  </si>
  <si>
    <t>756600</t>
  </si>
  <si>
    <t>IT4060</t>
  </si>
  <si>
    <t>Lập trình mạng</t>
  </si>
  <si>
    <t>2(1-2-0-4)</t>
  </si>
  <si>
    <t xml:space="preserve"> Sáng T7: Tiết 2-6 , Địa điểm: , Tuần: 5-6
 Chiều T7: Tiết 2-6 , Địa điểm: , Tuần: 5-6
 Sáng CN: Tiết 2-6 , Địa điểm: , Tuần: 5-6
 Chiều CN: Tiết 2-6 , Địa điểm: , Tuần: 5-6
</t>
  </si>
  <si>
    <t>757089</t>
  </si>
  <si>
    <t xml:space="preserve">IT4651-Việt Nhật K67-N01, IT4651-Việt Nhật K67-N01  </t>
  </si>
  <si>
    <t>16</t>
  </si>
  <si>
    <t xml:space="preserve"> Sáng T2: Tiết 645-1145 , Địa điểm: B1-202, Tuần: 7,9,12,14,16
</t>
  </si>
  <si>
    <t>1,210645,211145,7,9,12,14,16,B1-202;</t>
  </si>
  <si>
    <t>Mở(IT4651-Việt Nhật K67-N01  )</t>
  </si>
  <si>
    <t>r3738qi</t>
  </si>
  <si>
    <t>757088</t>
  </si>
  <si>
    <t>IT4651E-ICT K66, IT4651E-ICT K66</t>
  </si>
  <si>
    <t xml:space="preserve"> Sáng T3: Tiết 645-1145 , Địa điểm: B1-109, Tuần: 9,12,14,16,18
</t>
  </si>
  <si>
    <t>1,310645,311145,7,9,12,14,18,B1-405;</t>
  </si>
  <si>
    <t>dung.hoangviet@hust.edu.vn</t>
  </si>
  <si>
    <t>0984288095</t>
  </si>
  <si>
    <t>Mở(IT4651E-ICT K66)</t>
  </si>
  <si>
    <t>757067</t>
  </si>
  <si>
    <t>IT3170-(KHMT + KTMT) K68-N04, IT3170-(KHMT + KTMT) K68-N04</t>
  </si>
  <si>
    <t xml:space="preserve"> Sáng T2: Tiết 915-1145 , Địa điểm: B1-108, Tuần: 4,6,8,11,13
</t>
  </si>
  <si>
    <t>1,210915,211145,4,6,8,11,13,B1-108;</t>
  </si>
  <si>
    <t>Mở(IT3170-(KHMT + KTMT) K68-N04)</t>
  </si>
  <si>
    <t>757064</t>
  </si>
  <si>
    <t xml:space="preserve">IT3170-(KHMT + KTMT) K68-N01, IT3170-(KHMT + KTMT) K68-N01 </t>
  </si>
  <si>
    <t xml:space="preserve"> Sáng T2: Tiết 645-915 , Địa điểm: B1-202, Tuần: 4,6,8,11,13
</t>
  </si>
  <si>
    <t>1,210645,210915,4,6,8,11,13,B1-202;</t>
  </si>
  <si>
    <t>Mở(IT3170-(KHMT + KTMT) K68-N01 )</t>
  </si>
  <si>
    <t>757079</t>
  </si>
  <si>
    <t>IT3170E- ICT K69-N03, IT3170E- ICT K69-N03</t>
  </si>
  <si>
    <t xml:space="preserve"> Sáng T3: Tiết 915-1145 , Địa điểm: B1-206, Tuần: 4,6,8,11,13
</t>
  </si>
  <si>
    <t>1,310915,311145,4,6,8,11,13,B1-206;</t>
  </si>
  <si>
    <t>Mở(IT3170E- ICT K69-N03)</t>
  </si>
  <si>
    <t>757090</t>
  </si>
  <si>
    <t>Nguyễn Minh Quân</t>
  </si>
  <si>
    <t>IT4651-Việt Nhật K67-N02, IT4651-Việt Nhật K67-N02</t>
  </si>
  <si>
    <t xml:space="preserve"> Sáng T6: Tiết 645-1145 , Địa điểm: B1-202, Tuần: 7,9,12,14,16
</t>
  </si>
  <si>
    <t>1,610645,611145,7,9,12,14,16,B1-202;</t>
  </si>
  <si>
    <t>quan.nguyenminh1@hust.edu.vn</t>
  </si>
  <si>
    <t>0353150172</t>
  </si>
  <si>
    <t>Mở(IT4651-Việt Nhật K67-N02)</t>
  </si>
  <si>
    <t>757023</t>
  </si>
  <si>
    <t>IT1140- CT Chuẩn K69-N97, IT1140- CT Chuẩn K69-N97</t>
  </si>
  <si>
    <t xml:space="preserve"> Chiều T3: Tiết 1230-1500 , Địa điểm: B1-207, Tuần: 9,12,14,16,18
</t>
  </si>
  <si>
    <t>1,321230,321500,9,12,14,16,18,B1-207;</t>
  </si>
  <si>
    <t>Nguyễn Việt Anh</t>
  </si>
  <si>
    <t>Mở(IT1140- CT Chuẩn K69-N97)</t>
  </si>
  <si>
    <t>757093</t>
  </si>
  <si>
    <t>IT4651-CT Chuẩn KTMT K67-N02, IT4651-CT Chuẩn KTMT K67-N02</t>
  </si>
  <si>
    <t>19</t>
  </si>
  <si>
    <t xml:space="preserve"> Chiều T7: Tiết 1230-1730 , Địa điểm: B1-209, Tuần: 8,11,13,15,17
</t>
  </si>
  <si>
    <t>1,521230,521730,8,11,13,15,17,B1-405;</t>
  </si>
  <si>
    <t>Mở(IT4651-CT Chuẩn KTMT K67-N02)</t>
  </si>
  <si>
    <t>757072</t>
  </si>
  <si>
    <t>IT3170-(KHMT + KTMT) K68-N09, IT3170-(KHMT + KTMT) K68-N09</t>
  </si>
  <si>
    <t xml:space="preserve"> Chiều T4: Tiết 1230-1500 , Địa điểm: B1-108, Tuần: 5,7,9,12,14
</t>
  </si>
  <si>
    <t>1,421230,421500,5,7,9,12,14,B1-108;</t>
  </si>
  <si>
    <t>Mở(IT3170-(KHMT + KTMT) K68-N09)</t>
  </si>
  <si>
    <t>757074</t>
  </si>
  <si>
    <t>IT3170-(KHMT + KTMT) K68-N11, IT3170-(KHMT + KTMT) K68-N11</t>
  </si>
  <si>
    <t xml:space="preserve"> Chiều T4: Tiết 1230-1500 , Địa điểm: B1-109, Tuần: 4,6,8,15,17
</t>
  </si>
  <si>
    <t>1,421230,421500,4,6,8,15,17,B1-109;</t>
  </si>
  <si>
    <t>Mở(IT3170-(KHMT + KTMT) K68-N11)</t>
  </si>
  <si>
    <t>757029</t>
  </si>
  <si>
    <t>IT3080-(Việt Nhật + Việt Pháp) K68-N03, IT3080-(Việt Nhật + Việt Pháp) K68-N03</t>
  </si>
  <si>
    <t xml:space="preserve"> Chiều T2: Tiết 1230-1500 , Địa điểm: B1-405, Tuần: 9,12,14,16,18
</t>
  </si>
  <si>
    <t>1,221230,221500,9,12,14,16,18,B1-405;</t>
  </si>
  <si>
    <t>Mở(IT3080-(Việt Nhật + Việt Pháp) K68-N03)</t>
  </si>
  <si>
    <t>757075</t>
  </si>
  <si>
    <t>IT3170-(KHMT + KTMT) K68-N12, IT3170-(KHMT + KTMT) K68-N12</t>
  </si>
  <si>
    <t xml:space="preserve"> Chiều T4: Tiết 1500-1730 , Địa điểm: B1-109, Tuần: 4,6,8,15,17
</t>
  </si>
  <si>
    <t>1,421500,421730,4,6,8,15,17,B1-109;</t>
  </si>
  <si>
    <t>Mở(IT3170-(KHMT + KTMT) K68-N12)</t>
  </si>
  <si>
    <t>757013</t>
  </si>
  <si>
    <t>IT1140- CT Chuẩn K69-N87, IT1140- CT Chuẩn K69-N87</t>
  </si>
  <si>
    <t xml:space="preserve"> Chiều T3: Tiết 1230-1500 , Địa điểm: B1-207, Tuần: 8,13,15,17,19
</t>
  </si>
  <si>
    <t>1,321230,321500,8,13,15,17,19,B1-207;</t>
  </si>
  <si>
    <t>Mở(IT1140- CT Chuẩn K69-N87)</t>
  </si>
  <si>
    <t>757071</t>
  </si>
  <si>
    <t>IT3170-(KHMT + KTMT) K68-N08, IT3170-(KHMT + KTMT) K68-N08</t>
  </si>
  <si>
    <t xml:space="preserve"> Chiều T4: Tiết 1500-1730 , Địa điểm: B1-108, Tuần: 4,6,8,11,13
</t>
  </si>
  <si>
    <t>1,421500,421730,4,6,8,11,13,B1-108;</t>
  </si>
  <si>
    <t>Mở(IT3170-(KHMT + KTMT) K68-N08)</t>
  </si>
  <si>
    <t>gh8s5hx</t>
  </si>
  <si>
    <t>757001</t>
  </si>
  <si>
    <t>IT1140- CT Chuẩn K69-N75, IT1140- CT Chuẩn K69-N75</t>
  </si>
  <si>
    <t xml:space="preserve"> Chiều T6: Tiết 1230-1500 , Địa điểm: B1-107, Tuần: 9,12,14,16,18
</t>
  </si>
  <si>
    <t>1,621230,621500,9,12,14,16,18,B1-107;</t>
  </si>
  <si>
    <t>Đỗ Đức Mạnh</t>
  </si>
  <si>
    <t>Mở(IT1140- CT Chuẩn K69-N75)</t>
  </si>
  <si>
    <t>757076</t>
  </si>
  <si>
    <t>IT3170-(KHMT + KTMT) K68-N13, IT3170-(KHMT + KTMT) K68-N13</t>
  </si>
  <si>
    <t xml:space="preserve"> Sáng T2: Tiết 645-915 , Địa điểm: B1-109, Tuần: 6,8,11,13,15
</t>
  </si>
  <si>
    <t>1,210645,210915,6,8,11,13,15,B1-109;</t>
  </si>
  <si>
    <t>Mở(IT3170-(KHMT + KTMT) K68-N13)</t>
  </si>
  <si>
    <t>ghhhytj</t>
  </si>
  <si>
    <t>757024</t>
  </si>
  <si>
    <t>IT1140- CT Chuẩn K69-N98, IT1140- CT Chuẩn K69-N98</t>
  </si>
  <si>
    <t xml:space="preserve"> Chiều T4: Tiết 1230-1500 , Địa điểm: B1-207, Tuần: 9,12,14,16,18
</t>
  </si>
  <si>
    <t>1,421230,421500,9,12,14,16,18,B1-207;</t>
  </si>
  <si>
    <t>Mở(IT1140- CT Chuẩn K69-N98)</t>
  </si>
  <si>
    <t>o2w2p5d</t>
  </si>
  <si>
    <t>757078</t>
  </si>
  <si>
    <t>IT3170E- ICT K69-N02, IT3170E- ICT K69-N02</t>
  </si>
  <si>
    <t xml:space="preserve"> Sáng T4: Tiết 645-915 , Địa điểm: B1-206, Tuần: 4,6,8,11,13
</t>
  </si>
  <si>
    <t>1,410645,410915,4,6,8,11,13,B1-206;</t>
  </si>
  <si>
    <t>Mở(IT3170E- ICT K69-N02)</t>
  </si>
  <si>
    <t>7wk52s3</t>
  </si>
  <si>
    <t>757015</t>
  </si>
  <si>
    <t>IT1140- CT Chuẩn K69-N89, IT1140- CT Chuẩn K69-N89</t>
  </si>
  <si>
    <t xml:space="preserve"> Chiều T5: Tiết 1230-1500 , Địa điểm: B1-207, Tuần: 8,13,15,17,19
</t>
  </si>
  <si>
    <t>1,521230,521500,8,13,15,17,19,B1-207;</t>
  </si>
  <si>
    <t>Mở(IT1140- CT Chuẩn K69-N89)</t>
  </si>
  <si>
    <t>l6fiarr</t>
  </si>
  <si>
    <t>757018</t>
  </si>
  <si>
    <t>IT1140- CT Chuẩn K69-N92, IT1140- CT Chuẩn K69-N92</t>
  </si>
  <si>
    <t xml:space="preserve"> Chiều T5: Tiết 1500-1730 , Địa điểm: B1-207, Tuần: 8,13,15,17,19
</t>
  </si>
  <si>
    <t>1,521500,521730,8,13,15,17,19,B1-207;</t>
  </si>
  <si>
    <t>Mở(IT1140- CT Chuẩn K69-N92)</t>
  </si>
  <si>
    <t>bsi3q00</t>
  </si>
  <si>
    <t>757021</t>
  </si>
  <si>
    <t>IT1140- CT Chuẩn K69-N95, IT1140- CT Chuẩn K69-N95</t>
  </si>
  <si>
    <t xml:space="preserve"> Sáng T3: Tiết 915-1145 , Địa điểm: B1-207, Tuần: 9,12,14,16,18
</t>
  </si>
  <si>
    <t>1,310915,311145,9,12,14,16,18,B1-207;</t>
  </si>
  <si>
    <t>Mở(IT1140- CT Chuẩn K69-N95)</t>
  </si>
  <si>
    <t>757003</t>
  </si>
  <si>
    <t>Lê Huy Cường</t>
  </si>
  <si>
    <t>IT1140- CT Chuẩn K69-N77, IT1140- CT Chuẩn K69-N77</t>
  </si>
  <si>
    <t xml:space="preserve"> Chiều T3: Tiết 1500-1730 , Địa điểm: B1-107, Tuần: 9,12,14,16,18
</t>
  </si>
  <si>
    <t>1,321500,321730,9,12,14,16,18,B1-107;</t>
  </si>
  <si>
    <t>cuong.lehuy@hust.edu.vn</t>
  </si>
  <si>
    <t>0912265004</t>
  </si>
  <si>
    <t>Mở(IT1140- CT Chuẩn K69-N77)</t>
  </si>
  <si>
    <t>rz9m373</t>
  </si>
  <si>
    <t>757094</t>
  </si>
  <si>
    <t>IT4651-CT Chuẩn KTMT K67-N03, IT4651-CT Chuẩn KTMT K67-N03</t>
  </si>
  <si>
    <t xml:space="preserve"> Chiều T5: Tiết 1230-1730 , Địa điểm: B1-207, Tuần: 7,9,12,14,16
</t>
  </si>
  <si>
    <t>1,521230,521730,7,9,12,14,16,B1-207;</t>
  </si>
  <si>
    <t>huynh.duonghuu@hust.edu.vn</t>
  </si>
  <si>
    <t>0344830521</t>
  </si>
  <si>
    <t>Mở(IT4651-CT Chuẩn KTMT K67-N03)</t>
  </si>
  <si>
    <t>29spti5</t>
  </si>
  <si>
    <t>757073</t>
  </si>
  <si>
    <t>IT3170-(KHMT + KTMT) K68-N10, IT3170-(KHMT + KTMT) K68-N10</t>
  </si>
  <si>
    <t xml:space="preserve"> Chiều T4: Tiết 1500-1730 , Địa điểm: B1-108, Tuần: 5,7,9,12,14
</t>
  </si>
  <si>
    <t>1,421500,421730,5,7,9,12,14,B1-108;</t>
  </si>
  <si>
    <t>Mở(IT3170-(KHMT + KTMT) K68-N10)</t>
  </si>
  <si>
    <t>757000</t>
  </si>
  <si>
    <t>IT1140- CT Chuẩn K69-N74, IT1140- CT Chuẩn K69-N74</t>
  </si>
  <si>
    <t xml:space="preserve"> Chiều T5: Tiết 1230-1500 , Địa điểm: B1-107, Tuần: 9,12,14,16,18
</t>
  </si>
  <si>
    <t>1,521230,521500,9,12,14,16,18,B1-107;</t>
  </si>
  <si>
    <t>Mở(IT1140- CT Chuẩn K69-N74)</t>
  </si>
  <si>
    <t>757070</t>
  </si>
  <si>
    <t>IT3170-(KHMT + KTMT) K68-N07, IT3170-(KHMT + KTMT) K68-N07</t>
  </si>
  <si>
    <t xml:space="preserve"> Chiều T4: Tiết 1230-1500 , Địa điểm: B1-108, Tuần: 4,6,8,11,13
</t>
  </si>
  <si>
    <t>1,421230,421500,4,6,8,11,13,B1-108;</t>
  </si>
  <si>
    <t>Đặng Hiếu Nguyên</t>
  </si>
  <si>
    <t>Mở(IT3170-(KHMT + KTMT) K68-N07)</t>
  </si>
  <si>
    <t>c6he510</t>
  </si>
  <si>
    <t>757027</t>
  </si>
  <si>
    <t>IT3080-(Việt Nhật + Việt Pháp) K68-N01, IT3080-(Việt Nhật + Việt Pháp) K68-N01</t>
  </si>
  <si>
    <t xml:space="preserve"> Chiều T2: Tiết 1230-1500 , Địa điểm: B1-405, Tuần: 8,11,13,15,17
</t>
  </si>
  <si>
    <t>1,221230,221500,8,11,13,15,17,B1-405;</t>
  </si>
  <si>
    <t>giang.trandinhkien@hust.edu.vn</t>
  </si>
  <si>
    <t>0852467787</t>
  </si>
  <si>
    <t>Vũ Công Tấn</t>
  </si>
  <si>
    <t>Mở(IT3080-(Việt Nhật + Việt Pháp) K68-N01)</t>
  </si>
  <si>
    <t>757092</t>
  </si>
  <si>
    <t xml:space="preserve">IT4651-CT Chuẩn KTMT K67-N01, IT4651-CT Chuẩn KTMT K67-N01 </t>
  </si>
  <si>
    <t xml:space="preserve"> Chiều T7: Tiết 1230-1730 , Địa điểm: B1-209, Tuần: 7,9,12,14,16
</t>
  </si>
  <si>
    <t>1,521230,521730,7,9,12,14,16,B1-405;</t>
  </si>
  <si>
    <t>Phan Minh Quang</t>
  </si>
  <si>
    <t>Mở(IT4651-CT Chuẩn KTMT K67-N01 )</t>
  </si>
  <si>
    <t>757096</t>
  </si>
  <si>
    <t>IT4815E-ATKGS K67, IT4815E-ATKGS K67</t>
  </si>
  <si>
    <t xml:space="preserve"> Chiều T3: Tiết 1230-1500 , Địa điểm: B1-405, Tuần: 8,11,13,15,17
</t>
  </si>
  <si>
    <t>1,321230,321500,8,11,13,15,17,B1-405;</t>
  </si>
  <si>
    <t>Bùi Văn Nam</t>
  </si>
  <si>
    <t>Trần Hoàng Hải</t>
  </si>
  <si>
    <t>Mở(IT4815E-ATKGS K67)</t>
  </si>
  <si>
    <t>757091</t>
  </si>
  <si>
    <t>IT4651-Việt Nhật K67-N03, IT4651-Việt Nhật K67-N03</t>
  </si>
  <si>
    <t xml:space="preserve"> Sáng T6: Tiết 645-1145 , Địa điểm: B1-202, Tuần: 8,11,13,15,17
</t>
  </si>
  <si>
    <t>1,610645,611145,8,11,13,15,17,B1-202;</t>
  </si>
  <si>
    <t>Mở(IT4651-Việt Nhật K67-N03)</t>
  </si>
  <si>
    <t>3ut82oc</t>
  </si>
  <si>
    <t>757025</t>
  </si>
  <si>
    <t>IT1140- CT Chuẩn K69-N99, IT1140- CT Chuẩn K69-N99</t>
  </si>
  <si>
    <t xml:space="preserve"> Chiều T3: Tiết 1500-1730 , Địa điểm: B1-207, Tuần: 9,12,14,16,18
</t>
  </si>
  <si>
    <t>1,321500,321730,9,12,14,16,18,B1-207;</t>
  </si>
  <si>
    <t>Mở(IT1140- CT Chuẩn K69-N99)</t>
  </si>
  <si>
    <t>757026</t>
  </si>
  <si>
    <t>IT1140- CT Chuẩn K69-N100, IT1140- CT Chuẩn K69-N100</t>
  </si>
  <si>
    <t xml:space="preserve"> Chiều T4: Tiết 1500-1730 , Địa điểm: B1-207, Tuần: 9,12,14,16,18
</t>
  </si>
  <si>
    <t>1,421500,421730,9,12,14,16,18,B1-207;</t>
  </si>
  <si>
    <t>Mở(IT1140- CT Chuẩn K69-N100)</t>
  </si>
  <si>
    <t>408mm8w</t>
  </si>
  <si>
    <t>757028</t>
  </si>
  <si>
    <t>IT3080-(Việt Nhật + Việt Pháp) K68-N02, IT3080-(Việt Nhật + Việt Pháp) K68-N02</t>
  </si>
  <si>
    <t xml:space="preserve"> Chiều T2: Tiết 1500-1730 , Địa điểm: B1-405, Tuần: 8,11,13,15,17
</t>
  </si>
  <si>
    <t>1,221500,221730,8,11,13,15,17,B1-405;</t>
  </si>
  <si>
    <t>Vũ Thu Huyền</t>
  </si>
  <si>
    <t>Mở(IT3080-(Việt Nhật + Việt Pháp) K68-N02)</t>
  </si>
  <si>
    <t>757016</t>
  </si>
  <si>
    <t>IT1140- CT Chuẩn K69-N90, IT1140- CT Chuẩn K69-N90</t>
  </si>
  <si>
    <t xml:space="preserve"> Chiều T3: Tiết 1500-1730 , Địa điểm: B1-207, Tuần: 8,13,15,17,19
</t>
  </si>
  <si>
    <t>1,321500,321730,8,13,15,17,19,B1-207;</t>
  </si>
  <si>
    <t>Mở(IT1140- CT Chuẩn K69-N90)</t>
  </si>
  <si>
    <t>757095</t>
  </si>
  <si>
    <t>IT4681-CT Chuẩn K67, IT4681-CT Chuẩn K67</t>
  </si>
  <si>
    <t xml:space="preserve"> Chiều T4: Tiết 1230-1645 , Địa điểm: B1-109, Tuần: 11,12,13
</t>
  </si>
  <si>
    <t>1,421230,421730,11,12,13,B1-109;</t>
  </si>
  <si>
    <t>Trần Nguyên Ngọc, Trần Quang Đức</t>
  </si>
  <si>
    <t>Mở(IT4681-CT Chuẩn K67)</t>
  </si>
  <si>
    <t>757022</t>
  </si>
  <si>
    <t>IT1140- CT Chuẩn K69-N96, IT1140- CT Chuẩn K69-N96</t>
  </si>
  <si>
    <t xml:space="preserve"> Sáng T4: Tiết 915-1145 , Địa điểm: B1-207, Tuần: 9,12,14,16,18
</t>
  </si>
  <si>
    <t>1,410915,411145,9,12,14,16,18,B1-207;</t>
  </si>
  <si>
    <t>Lưu Tuấn Hùng</t>
  </si>
  <si>
    <t>Mở(IT1140- CT Chuẩn K69-N96)</t>
  </si>
  <si>
    <t>wfn2zw2</t>
  </si>
  <si>
    <t>757005</t>
  </si>
  <si>
    <t>IT1140- CT Chuẩn K69-N79, IT1140- CT Chuẩn K69-N79</t>
  </si>
  <si>
    <t xml:space="preserve"> Chiều T5: Tiết 1500-1730 , Địa điểm: B1-107, Tuần: 9,12,14,16,18
</t>
  </si>
  <si>
    <t>1,521500,521730,9,12,14,16,18,B1-107;</t>
  </si>
  <si>
    <t>Mở(IT1140- CT Chuẩn K69-N79)</t>
  </si>
  <si>
    <t>757077</t>
  </si>
  <si>
    <t xml:space="preserve">IT3170E- ICT K69-N01, IT3170E- ICT K69-N01 </t>
  </si>
  <si>
    <t xml:space="preserve"> Sáng T3: Tiết 645-915 , Địa điểm: B1-206, Tuần: 4,6,8,11,13
</t>
  </si>
  <si>
    <t>1,310645,310915,4,6,8,11,13,B1-206;</t>
  </si>
  <si>
    <t>Mở(IT3170E- ICT K69-N01 )</t>
  </si>
  <si>
    <t>757011</t>
  </si>
  <si>
    <t>IT1140- CT Chuẩn K69-N85, IT1140- CT Chuẩn K69-N85</t>
  </si>
  <si>
    <t xml:space="preserve"> Sáng T4: Tiết 915-1145 , Địa điểm: B1-207, Tuần: 8,13,15,17,19
</t>
  </si>
  <si>
    <t>1,410915,411145,8,13,15,17,19,B1-207;</t>
  </si>
  <si>
    <t>Mở(IT1140- CT Chuẩn K69-N85)</t>
  </si>
  <si>
    <t>7fgbx2e</t>
  </si>
  <si>
    <t>757006</t>
  </si>
  <si>
    <t>IT1140- CT Chuẩn K69-N80, IT1140- CT Chuẩn K69-N80</t>
  </si>
  <si>
    <t xml:space="preserve"> Chiều T6: Tiết 1500-1730 , Địa điểm: B1-107, Tuần: 9,12,14,16,18
</t>
  </si>
  <si>
    <t>1,621500,621730,9,12,14,16,18,B1-107;</t>
  </si>
  <si>
    <t>Lê Thị Thúy Nga</t>
  </si>
  <si>
    <t>Mở(IT1140- CT Chuẩn K69-N80)</t>
  </si>
  <si>
    <t>y6s51vw</t>
  </si>
  <si>
    <t>757014</t>
  </si>
  <si>
    <t>IT1140- CT Chuẩn K69-N88, IT1140- CT Chuẩn K69-N88</t>
  </si>
  <si>
    <t xml:space="preserve"> Chiều T4: Tiết 1230-1500 , Địa điểm: B1-207, Tuần: 8,13,15,17,19
</t>
  </si>
  <si>
    <t>1,421230,421500,8,13,15,17,19,B1-207;</t>
  </si>
  <si>
    <t>Mở(IT1140- CT Chuẩn K69-N88)</t>
  </si>
  <si>
    <t>1e1p1b3</t>
  </si>
  <si>
    <t>757012</t>
  </si>
  <si>
    <t>IT1140- CT Chuẩn K69-N86, IT1140- CT Chuẩn K69-N86</t>
  </si>
  <si>
    <t xml:space="preserve"> Sáng T5: Tiết 915-1145 , Địa điểm: B1-207, Tuần: 8,13,15,17,19
</t>
  </si>
  <si>
    <t>1,510915,511145,8,13,15,17,19,B1-207;</t>
  </si>
  <si>
    <t>Mở(IT1140- CT Chuẩn K69-N86)</t>
  </si>
  <si>
    <t>757035</t>
  </si>
  <si>
    <t xml:space="preserve">IT3080E-(ATKGS + KHDL) K68-N01, IT3080E-(ATKGS + KHDL) K68-N01 </t>
  </si>
  <si>
    <t xml:space="preserve"> Sáng T3: Tiết 645-915 , Địa điểm: B1-405, Tuần: 8,11,13,15,17
</t>
  </si>
  <si>
    <t>1,310645,310915,8,11,13,15,17,B1-405;</t>
  </si>
  <si>
    <t>long.nguyenhoang@hust.edu.vn</t>
  </si>
  <si>
    <t>0915381970</t>
  </si>
  <si>
    <t>Mở(IT3080E-(ATKGS + KHDL) K68-N01 )</t>
  </si>
  <si>
    <t>757048</t>
  </si>
  <si>
    <t>IT3090-(KHMT+KTMT) K68-N05, IT3090-(KHMT+KTMT) K68-N05</t>
  </si>
  <si>
    <t xml:space="preserve"> Chiều T4: Tiết 1500-1730 , Địa điểm: B1-405, Tuần: 6,8,11,13,15
</t>
  </si>
  <si>
    <t>1,421500,421730,6,8,11,13,15,B1-405;</t>
  </si>
  <si>
    <t>Mở(IT3090-(KHMT+KTMT) K68-N05)</t>
  </si>
  <si>
    <t>756999</t>
  </si>
  <si>
    <t>IT1140- CT Chuẩn K69-N73, IT1140- CT Chuẩn K69-N73</t>
  </si>
  <si>
    <t xml:space="preserve"> Chiều T4: Tiết 1230-1500 , Địa điểm: B1-107, Tuần: 9,12,14,16,18
</t>
  </si>
  <si>
    <t>1,421230,421500,9,12,14,16,18,B1-107;</t>
  </si>
  <si>
    <t>Mở(IT1140- CT Chuẩn K69-N73)</t>
  </si>
  <si>
    <t>757032</t>
  </si>
  <si>
    <t>IT3080-(Việt Nhật + Việt Pháp) K68-N06, IT3080-(Việt Nhật + Việt Pháp) K68-N06</t>
  </si>
  <si>
    <t xml:space="preserve"> Chiều T3: Tiết 1500-1730 , Địa điểm: B1-405, Tuần: 9,12,14,16,18
</t>
  </si>
  <si>
    <t>1,321500,321730,9,12,14,16,18,B1-405;</t>
  </si>
  <si>
    <t>Nguyễn Hữu Hiệu</t>
  </si>
  <si>
    <t>Mở(IT3080-(Việt Nhật + Việt Pháp) K68-N06)</t>
  </si>
  <si>
    <t>757049</t>
  </si>
  <si>
    <t>IT3090-(KHMT+KTMT) K68-N06, IT3090-(KHMT+KTMT) K68-N06</t>
  </si>
  <si>
    <t xml:space="preserve"> Chiều T4: Tiết 1230-1500 , Địa điểm: B1-405, Tuần: 7,9,12,14,16
</t>
  </si>
  <si>
    <t>1,421230,421500,7,9,12,14,16,B1-405;</t>
  </si>
  <si>
    <t>Mở(IT3090-(KHMT+KTMT) K68-N06)</t>
  </si>
  <si>
    <t>757044</t>
  </si>
  <si>
    <t>IT3090-(KHMT+KTMT) K68-N01, IT3090-(KHMT+KTMT) K68-N01</t>
  </si>
  <si>
    <t xml:space="preserve"> Sáng T6: Tiết 915-1145 , Địa điểm: B1-405, Tuần: 6,8,11,13,15
</t>
  </si>
  <si>
    <t>1,610915,611145,6,8,11,13,15,B1-405;</t>
  </si>
  <si>
    <t>Mở(IT3090-(KHMT+KTMT) K68-N01)</t>
  </si>
  <si>
    <t>udqddq6</t>
  </si>
  <si>
    <t>757041</t>
  </si>
  <si>
    <t>IT3080E- ICT K68-N03, IT3080E- ICT K68-N03</t>
  </si>
  <si>
    <t xml:space="preserve"> Sáng T5: Tiết 915-1145 , Địa điểm: B1-405, Tuần: 8,11,13,15,17
</t>
  </si>
  <si>
    <t>1,510915,511145,8,11,13,15,17,B1-405;</t>
  </si>
  <si>
    <t>Mở(IT3080E- ICT K68-N03)</t>
  </si>
  <si>
    <t>757039</t>
  </si>
  <si>
    <t>IT3080E- ICT K68-N01, IT3080E- ICT K68-N01</t>
  </si>
  <si>
    <t xml:space="preserve"> Sáng T2: Tiết 915-1145 , Địa điểm: B1-209, Tuần: 8,11,13,15,17
</t>
  </si>
  <si>
    <t>1,210915,211145,8,11,13,15,17,B1-405;</t>
  </si>
  <si>
    <t>Mở(IT3080E- ICT K68-N01)</t>
  </si>
  <si>
    <t>757030</t>
  </si>
  <si>
    <t>IT3080-(Việt Nhật + Việt Pháp) K68-N04, IT3080-(Việt Nhật + Việt Pháp) K68-N04</t>
  </si>
  <si>
    <t>43</t>
  </si>
  <si>
    <t xml:space="preserve"> Chiều T2: Tiết 1500-1730 , Địa điểm: B1-405, Tuần: 9,12,14,16,18
</t>
  </si>
  <si>
    <t>1,221500,221730,9,12,14,16,18,B1-405;</t>
  </si>
  <si>
    <t>Nguyễn Kiến Quốc</t>
  </si>
  <si>
    <t>Mở(IT3080-(Việt Nhật + Việt Pháp) K68-N04)</t>
  </si>
  <si>
    <t>757045</t>
  </si>
  <si>
    <t>IT3090-(KHMT+KTMT) K68-N02, IT3090-(KHMT+KTMT) K68-N02</t>
  </si>
  <si>
    <t xml:space="preserve"> Sáng T2: Tiết 645-915 , Địa điểm: B1-405, Tuần: 7,9,12,14,16
</t>
  </si>
  <si>
    <t>1,210645,210915,7,9,12,14,16,B1-405;</t>
  </si>
  <si>
    <t>Nguyễn Thái Anh Minh</t>
  </si>
  <si>
    <t>Mở(IT3090-(KHMT+KTMT) K68-N02)</t>
  </si>
  <si>
    <t>1o416fw</t>
  </si>
  <si>
    <t>757038</t>
  </si>
  <si>
    <t>IT3080E-(ATKGS + KHDL) K68-N04, IT3080E-(ATKGS + KHDL) K68-N04</t>
  </si>
  <si>
    <t xml:space="preserve"> Sáng T4: Tiết 915-1145 , Địa điểm: B1-405, Tuần: 8,11,13,15,17
</t>
  </si>
  <si>
    <t>1,410915,411145,8,11,13,15,17,B1-405;</t>
  </si>
  <si>
    <t>Mở(IT3080E-(ATKGS + KHDL) K68-N04)</t>
  </si>
  <si>
    <t>757031</t>
  </si>
  <si>
    <t>IT3080-(Việt Nhật + Việt Pháp) K68-N05, IT3080-(Việt Nhật + Việt Pháp) K68-N05</t>
  </si>
  <si>
    <t xml:space="preserve"> Chiều T3: Tiết 1500-1730 , Địa điểm: B1-405, Tuần: 8,11,13,15,17
</t>
  </si>
  <si>
    <t>1,321500,321730,8,11,13,15,17,B1-405;</t>
  </si>
  <si>
    <t>Trần Ngọc Huyền</t>
  </si>
  <si>
    <t>Mở(IT3080-(Việt Nhật + Việt Pháp) K68-N05)</t>
  </si>
  <si>
    <t>757037</t>
  </si>
  <si>
    <t>IT3080E-(ATKGS + KHDL) K68-N03, IT3080E-(ATKGS + KHDL) K68-N03</t>
  </si>
  <si>
    <t xml:space="preserve"> Sáng T4: Tiết 645-915 , Địa điểm: B1-405, Tuần: 8,11,13,15,17
</t>
  </si>
  <si>
    <t>1,410645,410915,8,11,13,15,17,B1-405;</t>
  </si>
  <si>
    <t>Mở(IT3080E-(ATKGS + KHDL) K68-N03)</t>
  </si>
  <si>
    <t>757034</t>
  </si>
  <si>
    <t>IT3080-(Việt Nhật + Việt Pháp) K68-N08, IT3080-(Việt Nhật + Việt Pháp) K68-N08</t>
  </si>
  <si>
    <t xml:space="preserve"> Chiều T6: Tiết 1500-1730 , Địa điểm: B1-405, Tuần: 9,12,14,16,18
</t>
  </si>
  <si>
    <t>1,621500,621730,9,12,14,16,18,B1-405;</t>
  </si>
  <si>
    <t>Trịnh Thị Huyền Trang</t>
  </si>
  <si>
    <t>Mở(IT3080-(Việt Nhật + Việt Pháp) K68-N08)</t>
  </si>
  <si>
    <t>757036</t>
  </si>
  <si>
    <t>IT3080E-(ATKGS + KHDL) K68-N02, IT3080E-(ATKGS + KHDL) K68-N02</t>
  </si>
  <si>
    <t xml:space="preserve"> Sáng T3: Tiết 915-1145 , Địa điểm: B1-405, Tuần: 8,11,13,15,17
</t>
  </si>
  <si>
    <t>1,310915,311145,8,11,13,15,17,B1-405;</t>
  </si>
  <si>
    <t>Mở(IT3080E-(ATKGS + KHDL) K68-N02)</t>
  </si>
  <si>
    <t>757042</t>
  </si>
  <si>
    <t>IT3087</t>
  </si>
  <si>
    <t>Máy tính và mạng máy tính</t>
  </si>
  <si>
    <t xml:space="preserve">IT3087-CT Chuẩn K68, IT3087-CT Chuẩn K68 </t>
  </si>
  <si>
    <t xml:space="preserve"> Sáng T2: Tiết 645-915 , Địa điểm: B1-405, Tuần: 8,11,13,15,17
</t>
  </si>
  <si>
    <t>1,210645,210915,8,11,13,15,17,B1-405;</t>
  </si>
  <si>
    <t>Mở(IT3087-CT Chuẩn K68 )</t>
  </si>
  <si>
    <t>757033</t>
  </si>
  <si>
    <t>IT3080-(Việt Nhật + Việt Pháp) K68-N07, IT3080-(Việt Nhật + Việt Pháp) K68-N07</t>
  </si>
  <si>
    <t xml:space="preserve"> Chiều T6: Tiết 1500-1730 , Địa điểm: B1-405, Tuần: 8,11,13,15,17
</t>
  </si>
  <si>
    <t>1,621500,621730,8,11,13,15,17,B1-405;</t>
  </si>
  <si>
    <t>Nguyễn Văn Huy</t>
  </si>
  <si>
    <t>Mở(IT3080-(Việt Nhật + Việt Pháp) K68-N07)</t>
  </si>
  <si>
    <t>757043</t>
  </si>
  <si>
    <t>IT3090-CT Tài năng K68, IT3090-CT Tài năng K68</t>
  </si>
  <si>
    <t xml:space="preserve"> Sáng T6: Tiết 645-915 , Địa điểm: B1-405, Tuần: 6,8,11,13,15
</t>
  </si>
  <si>
    <t>1,610645,610915,6,8,11,13,15,B1-405;</t>
  </si>
  <si>
    <t>Mở(IT3090-CT Tài năng K68)</t>
  </si>
  <si>
    <t>757040</t>
  </si>
  <si>
    <t>IT3080E- ICT K68-N02, IT3080E- ICT K68-N02</t>
  </si>
  <si>
    <t xml:space="preserve"> Sáng T5: Tiết 645-915 , Địa điểm: B1-405, Tuần: 8,11,13,15,17
</t>
  </si>
  <si>
    <t>1,510645,510915,8,11,13,15,17,B1-405;</t>
  </si>
  <si>
    <t>Mở(IT3080E- ICT K68-N02)</t>
  </si>
  <si>
    <t>pzkg9jw</t>
  </si>
  <si>
    <t>756998</t>
  </si>
  <si>
    <t>IT1140- CT Chuẩn K69-N72, IT1140- CT Chuẩn K69-N72</t>
  </si>
  <si>
    <t xml:space="preserve"> Chiều T3: Tiết 1230-1500 , Địa điểm: B1-107, Tuần: 9,12,14,16,18
</t>
  </si>
  <si>
    <t>1,321230,321500,9,12,14,16,18,B1-107;</t>
  </si>
  <si>
    <t>Mở(IT1140- CT Chuẩn K69-N72)</t>
  </si>
  <si>
    <t>jm9yzxs</t>
  </si>
  <si>
    <t>757046</t>
  </si>
  <si>
    <t>IT3090-(KHMT+KTMT) K68-N03, IT3090-(KHMT+KTMT) K68-N03</t>
  </si>
  <si>
    <t xml:space="preserve"> Sáng T2: Tiết 915-1145 , Địa điểm: B1-209, Tuần: 7,9,12,14,16
</t>
  </si>
  <si>
    <t>1,210915,211145,7,9,12,14,16,B1-405;</t>
  </si>
  <si>
    <t>Mở(IT3090-(KHMT+KTMT) K68-N03)</t>
  </si>
  <si>
    <t>757047</t>
  </si>
  <si>
    <t>IT3090-(KHMT+KTMT) K68-N04, IT3090-(KHMT+KTMT) K68-N04</t>
  </si>
  <si>
    <t xml:space="preserve"> Chiều T4: Tiết 1230-1500 , Địa điểm: B1-405, Tuần: 6,8,11,13,15
</t>
  </si>
  <si>
    <t>1,421230,421500,6,8,11,13,15,B1-405;</t>
  </si>
  <si>
    <t>Mở(IT3090-(KHMT+KTMT) K68-N04)</t>
  </si>
  <si>
    <t>756599</t>
  </si>
  <si>
    <t>13/10/2025</t>
  </si>
  <si>
    <t>24/10/2025</t>
  </si>
  <si>
    <t>vui.leba@hust.edu.vn</t>
  </si>
  <si>
    <t>0937808435</t>
  </si>
  <si>
    <t>756596</t>
  </si>
  <si>
    <t>IT1110</t>
  </si>
  <si>
    <t>, DH-BK-CoĐT01-K70</t>
  </si>
  <si>
    <t>100</t>
  </si>
  <si>
    <t xml:space="preserve"> Chiều T2: Tiết 2-6 , Địa điểm: 27 Ngõ Giếng - Đông Các - Ô Chợ Dừa, Tuần: 04-08
 Sáng T6: Tiết 2-6 , Địa điểm: 27 Ngõ Giếng - Đông Các - Ô Chợ Dừa, Tuần: 04-08
 Chiều T5: Tiết 2-6 , Địa điểm: B1-206, Tuần: 05 - 07
</t>
  </si>
  <si>
    <t>27 Ngõ Giếng - Đông Các - Ô Chợ Dừa, 27 Ngõ Giếng - Đông Các - Ô Chợ Dừa, B1-206</t>
  </si>
  <si>
    <t>Mở(DH-BK-CoĐT01-K70)</t>
  </si>
  <si>
    <t>pcef0bg</t>
  </si>
  <si>
    <t xml:space="preserve">IT1130- Khoa Ngoại ngữ K69-N01, IT1130- Khoa Ngoại ngữ K69-N01 </t>
  </si>
  <si>
    <t xml:space="preserve"> Sáng T5: Tiết 645-1145 , Địa điểm: B1-206, Tuần: 8,13,15,17,19
</t>
  </si>
  <si>
    <t>1,510645,511145,8,13,15,17,19,B1-206;</t>
  </si>
  <si>
    <t>Mở(IT1130- Khoa Ngoại ngữ K69-N01 )</t>
  </si>
  <si>
    <t>756949</t>
  </si>
  <si>
    <t>IT1140- CT Chuẩn K69-N23, IT1140- CT Chuẩn K69-N23</t>
  </si>
  <si>
    <t xml:space="preserve"> Sáng T4: Tiết 645-915 , Địa điểm: B1-106, Tuần: 9,12,14,16,18
</t>
  </si>
  <si>
    <t>1,410645,410915,9,12,14,16,18,B1-106;</t>
  </si>
  <si>
    <t>Mở(IT1140- CT Chuẩn K69-N23)</t>
  </si>
  <si>
    <t>756953</t>
  </si>
  <si>
    <t>IT1140- CT Chuẩn K69-N27, IT1140- CT Chuẩn K69-N27</t>
  </si>
  <si>
    <t xml:space="preserve"> Sáng T3: Tiết 915-1145 , Địa điểm: B1-106, Tuần: 9,12,14,16,18
</t>
  </si>
  <si>
    <t>1,310915,311145,9,12,14,16,18,B1-106;</t>
  </si>
  <si>
    <t>Mở(IT1140- CT Chuẩn K69-N27)</t>
  </si>
  <si>
    <t>7q62ey6</t>
  </si>
  <si>
    <t>756944</t>
  </si>
  <si>
    <t>IT1140- CT Chuẩn K69-N18, IT1140- CT Chuẩn K69-N18</t>
  </si>
  <si>
    <t xml:space="preserve"> Chiều T4: Tiết 1500-1730 , Địa điểm: B1-106, Tuần: 8,13,15,17,19
</t>
  </si>
  <si>
    <t>1,421500,421730,8,13,15,17,19,B1-106;</t>
  </si>
  <si>
    <t>Lê Việt Anh</t>
  </si>
  <si>
    <t>Mở(IT1140- CT Chuẩn K69-N18)</t>
  </si>
  <si>
    <t>f290s0x</t>
  </si>
  <si>
    <t>756933</t>
  </si>
  <si>
    <t>IT1140- CT Chuẩn K69-N07, IT1140- CT Chuẩn K69-N07</t>
  </si>
  <si>
    <t xml:space="preserve"> Sáng T3: Tiết 915-1145 , Địa điểm: B1-106, Tuần: 8,13,15,17,19
</t>
  </si>
  <si>
    <t>1,310915,311145,8,13,15,17,19,B1-106;</t>
  </si>
  <si>
    <t>Mở(IT1140- CT Chuẩn K69-N07)</t>
  </si>
  <si>
    <t>756914</t>
  </si>
  <si>
    <t>IT1110Q-CT SIE (ME-NUT)-K69-N04, IT1110Q-CT SIE (ME-NUT)-K69-N04</t>
  </si>
  <si>
    <t xml:space="preserve"> Chiều T6: Tiết 1230-1500 , Địa điểm: B1-209, Tuần: 9,12,14,16,18
</t>
  </si>
  <si>
    <t>1,621230,621500,9,12,14,16,18,B1-209;</t>
  </si>
  <si>
    <t>Mở(IT1110Q-CT SIE (ME-NUT)-K69-N04)</t>
  </si>
  <si>
    <t>86hn191</t>
  </si>
  <si>
    <t>756928</t>
  </si>
  <si>
    <t>IT1140- CT Chuẩn K69-N02, IT1140- CT Chuẩn K69-N02</t>
  </si>
  <si>
    <t xml:space="preserve"> Sáng T3: Tiết 645-915 , Địa điểm: B1-106, Tuần: 8,13,15,17,19
</t>
  </si>
  <si>
    <t>1,310645,310915,8,13,15,17,19,B1-106;</t>
  </si>
  <si>
    <t>Mở(IT1140- CT Chuẩn K69-N02)</t>
  </si>
  <si>
    <t>756968</t>
  </si>
  <si>
    <t>IT1140- CT Chuẩn K69-N42, IT1140- CT Chuẩn K69-N42</t>
  </si>
  <si>
    <t xml:space="preserve"> Sáng T3: Tiết 645-915 , Địa điểm: B1-107, Tuần: 8,13,15,17,19
</t>
  </si>
  <si>
    <t>1,310645,310915,8,13,15,17,19,B1-107;</t>
  </si>
  <si>
    <t>Mở(IT1140- CT Chuẩn K69-N42)</t>
  </si>
  <si>
    <t>5gs12ow</t>
  </si>
  <si>
    <t>IT1130- Khoa Ngoại ngữ K69-N02, IT1130- Khoa Ngoại ngữ K69-N02</t>
  </si>
  <si>
    <t xml:space="preserve"> Sáng T5: Tiết 645-1145 , Địa điểm: B1-206, Tuần: 9,12,14,16,18
</t>
  </si>
  <si>
    <t>1,510645,511145,9,12,14,16,18,B1-206;</t>
  </si>
  <si>
    <t>Mở(IT1130- Khoa Ngoại ngữ K69-N02)</t>
  </si>
  <si>
    <t>756910</t>
  </si>
  <si>
    <t>IT2000-ICT-K70-N04, IT2000-ICT-K70-N04</t>
  </si>
  <si>
    <t xml:space="preserve"> Chiều T4: Tiết 1230-1730 , Địa điểm: B1-207, Tuần: 4,5,6,7,10
</t>
  </si>
  <si>
    <t>1,421230,421730,4,5,6,7,10,B1-207;</t>
  </si>
  <si>
    <t>Mở(IT2000-ICT-K70-N04)</t>
  </si>
  <si>
    <t>3i6cm9v</t>
  </si>
  <si>
    <t>756960</t>
  </si>
  <si>
    <t>IT1140- CT Chuẩn K69-N34, IT1140- CT Chuẩn K69-N34</t>
  </si>
  <si>
    <t xml:space="preserve"> Chiều T5: Tiết 1230-1500 , Địa điểm: B1-106, Tuần: 9,12,14,16,18
</t>
  </si>
  <si>
    <t>1,521230,521500,9,12,14,16,18,B1-106;</t>
  </si>
  <si>
    <t>Nguyễn Khánh Anh</t>
  </si>
  <si>
    <t>Mở(IT1140- CT Chuẩn K69-N34)</t>
  </si>
  <si>
    <t>xdc2mvy</t>
  </si>
  <si>
    <t>756913</t>
  </si>
  <si>
    <t>IT1110Q-CT SIE (ME-NUT)-K69-N03, IT1110Q-CT SIE (ME-NUT)-K69-N03</t>
  </si>
  <si>
    <t xml:space="preserve"> Chiều T6: Tiết 1230-1500 , Địa điểm: B1-209, Tuần: 8,13,15,17,19
</t>
  </si>
  <si>
    <t>1,621230,621500,8,13,15,17,19,B1-209;</t>
  </si>
  <si>
    <t>Mở(IT1110Q-CT SIE (ME-NUT)-K69-N03)</t>
  </si>
  <si>
    <t>kxd9t7d</t>
  </si>
  <si>
    <t>756939</t>
  </si>
  <si>
    <t>IT1140- CT Chuẩn K69-N13, IT1140- CT Chuẩn K69-N13</t>
  </si>
  <si>
    <t xml:space="preserve"> Chiều T4: Tiết 1230-1500 , Địa điểm: B1-106, Tuần: 8,13,15,17,19
</t>
  </si>
  <si>
    <t>1,421230,421500,8,13,15,17,19,B1-106;</t>
  </si>
  <si>
    <t>Mở(IT1140- CT Chuẩn K69-N13)</t>
  </si>
  <si>
    <t>ru00ht7</t>
  </si>
  <si>
    <t>756951</t>
  </si>
  <si>
    <t>IT1140- CT Chuẩn K69-N25, IT1140- CT Chuẩn K69-N25</t>
  </si>
  <si>
    <t xml:space="preserve"> Sáng T6: Tiết 645-915 , Địa điểm: B1-106, Tuần: 9,12,14,16,18
</t>
  </si>
  <si>
    <t>1,610645,610915,9,12,14,16,18,B1-106;</t>
  </si>
  <si>
    <t>Mở(IT1140- CT Chuẩn K69-N25)</t>
  </si>
  <si>
    <t>756962</t>
  </si>
  <si>
    <t>IT1140- CT Chuẩn K69-N36, IT1140- CT Chuẩn K69-N36</t>
  </si>
  <si>
    <t xml:space="preserve"> Chiều T2: Tiết 1500-1730 , Địa điểm: B1-106, Tuần: 9,12,14,16,18
</t>
  </si>
  <si>
    <t>1,221500,221730,9,12,14,16,18,B1-106;</t>
  </si>
  <si>
    <t>Mở(IT1140- CT Chuẩn K69-N36)</t>
  </si>
  <si>
    <t>qrweu0w</t>
  </si>
  <si>
    <t>756972</t>
  </si>
  <si>
    <t>IT1140- CT Chuẩn K69-N46, IT1140- CT Chuẩn K69-N46</t>
  </si>
  <si>
    <t xml:space="preserve"> Sáng T2: Tiết 915-1145 , Địa điểm: B1-107, Tuần: 8,13,15,17,19
</t>
  </si>
  <si>
    <t>1,210915,211145,8,13,15,17,19,B1-107;</t>
  </si>
  <si>
    <t>Mở(IT1140- CT Chuẩn K69-N46)</t>
  </si>
  <si>
    <t>do0wpld</t>
  </si>
  <si>
    <t>756978</t>
  </si>
  <si>
    <t>IT1140- CT Chuẩn K69-N52, IT1140- CT Chuẩn K69-N52</t>
  </si>
  <si>
    <t xml:space="preserve"> Chiều T3: Tiết 1230-1500 , Địa điểm: B1-107, Tuần: 8,13,15,17,19
</t>
  </si>
  <si>
    <t>1,321230,321500,8,13,15,17,19,B1-107;</t>
  </si>
  <si>
    <t>Vũ Như Đức</t>
  </si>
  <si>
    <t>Mở(IT1140- CT Chuẩn K69-N52)</t>
  </si>
  <si>
    <t>drf6fb1</t>
  </si>
  <si>
    <t>756935</t>
  </si>
  <si>
    <t>IT1140- CT Chuẩn K69-N09, IT1140- CT Chuẩn K69-N09</t>
  </si>
  <si>
    <t xml:space="preserve"> Sáng T5: Tiết 915-1145 , Địa điểm: B1-106, Tuần: 8,13,15,17,19
</t>
  </si>
  <si>
    <t>1,510915,511145,8,13,15,17,19,B1-106;</t>
  </si>
  <si>
    <t>Mở(IT1140- CT Chuẩn K69-N09)</t>
  </si>
  <si>
    <t>hqe3pa4</t>
  </si>
  <si>
    <t>756946</t>
  </si>
  <si>
    <t>IT1140- CT Chuẩn K69-N20, IT1140- CT Chuẩn K69-N20</t>
  </si>
  <si>
    <t xml:space="preserve"> Chiều T6: Tiết 1500-1730 , Địa điểm: B1-106, Tuần: 8,13,15,17,19
</t>
  </si>
  <si>
    <t>1,621500,621730,8,13,15,17,19,B1-106;</t>
  </si>
  <si>
    <t>Mở(IT1140- CT Chuẩn K69-N20)</t>
  </si>
  <si>
    <t>udnkabx</t>
  </si>
  <si>
    <t>756958</t>
  </si>
  <si>
    <t>IT1140- CT Chuẩn K69-N32, IT1140- CT Chuẩn K69-N32</t>
  </si>
  <si>
    <t xml:space="preserve"> Chiều T3: Tiết 1230-1500 , Địa điểm: B1-106, Tuần: 9,12,14,16,18
</t>
  </si>
  <si>
    <t>1,321230,321500,9,12,14,16,18,B1-106;</t>
  </si>
  <si>
    <t>Mở(IT1140- CT Chuẩn K69-N32)</t>
  </si>
  <si>
    <t>a5k0e0g</t>
  </si>
  <si>
    <t>756948</t>
  </si>
  <si>
    <t>IT1140- CT Chuẩn K69-N22, IT1140- CT Chuẩn K69-N22</t>
  </si>
  <si>
    <t xml:space="preserve"> Sáng T3: Tiết 645-915 , Địa điểm: B1-106, Tuần: 9,12,14,16,18
</t>
  </si>
  <si>
    <t>1,310645,310915,9,12,14,16,18,B1-106;</t>
  </si>
  <si>
    <t>Mở(IT1140- CT Chuẩn K69-N22)</t>
  </si>
  <si>
    <t>y58bpd4</t>
  </si>
  <si>
    <t>756994</t>
  </si>
  <si>
    <t>IT1140- CT Chuẩn K69-N68, IT1140- CT Chuẩn K69-N68</t>
  </si>
  <si>
    <t xml:space="preserve"> Sáng T4: Tiết 915-1145 , Địa điểm: B1-107, Tuần: 9,12,14,16,18
</t>
  </si>
  <si>
    <t>1,410915,411145,9,12,14,16,18,B1-107;</t>
  </si>
  <si>
    <t>Mở(IT1140- CT Chuẩn K69-N68)</t>
  </si>
  <si>
    <t>756932</t>
  </si>
  <si>
    <t>IT1140- CT Chuẩn K69-N06, IT1140- CT Chuẩn K69-N06</t>
  </si>
  <si>
    <t xml:space="preserve"> Sáng T2: Tiết 915-1145 , Địa điểm: B1-106, Tuần: 8,13,15,17,19
</t>
  </si>
  <si>
    <t>1,210915,211145,8,13,15,17,19,B1-106;</t>
  </si>
  <si>
    <t>Đỗ Đức Huy</t>
  </si>
  <si>
    <t>Mở(IT1140- CT Chuẩn K69-N06)</t>
  </si>
  <si>
    <t>756979</t>
  </si>
  <si>
    <t>IT1140- CT Chuẩn K69-N53, IT1140- CT Chuẩn K69-N53</t>
  </si>
  <si>
    <t xml:space="preserve"> Chiều T4: Tiết 1230-1500 , Địa điểm: B1-107, Tuần: 8,13,15,17,19
</t>
  </si>
  <si>
    <t>1,421230,421500,8,13,15,17,19,B1-107;</t>
  </si>
  <si>
    <t>Mở(IT1140- CT Chuẩn K69-N53)</t>
  </si>
  <si>
    <t>756991</t>
  </si>
  <si>
    <t>IT1140- CT Chuẩn K69-N65, IT1140- CT Chuẩn K69-N65</t>
  </si>
  <si>
    <t>29</t>
  </si>
  <si>
    <t xml:space="preserve"> Sáng T6: Tiết 645-915 , Địa điểm: B1-107, Tuần: 9,12,14,16,18
</t>
  </si>
  <si>
    <t>1,610645,610915,9,12,14,16,18,B1-107;</t>
  </si>
  <si>
    <t>Mở(IT1140- CT Chuẩn K69-N65)</t>
  </si>
  <si>
    <t>756911</t>
  </si>
  <si>
    <t>IT1110Q-CT SIE (ME-NUT)-K69-N01, IT1110Q-CT SIE (ME-NUT)-K69-N01</t>
  </si>
  <si>
    <t xml:space="preserve"> Chiều T6: Tiết 1230-1500 , Địa điểm: B1-206, Tuần: 8,13,15,17,19
</t>
  </si>
  <si>
    <t>1,621230,621500,8,13,15,17,19,B1-206;</t>
  </si>
  <si>
    <t>Mở(IT1110Q-CT SIE (ME-NUT)-K69-N01)</t>
  </si>
  <si>
    <t>z7jpmup</t>
  </si>
  <si>
    <t>756934</t>
  </si>
  <si>
    <t>IT1140- CT Chuẩn K69-N08, IT1140- CT Chuẩn K69-N08</t>
  </si>
  <si>
    <t xml:space="preserve"> Sáng T4: Tiết 915-1145 , Địa điểm: B1-106, Tuần: 8,13,15,17,19
</t>
  </si>
  <si>
    <t>1,410915,411145,8,13,15,17,19,B1-106;</t>
  </si>
  <si>
    <t>Mở(IT1140- CT Chuẩn K69-N08)</t>
  </si>
  <si>
    <t>756941</t>
  </si>
  <si>
    <t>IT1140- CT Chuẩn K69-N15, IT1140- CT Chuẩn K69-N15</t>
  </si>
  <si>
    <t xml:space="preserve"> Chiều T6: Tiết 1230-1500 , Địa điểm: B1-106, Tuần: 8,13,15,17,19
</t>
  </si>
  <si>
    <t>1,621230,621500,8,13,15,17,19,B1-106;</t>
  </si>
  <si>
    <t>Mở(IT1140- CT Chuẩn K69-N15)</t>
  </si>
  <si>
    <t>2(1-0-2-4)</t>
  </si>
  <si>
    <t>IT1130- Khoa Ngoại ngữ K69-N03, IT1130- Khoa Ngoại ngữ K69-N03</t>
  </si>
  <si>
    <t xml:space="preserve"> Chiều T3: Tiết 1230-1730 , Địa điểm: B1-206, Tuần: 8,13,15,17,19
</t>
  </si>
  <si>
    <t>1,321230,321730,8,13,15,17,19,B1-206;</t>
  </si>
  <si>
    <t>Nguyễn Tài Hưng</t>
  </si>
  <si>
    <t>Mở(IT1130- Khoa Ngoại ngữ K69-N03)</t>
  </si>
  <si>
    <t>4771zjv</t>
  </si>
  <si>
    <t>756942</t>
  </si>
  <si>
    <t>IT1140- CT Chuẩn K69-N16, IT1140- CT Chuẩn K69-N16</t>
  </si>
  <si>
    <t xml:space="preserve"> Chiều T2: Tiết 1500-1730 , Địa điểm: B1-106, Tuần: 8,13,15,17,19
</t>
  </si>
  <si>
    <t>1,221500,221730,8,13,15,17,19,B1-106;</t>
  </si>
  <si>
    <t>Mở(IT1140- CT Chuẩn K69-N16)</t>
  </si>
  <si>
    <t>ov2qutt</t>
  </si>
  <si>
    <t>756995</t>
  </si>
  <si>
    <t>IT1140- CT Chuẩn K69-N69, IT1140- CT Chuẩn K69-N69</t>
  </si>
  <si>
    <t xml:space="preserve"> Sáng T5: Tiết 915-1145 , Địa điểm: B1-107, Tuần: 9,12,14,16,18
</t>
  </si>
  <si>
    <t>1,510915,511145,9,12,14,16,18,B1-107;</t>
  </si>
  <si>
    <t>Mở(IT1140- CT Chuẩn K69-N69)</t>
  </si>
  <si>
    <t>756964</t>
  </si>
  <si>
    <t>IT1140- CT Chuẩn K69-N38, IT1140- CT Chuẩn K69-N38</t>
  </si>
  <si>
    <t xml:space="preserve"> Chiều T4: Tiết 1500-1730 , Địa điểm: B1-106, Tuần: 9,12,14,16,18
</t>
  </si>
  <si>
    <t>1,421500,421730,9,12,14,16,18,B1-106;</t>
  </si>
  <si>
    <t>Mở(IT1140- CT Chuẩn K69-N38)</t>
  </si>
  <si>
    <t>1dsigj6</t>
  </si>
  <si>
    <t>756976</t>
  </si>
  <si>
    <t>IT1140- CT Chuẩn K69-N50, IT1140- CT Chuẩn K69-N50</t>
  </si>
  <si>
    <t xml:space="preserve"> Sáng T6: Tiết 915-1145 , Địa điểm: B1-107, Tuần: 8,13,15,17,19
</t>
  </si>
  <si>
    <t>1,610915,611145,8,13,15,17,19,B1-107;</t>
  </si>
  <si>
    <t>Mở(IT1140- CT Chuẩn K69-N50)</t>
  </si>
  <si>
    <t>IT1130- Khoa Ngoại ngữ K69-N09, IT1130- Khoa Ngoại ngữ K69-N09</t>
  </si>
  <si>
    <t xml:space="preserve"> Chiều T2: Tiết 1230-1730 , Địa điểm: B1-209, Tuần: 8,13,15,17,19
</t>
  </si>
  <si>
    <t>1,221230,221730,8,13,15,17,19,B1-209;</t>
  </si>
  <si>
    <t>Mở(IT1130- Khoa Ngoại ngữ K69-N09)</t>
  </si>
  <si>
    <t>IT1130- Khoa Ngoại ngữ K69-N04, IT1130- Khoa Ngoại ngữ K69-N04</t>
  </si>
  <si>
    <t xml:space="preserve"> Chiều T3: Tiết 1230-1730 , Địa điểm: B1-206, Tuần: 9,12,14,16,18
</t>
  </si>
  <si>
    <t>1,321230,321730,9,12,14,16,18,B1-206;</t>
  </si>
  <si>
    <t>Mở(IT1130- Khoa Ngoại ngữ K69-N04)</t>
  </si>
  <si>
    <t>k5jfr4m</t>
  </si>
  <si>
    <t>756954</t>
  </si>
  <si>
    <t>IT1140- CT Chuẩn K69-N28, IT1140- CT Chuẩn K69-N28</t>
  </si>
  <si>
    <t xml:space="preserve"> Sáng T4: Tiết 915-1145 , Địa điểm: B1-106, Tuần: 9,12,14,16,18
</t>
  </si>
  <si>
    <t>1,410915,411145,9,12,14,16,18,B1-106;</t>
  </si>
  <si>
    <t>Mở(IT1140- CT Chuẩn K69-N28)</t>
  </si>
  <si>
    <t>756931</t>
  </si>
  <si>
    <t>IT1140- CT Chuẩn K69-N05, IT1140- CT Chuẩn K69-N05</t>
  </si>
  <si>
    <t xml:space="preserve"> Sáng T6: Tiết 645-915 , Địa điểm: B1-106, Tuần: 8,13,15,17,19
</t>
  </si>
  <si>
    <t>1,610645,610915,8,13,15,17,19,B1-106;</t>
  </si>
  <si>
    <t>Mở(IT1140- CT Chuẩn K69-N05)</t>
  </si>
  <si>
    <t>756955</t>
  </si>
  <si>
    <t>IT1140- CT Chuẩn K69-N29, IT1140- CT Chuẩn K69-N29</t>
  </si>
  <si>
    <t xml:space="preserve"> Sáng T5: Tiết 915-1145 , Địa điểm: B1-106, Tuần: 9,12,14,16,18
</t>
  </si>
  <si>
    <t>1,510915,511145,9,12,14,16,18,B1-106;</t>
  </si>
  <si>
    <t>Mở(IT1140- CT Chuẩn K69-N29)</t>
  </si>
  <si>
    <t>2cf2xl2</t>
  </si>
  <si>
    <t>IT1130- Khoa Ngoại ngữ K69-N08, IT1130- Khoa Ngoại ngữ K69-N08</t>
  </si>
  <si>
    <t xml:space="preserve"> Chiều T5: Tiết 1230-1730 , Địa điểm: B1-206, Tuần: 9,12,14,16,18
</t>
  </si>
  <si>
    <t>1,521230,521730,9,12,14,16,18,B1-206;</t>
  </si>
  <si>
    <t>Cao Văn Bảo</t>
  </si>
  <si>
    <t>Mở(IT1130- Khoa Ngoại ngữ K69-N08)</t>
  </si>
  <si>
    <t>756912</t>
  </si>
  <si>
    <t>IT1110Q-CT SIE (ME-NUT)-K69-N02, IT1110Q-CT SIE (ME-NUT)-K69-N02</t>
  </si>
  <si>
    <t xml:space="preserve"> Chiều T6: Tiết 1230-1500 , Địa điểm: B1-206, Tuần: 9,12,14,16,18
</t>
  </si>
  <si>
    <t>1,621230,621500,9,12,14,16,18,B1-206;</t>
  </si>
  <si>
    <t>Mở(IT1110Q-CT SIE (ME-NUT)-K69-N02)</t>
  </si>
  <si>
    <t>7hwr5kv</t>
  </si>
  <si>
    <t>756993</t>
  </si>
  <si>
    <t>IT1140- CT Chuẩn K69-N67, IT1140- CT Chuẩn K69-N67</t>
  </si>
  <si>
    <t xml:space="preserve"> Sáng T3: Tiết 915-1145 , Địa điểm: B1-107, Tuần: 9,12,14,16,18
</t>
  </si>
  <si>
    <t>1,310915,311145,9,12,14,16,18,B1-107;</t>
  </si>
  <si>
    <t>Mở(IT1140- CT Chuẩn K69-N67)</t>
  </si>
  <si>
    <t>ndrie8q</t>
  </si>
  <si>
    <t>756973</t>
  </si>
  <si>
    <t>IT1140- CT Chuẩn K69-N47, IT1140- CT Chuẩn K69-N47</t>
  </si>
  <si>
    <t xml:space="preserve"> Sáng T3: Tiết 915-1145 , Địa điểm: B1-107, Tuần: 8,13,15,17,19
</t>
  </si>
  <si>
    <t>1,310915,311145,8,13,15,17,19,B1-107;</t>
  </si>
  <si>
    <t>Mở(IT1140- CT Chuẩn K69-N47)</t>
  </si>
  <si>
    <t>756936</t>
  </si>
  <si>
    <t>IT1140- CT Chuẩn K69-N10, IT1140- CT Chuẩn K69-N10</t>
  </si>
  <si>
    <t xml:space="preserve"> Sáng T6: Tiết 915-1145 , Địa điểm: B1-106, Tuần: 8,13,15,17,19
</t>
  </si>
  <si>
    <t>1,610915,611145,8,13,15,17,19,B1-106;</t>
  </si>
  <si>
    <t>Mở(IT1140- CT Chuẩn K69-N10)</t>
  </si>
  <si>
    <t>756927</t>
  </si>
  <si>
    <t>IT1140- CT Chuẩn K69-N01, IT1140- CT Chuẩn K69-N01</t>
  </si>
  <si>
    <t xml:space="preserve"> Sáng T2: Tiết 645-915 , Địa điểm: B1-106, Tuần: 8,13,15,17,19
</t>
  </si>
  <si>
    <t>1,210645,210915,8,13,15,17,19,B1-106;</t>
  </si>
  <si>
    <t>Mở(IT1140- CT Chuẩn K69-N01)</t>
  </si>
  <si>
    <t>756957</t>
  </si>
  <si>
    <t>IT1140- CT Chuẩn K69-N31, IT1140- CT Chuẩn K69-N31</t>
  </si>
  <si>
    <t xml:space="preserve"> Chiều T2: Tiết 1230-1500 , Địa điểm: B1-106, Tuần: 9,12,14,16,18
</t>
  </si>
  <si>
    <t>1,221230,221500,9,12,14,16,18,B1-106;</t>
  </si>
  <si>
    <t>Mở(IT1140- CT Chuẩn K69-N31)</t>
  </si>
  <si>
    <t>f0o3j5u</t>
  </si>
  <si>
    <t>756945</t>
  </si>
  <si>
    <t>IT1140- CT Chuẩn K69-N19, IT1140- CT Chuẩn K69-N19</t>
  </si>
  <si>
    <t xml:space="preserve"> Chiều T5: Tiết 1500-1730 , Địa điểm: B1-106, Tuần: 8,13,15,17,19
</t>
  </si>
  <si>
    <t>1,521500,521730,8,13,15,17,19,B1-106;</t>
  </si>
  <si>
    <t>Mở(IT1140- CT Chuẩn K69-N19)</t>
  </si>
  <si>
    <t>dzy7q8m</t>
  </si>
  <si>
    <t>IT1130- Khoa Ngoại ngữ K69-N06, IT1130- Khoa Ngoại ngữ K69-N06</t>
  </si>
  <si>
    <t xml:space="preserve"> Chiều T4: Tiết 1230-1730 , Địa điểm: B1-206, Tuần: 9,12,14,16,18
</t>
  </si>
  <si>
    <t>1,421230,421730,9,12,14,16,18,B1-206;</t>
  </si>
  <si>
    <t>Mở(IT1130- Khoa Ngoại ngữ K69-N06)</t>
  </si>
  <si>
    <t>z0g1quq</t>
  </si>
  <si>
    <t>756966</t>
  </si>
  <si>
    <t>IT1140- CT Chuẩn K69-N40, IT1140- CT Chuẩn K69-N40</t>
  </si>
  <si>
    <t xml:space="preserve"> Chiều T6: Tiết 1500-1730 , Địa điểm: B1-106, Tuần: 9,12,14,16,18
</t>
  </si>
  <si>
    <t>1,621500,621730,9,12,14,16,18,B1-106;</t>
  </si>
  <si>
    <t>Mở(IT1140- CT Chuẩn K69-N40)</t>
  </si>
  <si>
    <t>pjk3saw</t>
  </si>
  <si>
    <t>756959</t>
  </si>
  <si>
    <t>IT1140- CT Chuẩn K69-N33, IT1140- CT Chuẩn K69-N33</t>
  </si>
  <si>
    <t xml:space="preserve"> Chiều T4: Tiết 1230-1500 , Địa điểm: B1-106, Tuần: 9,12,14,16,18
</t>
  </si>
  <si>
    <t>1,421230,421500,9,12,14,16,18,B1-106;</t>
  </si>
  <si>
    <t>Mở(IT1140- CT Chuẩn K69-N33)</t>
  </si>
  <si>
    <t>iohw6d0</t>
  </si>
  <si>
    <t>756963</t>
  </si>
  <si>
    <t>IT1140- CT Chuẩn K69-N37, IT1140- CT Chuẩn K69-N37</t>
  </si>
  <si>
    <t xml:space="preserve"> Chiều T3: Tiết 1500-1730 , Địa điểm: B1-106, Tuần: 9,12,14,16,18
</t>
  </si>
  <si>
    <t>1,321500,321730,9,12,14,16,18,B1-106;</t>
  </si>
  <si>
    <t>Mở(IT1140- CT Chuẩn K69-N37)</t>
  </si>
  <si>
    <t>z53b0za</t>
  </si>
  <si>
    <t>IT1130- Khoa Ngoại ngữ K69-N11, IT1130- Khoa Ngoại ngữ K69-N11</t>
  </si>
  <si>
    <t xml:space="preserve"> Chiều T3: Tiết 1230-1730 , Địa điểm: B1-209, Tuần: 8,13,15,17,19
</t>
  </si>
  <si>
    <t>1,321230,321730,8,13,15,17,19,B1-209;</t>
  </si>
  <si>
    <t>Mở(IT1130- Khoa Ngoại ngữ K69-N11)</t>
  </si>
  <si>
    <t>j4wc04t</t>
  </si>
  <si>
    <t>756950</t>
  </si>
  <si>
    <t>IT1140- CT Chuẩn K69-N24, IT1140- CT Chuẩn K69-N24</t>
  </si>
  <si>
    <t xml:space="preserve"> Sáng T5: Tiết 645-915 , Địa điểm: B1-106, Tuần: 9,12,14,16,18
</t>
  </si>
  <si>
    <t>1,510645,510915,9,12,14,16,18,B1-106;</t>
  </si>
  <si>
    <t>Mở(IT1140- CT Chuẩn K69-N24)</t>
  </si>
  <si>
    <t>creb5k7</t>
  </si>
  <si>
    <t>756975</t>
  </si>
  <si>
    <t>IT1140- CT Chuẩn K69-N49, IT1140- CT Chuẩn K69-N49</t>
  </si>
  <si>
    <t xml:space="preserve"> Sáng T5: Tiết 915-1145 , Địa điểm: B1-107, Tuần: 8,13,15,17,19
</t>
  </si>
  <si>
    <t>1,510915,511145,8,13,15,17,19,B1-107;</t>
  </si>
  <si>
    <t>Mở(IT1140- CT Chuẩn K69-N49)</t>
  </si>
  <si>
    <t>756974</t>
  </si>
  <si>
    <t>IT1140- CT Chuẩn K69-N48, IT1140- CT Chuẩn K69-N48</t>
  </si>
  <si>
    <t xml:space="preserve"> Sáng T4: Tiết 915-1145 , Địa điểm: B1-107, Tuần: 8,13,15,17,19
</t>
  </si>
  <si>
    <t>1,410915,411145,8,13,15,17,19,B1-107;</t>
  </si>
  <si>
    <t>Mở(IT1140- CT Chuẩn K69-N48)</t>
  </si>
  <si>
    <t>756996</t>
  </si>
  <si>
    <t>IT1140- CT Chuẩn K69-N70, IT1140- CT Chuẩn K69-N70</t>
  </si>
  <si>
    <t xml:space="preserve"> Sáng T6: Tiết 915-1145 , Địa điểm: B1-107, Tuần: 9,12,14,16,18
</t>
  </si>
  <si>
    <t>1,610915,611145,9,12,14,16,18,B1-107;</t>
  </si>
  <si>
    <t>Mở(IT1140- CT Chuẩn K69-N70)</t>
  </si>
  <si>
    <t>756937</t>
  </si>
  <si>
    <t>IT1140- CT Chuẩn K69-N11, IT1140- CT Chuẩn K69-N11</t>
  </si>
  <si>
    <t xml:space="preserve"> Chiều T2: Tiết 1230-1500 , Địa điểm: B1-106, Tuần: 8,13,15,17,19
</t>
  </si>
  <si>
    <t>1,221230,221500,8,13,15,17,19,B1-106;</t>
  </si>
  <si>
    <t>Mở(IT1140- CT Chuẩn K69-N11)</t>
  </si>
  <si>
    <t>r16syxi</t>
  </si>
  <si>
    <t>756938</t>
  </si>
  <si>
    <t>IT1140- CT Chuẩn K69-N12, IT1140- CT Chuẩn K69-N12</t>
  </si>
  <si>
    <t xml:space="preserve"> Chiều T3: Tiết 1230-1500 , Địa điểm: B1-106, Tuần: 8,13,15,17,19
</t>
  </si>
  <si>
    <t>1,321230,321500,8,13,15,17,19,B1-106;</t>
  </si>
  <si>
    <t>Mở(IT1140- CT Chuẩn K69-N12)</t>
  </si>
  <si>
    <t>45z9q24</t>
  </si>
  <si>
    <t>756940</t>
  </si>
  <si>
    <t>IT1140- CT Chuẩn K69-N14, IT1140- CT Chuẩn K69-N14</t>
  </si>
  <si>
    <t xml:space="preserve"> Chiều T5: Tiết 1230-1500 , Địa điểm: B1-106, Tuần: 8,13,15,17,19
</t>
  </si>
  <si>
    <t>1,521230,521500,8,13,15,17,19,B1-106;</t>
  </si>
  <si>
    <t>Mở(IT1140- CT Chuẩn K69-N14)</t>
  </si>
  <si>
    <t>wj1i6d6</t>
  </si>
  <si>
    <t>756965</t>
  </si>
  <si>
    <t>IT1140- CT Chuẩn K69-N39, IT1140- CT Chuẩn K69-N39</t>
  </si>
  <si>
    <t xml:space="preserve"> Chiều T5: Tiết 1500-1730 , Địa điểm: B1-106, Tuần: 9,12,14,16,18
</t>
  </si>
  <si>
    <t>1,521500,521730,9,12,14,16,18,B1-106;</t>
  </si>
  <si>
    <t>Mở(IT1140- CT Chuẩn K69-N39)</t>
  </si>
  <si>
    <t>n5qr5qu</t>
  </si>
  <si>
    <t>IT1130- Khoa Ngoại ngữ K69-N07, IT1130- Khoa Ngoại ngữ K69-N07</t>
  </si>
  <si>
    <t xml:space="preserve"> Chiều T5: Tiết 1230-1730 , Địa điểm: B1-206, Tuần: 8,13,15,17,19
</t>
  </si>
  <si>
    <t>1,521230,521730,8,13,15,17,19,B1-206;</t>
  </si>
  <si>
    <t>Mở(IT1130- Khoa Ngoại ngữ K69-N07)</t>
  </si>
  <si>
    <t>756961</t>
  </si>
  <si>
    <t>IT1140- CT Chuẩn K69-N35, IT1140- CT Chuẩn K69-N35</t>
  </si>
  <si>
    <t xml:space="preserve"> Chiều T6: Tiết 1230-1500 , Địa điểm: B1-106, Tuần: 9,12,14,16,18
</t>
  </si>
  <si>
    <t>1,621230,621500,9,12,14,16,18,B1-106;</t>
  </si>
  <si>
    <t>Mở(IT1140- CT Chuẩn K69-N35)</t>
  </si>
  <si>
    <t>e1063d0</t>
  </si>
  <si>
    <t>756997</t>
  </si>
  <si>
    <t>IT1140- CT Chuẩn K69-N71, IT1140- CT Chuẩn K69-N71</t>
  </si>
  <si>
    <t xml:space="preserve"> Chiều T2: Tiết 1230-1500 , Địa điểm: B1-107, Tuần: 9,12,14,16,18
</t>
  </si>
  <si>
    <t>1,221230,221500,9,12,14,16,18,B1-107;</t>
  </si>
  <si>
    <t>Mở(IT1140- CT Chuẩn K69-N71)</t>
  </si>
  <si>
    <t>pan5wdn</t>
  </si>
  <si>
    <t>756989</t>
  </si>
  <si>
    <t>IT1140- CT Chuẩn K69-N63, IT1140- CT Chuẩn K69-N63</t>
  </si>
  <si>
    <t xml:space="preserve"> Sáng T4: Tiết 645-915 , Địa điểm: B1-107, Tuần: 9,12,14,16,18
</t>
  </si>
  <si>
    <t>1,410645,410915,9,12,14,16,18,B1-107;</t>
  </si>
  <si>
    <t>Mở(IT1140- CT Chuẩn K69-N63)</t>
  </si>
  <si>
    <t>756956</t>
  </si>
  <si>
    <t>IT1140- CT Chuẩn K69-N30, IT1140- CT Chuẩn K69-N30</t>
  </si>
  <si>
    <t xml:space="preserve"> Sáng T6: Tiết 915-1145 , Địa điểm: B1-106, Tuần: 9,12,14,16,18
</t>
  </si>
  <si>
    <t>1,610915,611145,9,12,14,16,18,B1-106;</t>
  </si>
  <si>
    <t>Mở(IT1140- CT Chuẩn K69-N30)</t>
  </si>
  <si>
    <t>IT1130- Khoa Ngoại ngữ K69-N10, IT1130- Khoa Ngoại ngữ K69-N10</t>
  </si>
  <si>
    <t xml:space="preserve"> Chiều T2: Tiết 1230-1730 , Địa điểm: B1-209, Tuần: 9,12,14,16,18
</t>
  </si>
  <si>
    <t>1,221230,221730,9,12,14,16,18,B1-209;</t>
  </si>
  <si>
    <t>Mở(IT1130- Khoa Ngoại ngữ K69-N10)</t>
  </si>
  <si>
    <t>756977</t>
  </si>
  <si>
    <t>IT1140- CT Chuẩn K69-N51, IT1140- CT Chuẩn K69-N51</t>
  </si>
  <si>
    <t xml:space="preserve"> Chiều T2: Tiết 1230-1500 , Địa điểm: B1-107, Tuần: 8,13,15,17,19
</t>
  </si>
  <si>
    <t>1,221230,221500,8,13,15,17,19,B1-107;</t>
  </si>
  <si>
    <t>Mở(IT1140- CT Chuẩn K69-N51)</t>
  </si>
  <si>
    <t>756929</t>
  </si>
  <si>
    <t>IT1140- CT Chuẩn K69-N03, IT1140- CT Chuẩn K69-N03</t>
  </si>
  <si>
    <t xml:space="preserve"> Sáng T4: Tiết 645-915 , Địa điểm: B1-106, Tuần: 8,13,15,17,19
</t>
  </si>
  <si>
    <t>1,410645,410915,8,13,15,17,19,B1-106;</t>
  </si>
  <si>
    <t>Mở(IT1140- CT Chuẩn K69-N03)</t>
  </si>
  <si>
    <t>756930</t>
  </si>
  <si>
    <t>IT1140- CT Chuẩn K69-N04, IT1140- CT Chuẩn K69-N04</t>
  </si>
  <si>
    <t xml:space="preserve"> Sáng T5: Tiết 645-915 , Địa điểm: B1-106, Tuần: 8,13,15,17,19
</t>
  </si>
  <si>
    <t>1,510645,510915,8,13,15,17,19,B1-106;</t>
  </si>
  <si>
    <t>Mở(IT1140- CT Chuẩn K69-N04)</t>
  </si>
  <si>
    <t>ptqmgva</t>
  </si>
  <si>
    <t>756952</t>
  </si>
  <si>
    <t>IT1140- CT Chuẩn K69-N26, IT1140- CT Chuẩn K69-N26</t>
  </si>
  <si>
    <t xml:space="preserve"> Sáng T2: Tiết 915-1145 , Địa điểm: B1-106, Tuần: 9,12,14,16,18
</t>
  </si>
  <si>
    <t>1,210915,211145,9,12,14,16,18,B1-106;</t>
  </si>
  <si>
    <t>Mở(IT1140- CT Chuẩn K69-N26)</t>
  </si>
  <si>
    <t>756943</t>
  </si>
  <si>
    <t>IT1140- CT Chuẩn K69-N17, IT1140- CT Chuẩn K69-N17</t>
  </si>
  <si>
    <t xml:space="preserve"> Chiều T3: Tiết 1500-1730 , Địa điểm: B1-106, Tuần: 8,13,15,17,19
</t>
  </si>
  <si>
    <t>1,321500,321730,8,13,15,17,19,B1-106;</t>
  </si>
  <si>
    <t>Mở(IT1140- CT Chuẩn K69-N17)</t>
  </si>
  <si>
    <t>u265y88</t>
  </si>
  <si>
    <t>756971</t>
  </si>
  <si>
    <t>IT1140- CT Chuẩn K69-N45, IT1140- CT Chuẩn K69-N45</t>
  </si>
  <si>
    <t xml:space="preserve"> Sáng T6: Tiết 645-915 , Địa điểm: B1-107, Tuần: 8,13,15,17,19
</t>
  </si>
  <si>
    <t>1,610645,610915,8,13,15,17,19,B1-107;</t>
  </si>
  <si>
    <t>Mở(IT1140- CT Chuẩn K69-N45)</t>
  </si>
  <si>
    <t>756947</t>
  </si>
  <si>
    <t>IT1140- CT Chuẩn K69-N21, IT1140- CT Chuẩn K69-N21</t>
  </si>
  <si>
    <t xml:space="preserve"> Sáng T2: Tiết 645-915 , Địa điểm: B1-106, Tuần: 9,12,14,16,18
</t>
  </si>
  <si>
    <t>1,210645,210915,9,12,14,16,18,B1-106;</t>
  </si>
  <si>
    <t>Mở(IT1140- CT Chuẩn K69-N21)</t>
  </si>
  <si>
    <t>IT1130- Khoa Ngoại ngữ K69-N05, IT1130- Khoa Ngoại ngữ K69-N05</t>
  </si>
  <si>
    <t xml:space="preserve"> Chiều T4: Tiết 1230-1730 , Địa điểm: B1-206, Tuần: 8,13,15,17,19
</t>
  </si>
  <si>
    <t>1,421230,421730,8,13,15,17,19,B1-206;</t>
  </si>
  <si>
    <t>Mở(IT1130- Khoa Ngoại ngữ K69-N05)</t>
  </si>
  <si>
    <t>p51yu14</t>
  </si>
  <si>
    <t>756992</t>
  </si>
  <si>
    <t>IT1140- CT Chuẩn K69-N66, IT1140- CT Chuẩn K69-N66</t>
  </si>
  <si>
    <t xml:space="preserve"> Sáng T2: Tiết 915-1145 , Địa điểm: B1-107, Tuần: 9,12,14,16,18
</t>
  </si>
  <si>
    <t>1,210915,211145,9,12,14,16,18,B1-107;</t>
  </si>
  <si>
    <t>Mở(IT1140- CT Chuẩn K69-N66)</t>
  </si>
  <si>
    <t>7lgrfzq</t>
  </si>
  <si>
    <t>756970</t>
  </si>
  <si>
    <t>IT1140- CT Chuẩn K69-N44, IT1140- CT Chuẩn K69-N44</t>
  </si>
  <si>
    <t xml:space="preserve"> Sáng T5: Tiết 645-915 , Địa điểm: B1-107, Tuần: 8,13,15,17,19
</t>
  </si>
  <si>
    <t>1,510645,510915,8,13,15,17,19,B1-107;</t>
  </si>
  <si>
    <t>Mở(IT1140- CT Chuẩn K69-N44)</t>
  </si>
  <si>
    <t>756984</t>
  </si>
  <si>
    <t>IT1140- CT Chuẩn K69-N58, IT1140- CT Chuẩn K69-N58</t>
  </si>
  <si>
    <t xml:space="preserve"> Chiều T4: Tiết 1500-1730 , Địa điểm: B1-107, Tuần: 8,13,15,17,19
</t>
  </si>
  <si>
    <t>1,421500,421730,8,13,15,17,19,B1-107;</t>
  </si>
  <si>
    <t>Mở(IT1140- CT Chuẩn K69-N58)</t>
  </si>
  <si>
    <t>756980</t>
  </si>
  <si>
    <t>IT1140- CT Chuẩn K69-N54, IT1140- CT Chuẩn K69-N54</t>
  </si>
  <si>
    <t xml:space="preserve"> Chiều T5: Tiết 1230-1500 , Địa điểm: B1-107, Tuần: 8,13,15,17,19
</t>
  </si>
  <si>
    <t>1,521230,521500,8,13,15,17,19,B1-107;</t>
  </si>
  <si>
    <t>Mở(IT1140- CT Chuẩn K69-N54)</t>
  </si>
  <si>
    <t>756982</t>
  </si>
  <si>
    <t>IT1140- CT Chuẩn K69-N56, IT1140- CT Chuẩn K69-N56</t>
  </si>
  <si>
    <t xml:space="preserve"> Chiều T2: Tiết 1500-1730 , Địa điểm: B1-107, Tuần: 8,13,15,17,19
</t>
  </si>
  <si>
    <t>1,221500,221730,8,13,15,17,19,B1-107;</t>
  </si>
  <si>
    <t>Mở(IT1140- CT Chuẩn K69-N56)</t>
  </si>
  <si>
    <t>756985</t>
  </si>
  <si>
    <t>IT1140- CT Chuẩn K69-N59, IT1140- CT Chuẩn K69-N59</t>
  </si>
  <si>
    <t xml:space="preserve"> Chiều T5: Tiết 1500-1730 , Địa điểm: B1-107, Tuần: 8,13,15,17,19
</t>
  </si>
  <si>
    <t>1,521500,521730,8,13,15,17,19,B1-107;</t>
  </si>
  <si>
    <t>Mở(IT1140- CT Chuẩn K69-N59)</t>
  </si>
  <si>
    <t>756983</t>
  </si>
  <si>
    <t>IT1140- CT Chuẩn K69-N57, IT1140- CT Chuẩn K69-N57</t>
  </si>
  <si>
    <t xml:space="preserve"> Chiều T3: Tiết 1500-1730 , Địa điểm: B1-107, Tuần: 8,13,15,17,19
</t>
  </si>
  <si>
    <t>1,321500,321730,8,13,15,17,19,B1-107;</t>
  </si>
  <si>
    <t>Mở(IT1140- CT Chuẩn K69-N57)</t>
  </si>
  <si>
    <t>4imr4o6</t>
  </si>
  <si>
    <t>756981</t>
  </si>
  <si>
    <t>IT1140- CT Chuẩn K69-N55, IT1140- CT Chuẩn K69-N55</t>
  </si>
  <si>
    <t xml:space="preserve"> Chiều T6: Tiết 1230-1500 , Địa điểm: B1-107, Tuần: 8,13,15,17,19
</t>
  </si>
  <si>
    <t>1,621230,621500,8,13,15,17,19,B1-107;</t>
  </si>
  <si>
    <t>Mở(IT1140- CT Chuẩn K69-N55)</t>
  </si>
  <si>
    <t>d0ga3yu</t>
  </si>
  <si>
    <t>755579</t>
  </si>
  <si>
    <t>IT4124</t>
  </si>
  <si>
    <t xml:space="preserve">CT Việt Pháp (mở cho sv học chậm học lại), CT Việt Pháp (mở cho sv học chậm học lại) </t>
  </si>
  <si>
    <t>17</t>
  </si>
  <si>
    <t>Mở(CT Việt Pháp (mở cho sv học chậm học lại) )</t>
  </si>
  <si>
    <t>755583</t>
  </si>
  <si>
    <t>IT4991E</t>
  </si>
  <si>
    <t>Internship</t>
  </si>
  <si>
    <t xml:space="preserve">CT ATKGS - sinh viên liên hệ BP TTDN, CT ATKGS - sinh viên liên hệ BP TTDN </t>
  </si>
  <si>
    <t>Mở(CT ATKGS - sinh viên liên hệ BP TTDN )</t>
  </si>
  <si>
    <t>755587</t>
  </si>
  <si>
    <t xml:space="preserve">CNKT - Khoa KHMT, CNKT - Khoa KHMT </t>
  </si>
  <si>
    <t>90</t>
  </si>
  <si>
    <t>110</t>
  </si>
  <si>
    <t>Mở(CNKT - Khoa KHMT )</t>
  </si>
  <si>
    <t>755580</t>
  </si>
  <si>
    <t xml:space="preserve">CT Việt Pháp- sinh viên liên hệ BP TTDN,, CT Việt Pháp- sinh viên liên hệ BP TTDN, </t>
  </si>
  <si>
    <t>Mở(CT Việt Pháp- sinh viên liên hệ BP TTDN, )</t>
  </si>
  <si>
    <t>755584</t>
  </si>
  <si>
    <t xml:space="preserve">CT DS&amp;AI - sinh viên liên hệ BP TTDN, CT DS&amp;AI - sinh viên liên hệ BP TTDN </t>
  </si>
  <si>
    <t>56</t>
  </si>
  <si>
    <t>80</t>
  </si>
  <si>
    <t>Mở(CT DS&amp;AI - sinh viên liên hệ BP TTDN )</t>
  </si>
  <si>
    <t>755574</t>
  </si>
  <si>
    <t>IT3940</t>
  </si>
  <si>
    <t>Project III</t>
  </si>
  <si>
    <t xml:space="preserve">CT Việt- Pháp, CT Việt- Pháp </t>
  </si>
  <si>
    <t>70</t>
  </si>
  <si>
    <t>Mở(CT Việt- Pháp )</t>
  </si>
  <si>
    <t>755582</t>
  </si>
  <si>
    <t>KSTN - sinh viên liên hệ BP TTDN, KSTN - sinh viên liên hệ BP TTDN</t>
  </si>
  <si>
    <t>12</t>
  </si>
  <si>
    <t>Mở(KSTN - sinh viên liên hệ BP TTDN)</t>
  </si>
  <si>
    <t>755586</t>
  </si>
  <si>
    <t>IT4993</t>
  </si>
  <si>
    <t>Đồ án nghiên cứu Cử nhân (CTTN CNTT)</t>
  </si>
  <si>
    <t>8(0-0-16-32)</t>
  </si>
  <si>
    <t>CT Tài năng, CT Tài năng</t>
  </si>
  <si>
    <t>5</t>
  </si>
  <si>
    <t>Mở(CT Tài năng)</t>
  </si>
  <si>
    <t>755568</t>
  </si>
  <si>
    <t>Lớp tài năng KHMT (sv đại trà không đăng ký), Lớp tài năng KHMT (sv đại trà không đăng ký)</t>
  </si>
  <si>
    <t>Mở(Lớp tài năng KHMT (sv đại trà không đăng ký))</t>
  </si>
  <si>
    <t>755585</t>
  </si>
  <si>
    <t>IT4991Q</t>
  </si>
  <si>
    <t xml:space="preserve">CT SIE - sinh viên liên hệ BP TTDN, CT SIE - sinh viên liên hệ BP TTDN </t>
  </si>
  <si>
    <t>20</t>
  </si>
  <si>
    <t>Mở(CT SIE - sinh viên liên hệ BP TTDN )</t>
  </si>
  <si>
    <t>755567</t>
  </si>
  <si>
    <t>CT Việt- Pháp, CT Việt- Pháp</t>
  </si>
  <si>
    <t>Mở(CT Việt- Pháp)</t>
  </si>
  <si>
    <t>755569</t>
  </si>
  <si>
    <t>IT3910E</t>
  </si>
  <si>
    <t xml:space="preserve">CT DS&amp;AI, CT DS&amp;AI, CT DS&amp;AI, CT DS&amp;AI </t>
  </si>
  <si>
    <t>111</t>
  </si>
  <si>
    <t>120</t>
  </si>
  <si>
    <t>Đặng Tuấn Linh, Trần Quang Đức</t>
  </si>
  <si>
    <t>Mở(CT DS&amp;AI, CT DS&amp;AI )</t>
  </si>
  <si>
    <t>755588</t>
  </si>
  <si>
    <t>Cử nhân Tài năng (sv đại trà không đăng ký), Cử nhân Tài năng (sv đại trà không đăng ký)</t>
  </si>
  <si>
    <t>Mở(Cử nhân Tài năng (sv đại trà không đăng ký))</t>
  </si>
  <si>
    <t>755548</t>
  </si>
  <si>
    <t>, B2CQ-CNTT04-K68</t>
  </si>
  <si>
    <t>Mở(B2CQ-CNTT04-K68)</t>
  </si>
  <si>
    <t>755581</t>
  </si>
  <si>
    <t>CN KHMT, CN KTMT - sinh viên liên hệ BP TTDN, CN KHMT, CN KTMT - sinh viên liên hệ BP TTDN</t>
  </si>
  <si>
    <t>276</t>
  </si>
  <si>
    <t>350</t>
  </si>
  <si>
    <t>Mở(CN KHMT, CN KTMT - sinh viên liên hệ BP TTDN)</t>
  </si>
  <si>
    <t>755571</t>
  </si>
  <si>
    <t>IT3930E</t>
  </si>
  <si>
    <t>Project II</t>
  </si>
  <si>
    <t>CT DS&amp;AI, CT DS&amp;AI ( mở cho sv học chậm, học lại), CT DS&amp;AI, CT DS&amp;AI ( mở cho sv học chậm, học lại)</t>
  </si>
  <si>
    <t>Mở(CT DS&amp;AI, CT DS&amp;AI ( mở cho sv học chậm, học lại))</t>
  </si>
  <si>
    <t>755589</t>
  </si>
  <si>
    <t>IT4995E</t>
  </si>
  <si>
    <t>Thesis</t>
  </si>
  <si>
    <t xml:space="preserve">CT DS&amp;AI, CT DS&amp;AI </t>
  </si>
  <si>
    <t>Đặng Tuấn Linh</t>
  </si>
  <si>
    <t>Mở(CT DS&amp;AI )</t>
  </si>
  <si>
    <t>755572</t>
  </si>
  <si>
    <t>IT3931</t>
  </si>
  <si>
    <t>Hệ chuẩn Khoa KTMT (mở cho sv học chậm, học lại), Hệ chuẩn Khoa KTMT (mở cho sv học chậm, học lại)</t>
  </si>
  <si>
    <t>54</t>
  </si>
  <si>
    <t>55</t>
  </si>
  <si>
    <t>Trần Hải Anh, Nguyễn Linh Giang, Ngô Lam Trung</t>
  </si>
  <si>
    <t>Mở(Hệ chuẩn Khoa KTMT (mở cho sv học chậm, học lại))</t>
  </si>
  <si>
    <t>755566</t>
  </si>
  <si>
    <t>Hệ chuẩn (KHMT, KTMT), Hệ chuẩn (KHMT, KTMT)</t>
  </si>
  <si>
    <t>519</t>
  </si>
  <si>
    <t>550</t>
  </si>
  <si>
    <t>Mở(Hệ chuẩn (KHMT, KTMT))</t>
  </si>
  <si>
    <t>755570</t>
  </si>
  <si>
    <t>IT3930</t>
  </si>
  <si>
    <t>Hệ chuẩn (mở cho sv học chậm, học lại), Hệ chuẩn (mở cho sv học chậm, học lại)</t>
  </si>
  <si>
    <t>Mở(Hệ chuẩn (mở cho sv học chậm, học lại))</t>
  </si>
  <si>
    <t>755591</t>
  </si>
  <si>
    <t>IT4998</t>
  </si>
  <si>
    <t>Đồ án nghiên cứu Cử nhân (Khoa học máy tính)</t>
  </si>
  <si>
    <t xml:space="preserve">Ngành Khoa học máy tính, Ngành Khoa học máy tính </t>
  </si>
  <si>
    <t>Mở(Ngành Khoa học máy tính )</t>
  </si>
  <si>
    <t>755573</t>
  </si>
  <si>
    <t>755599</t>
  </si>
  <si>
    <t>IT5160</t>
  </si>
  <si>
    <t>Đồ án kỹ sư</t>
  </si>
  <si>
    <t>9(0-0-18-36)</t>
  </si>
  <si>
    <t>KSCS-GenAI, KSCS-GenAI</t>
  </si>
  <si>
    <t>Mở(KSCS-GenAI)</t>
  </si>
  <si>
    <t>755590</t>
  </si>
  <si>
    <t>IT4997</t>
  </si>
  <si>
    <t>CTĐT - Cử nhân KTMT, CTĐT - Cử nhân KTMT</t>
  </si>
  <si>
    <t>Mở(CTĐT - Cử nhân KTMT)</t>
  </si>
  <si>
    <t>755594</t>
  </si>
  <si>
    <t>IT5003</t>
  </si>
  <si>
    <t>755577</t>
  </si>
  <si>
    <t>IT3940E</t>
  </si>
  <si>
    <t>755595</t>
  </si>
  <si>
    <t>IT5007</t>
  </si>
  <si>
    <t>Đồ án thiết kế Kỹ thuật máy tính</t>
  </si>
  <si>
    <t>CTĐT KTMT - Bổ sung chuyên ngành KS1 (dành cho K64 về trước), CTĐT KTMT - Bổ sung chuyên ngành KS1 (dành cho K64 về trước)</t>
  </si>
  <si>
    <t>Mở(CTĐT KTMT - Bổ sung chuyên ngành KS1 (dành cho K64 về trước))</t>
  </si>
  <si>
    <t>755592</t>
  </si>
  <si>
    <t>IT4998E</t>
  </si>
  <si>
    <t>Đồ án nghiên cứu Cử nhân (Khoa học dữ liệu và Trí tuệ nhân tạo)</t>
  </si>
  <si>
    <t xml:space="preserve">Mở cho sinh viên học tích hợp lên ThS CT DS&amp;AI,, Mở cho sinh viên học tích hợp lên ThS CT DS&amp;AI, </t>
  </si>
  <si>
    <t>Mở(Mở cho sinh viên học tích hợp lên ThS CT DS&amp;AI, )</t>
  </si>
  <si>
    <t>755598</t>
  </si>
  <si>
    <t>IT5150</t>
  </si>
  <si>
    <t xml:space="preserve">KS KTMT, KS KTMT </t>
  </si>
  <si>
    <t>Mở(KS KTMT )</t>
  </si>
  <si>
    <t>755597</t>
  </si>
  <si>
    <t>IT5140</t>
  </si>
  <si>
    <t>KS KHMT, KS KHMT</t>
  </si>
  <si>
    <t>7</t>
  </si>
  <si>
    <t>Mở(KS KHMT)</t>
  </si>
  <si>
    <t>755578</t>
  </si>
  <si>
    <t>IT3943</t>
  </si>
  <si>
    <t>CN KTMT, CN KTMT</t>
  </si>
  <si>
    <t>300</t>
  </si>
  <si>
    <t>Mở(CN KTMT)</t>
  </si>
  <si>
    <t>755575</t>
  </si>
  <si>
    <t>CN KHMT, CN KHMT</t>
  </si>
  <si>
    <t>298</t>
  </si>
  <si>
    <t>Mở(CN KHMT)</t>
  </si>
  <si>
    <t>755593</t>
  </si>
  <si>
    <t>IT4999</t>
  </si>
  <si>
    <t>Đồ án nghiên cứu Cử nhân (Kỹ thuật máy tính)</t>
  </si>
  <si>
    <t>Ngành Kỹ thuật máy tính, Ngành Kỹ thuật máy tính</t>
  </si>
  <si>
    <t>Mở(Ngành Kỹ thuật máy tính)</t>
  </si>
  <si>
    <t>755576</t>
  </si>
  <si>
    <t xml:space="preserve">CT ATKGS, CT ATKGS </t>
  </si>
  <si>
    <t>Mở(CT ATKGS )</t>
  </si>
  <si>
    <t>755500</t>
  </si>
  <si>
    <t>755072</t>
  </si>
  <si>
    <t xml:space="preserve"> Tối T2: Tiết 1-4 , Địa điểm: TC 211, Tuần: 10-12
 Tối T3: Tiết 1-4 , Địa điểm: TC 211, Tuần: 10-12
 Tối T4: Tiết 1-4 , Địa điểm: TC 211, Tuần: 10-12
 Tối T5: Tiết 1-4 , Địa điểm: TC 211, Tuần: 10-12
 Tối T6: Tiết 1-4 , Địa điểm: TC 211, Tuần: 10-12
 Sáng T7: Tiết 1-4 , Địa điểm: TC 211, Tuần: 10-12
 Chiều T7: Tiết 1-4 , Địa điểm: TC 211, Tuần: 10-12
</t>
  </si>
  <si>
    <t>755076</t>
  </si>
  <si>
    <t>bang.banha@hust.edu.vn</t>
  </si>
  <si>
    <t>0985819467</t>
  </si>
  <si>
    <t>755443</t>
  </si>
  <si>
    <t>IT5120</t>
  </si>
  <si>
    <t>9(0-0-18-18)</t>
  </si>
  <si>
    <t>*Việt Nhật K64 về trước, *Việt Nhật K64 về trước</t>
  </si>
  <si>
    <t>Mở(*Việt Nhật K64 về trước)</t>
  </si>
  <si>
    <t>755084</t>
  </si>
  <si>
    <t>755078</t>
  </si>
  <si>
    <t>755070</t>
  </si>
  <si>
    <t>https://teams.microsoft.com/l/team/19%3Aah9ayQTURobCn03lnhV5xKIRNCRMXA6cI5CqbNWLtzU1%40thread.tacv2/conversations?groupId=1523ef48-a28a-4be8-87f0-fd4bbbc0f0a5&amp;tenantId=06f1b89f-07e8-464f-b408-ec1b45703f31</t>
  </si>
  <si>
    <t>6gqzq77</t>
  </si>
  <si>
    <t>755445</t>
  </si>
  <si>
    <t>IT5021E</t>
  </si>
  <si>
    <t>*ICT K64 về trước, *ICT K64 về trước</t>
  </si>
  <si>
    <t>Mở(*ICT K64 về trước)</t>
  </si>
  <si>
    <t>755077</t>
  </si>
  <si>
    <t>https://teams.microsoft.com/l/team/19%3ACRFHY41qI6968aEOcabFrG77IHMGfHzcBXnJc9Vuf-w1%40thread.tacv2/conversations?groupId=e5690bd4-2731-4286-9188-cea3d2e355a6&amp;tenantId=06f1b89f-07e8-464f-b408-ec1b45703f31</t>
  </si>
  <si>
    <t>tt1hji6</t>
  </si>
  <si>
    <t>755071</t>
  </si>
  <si>
    <t>755444</t>
  </si>
  <si>
    <t>IT5120E</t>
  </si>
  <si>
    <t>755458</t>
  </si>
  <si>
    <t>IT5024E</t>
  </si>
  <si>
    <t>Graduation Research 2</t>
  </si>
  <si>
    <t>*ICT K67, *ICT K67</t>
  </si>
  <si>
    <t>Mở(*ICT K67)</t>
  </si>
  <si>
    <t>755083</t>
  </si>
  <si>
    <t>Vũ Văn Thiệu</t>
  </si>
  <si>
    <t>thieu.vuvan@hust.edu.vn</t>
  </si>
  <si>
    <t>0982928307</t>
  </si>
  <si>
    <t>755075</t>
  </si>
  <si>
    <t>tien.nguyenduc@hust.edu.vn</t>
  </si>
  <si>
    <t>0913137399</t>
  </si>
  <si>
    <t>755835</t>
  </si>
  <si>
    <t>, B2CQ-CNTT03-K68</t>
  </si>
  <si>
    <t>Mở(B2CQ-CNTT03-K68)</t>
  </si>
  <si>
    <t>755457</t>
  </si>
  <si>
    <t>IT5022</t>
  </si>
  <si>
    <t>Nghiên cứu tốt nghiệp 2</t>
  </si>
  <si>
    <t>*Việt Nhật K67, *Việt Nhật K67</t>
  </si>
  <si>
    <t>349</t>
  </si>
  <si>
    <t>370</t>
  </si>
  <si>
    <t>Mở(*Việt Nhật K67)</t>
  </si>
  <si>
    <t>755455</t>
  </si>
  <si>
    <t>IT4125E</t>
  </si>
  <si>
    <t>Bachelor Thesis</t>
  </si>
  <si>
    <t>*ICT K66, *ICT K66</t>
  </si>
  <si>
    <t>Mở(*ICT K66)</t>
  </si>
  <si>
    <t>755447</t>
  </si>
  <si>
    <t>IT5022E</t>
  </si>
  <si>
    <t>755832</t>
  </si>
  <si>
    <t>, B2CQ-CNTT02-K68</t>
  </si>
  <si>
    <t>18/09/2025</t>
  </si>
  <si>
    <t>29/10/2025</t>
  </si>
  <si>
    <t>Mở(B2CQ-CNTT02-K68)</t>
  </si>
  <si>
    <t>755454</t>
  </si>
  <si>
    <t>IT4125</t>
  </si>
  <si>
    <t>*Việt Nhật K66, *Việt Nhật K66</t>
  </si>
  <si>
    <t>59</t>
  </si>
  <si>
    <t>Mở(*Việt Nhật K66)</t>
  </si>
  <si>
    <t>755448</t>
  </si>
  <si>
    <t>IT5030</t>
  </si>
  <si>
    <t>Nghiên cứu tốt nghiệp 3</t>
  </si>
  <si>
    <t>8</t>
  </si>
  <si>
    <t>755456</t>
  </si>
  <si>
    <t>IT4948</t>
  </si>
  <si>
    <t>Thực tập công nghiệp</t>
  </si>
  <si>
    <t>196</t>
  </si>
  <si>
    <t>755833</t>
  </si>
  <si>
    <t>30/10/2025</t>
  </si>
  <si>
    <t>06/02/2026</t>
  </si>
  <si>
    <t>755834</t>
  </si>
  <si>
    <t>755831</t>
  </si>
  <si>
    <t>IT4501</t>
  </si>
  <si>
    <t>Đảm bảo chất lượng Phần mềm</t>
  </si>
  <si>
    <t>06/09/2025</t>
  </si>
  <si>
    <t>17/09/2025</t>
  </si>
  <si>
    <t xml:space="preserve"> Sáng T7: Tiết 2-6 , Địa điểm: TC210, Tuần: 1-3
 Sáng T7: Tiết 2-6 , Địa điểm: TC210, Tuần: 1-3
 Tối T2: Tiết 1-4 , Địa điểm: TC210, Tuần: 1-3
 Tối T3: Tiết 1-4 , Địa điểm: TC210, Tuần: 1-3
 Tối T4: Tiết 1-4 , Địa điểm: TC210, Tuần: 1-3
 Tối T5: Tiết 1-4 , Địa điểm: TC210, Tuần: 1-3
 Tối T6: Tiết 1-4 , Địa điểm: TC210, Tuần: 1-3
</t>
  </si>
  <si>
    <t>TC210, TC210, TC210, TC210, TC210, TC210, TC210</t>
  </si>
  <si>
    <t>tuan.nguyenmanh@hust.edu.vn</t>
  </si>
  <si>
    <t>0904681984</t>
  </si>
  <si>
    <t>755712</t>
  </si>
  <si>
    <t>Nguyễn Thị Thu Trang</t>
  </si>
  <si>
    <t>755717</t>
  </si>
  <si>
    <t>IT4350</t>
  </si>
  <si>
    <t>Kiến trúc các hệ thống thông tin và ứng dụng</t>
  </si>
  <si>
    <t>Nguyễn Hữu Đức, Nguyễn Bình Minh</t>
  </si>
  <si>
    <t>1kz8ng7</t>
  </si>
  <si>
    <t>755345</t>
  </si>
  <si>
    <t>, LT-BK-CoĐT01-K69</t>
  </si>
  <si>
    <t>25/10/2025</t>
  </si>
  <si>
    <t>07/11/2025</t>
  </si>
  <si>
    <t xml:space="preserve"> Tối T2: Tiết 1-4 , Địa điểm: TC310, Tuần: 7
 Tối T3: Tiết 1-4 , Địa điểm: TC310, Tuần: 7
 Tối T4: Tiết 1-4 , Địa điểm: TC310, Tuần: 7
 Tối T5: Tiết 1-4 , Địa điểm: TC310, Tuần: 7
 Tối T6: Tiết 1-4 , Địa điểm: TC310, Tuần: 7
  T7: Tiết 1-6 , Địa điểm: TC310, Tuần: 7
  CN: Tiết 1-6 , Địa điểm: TC310, Tuần: 7
</t>
  </si>
  <si>
    <t>TC310, TC310, TC310, TC310, TC310, TC310, TC310</t>
  </si>
  <si>
    <t>ly.dinhthiha@hust.edu.vn</t>
  </si>
  <si>
    <t>0972001326</t>
  </si>
  <si>
    <t>Mở(LT-BK-CoĐT01-K69)</t>
  </si>
  <si>
    <t>4lo21e6</t>
  </si>
  <si>
    <t>755714</t>
  </si>
  <si>
    <t>yxduoac</t>
  </si>
  <si>
    <t>755711</t>
  </si>
  <si>
    <t>755729</t>
  </si>
  <si>
    <t>1ab5ulf</t>
  </si>
  <si>
    <t>754880</t>
  </si>
  <si>
    <t>68</t>
  </si>
  <si>
    <t>754884</t>
  </si>
  <si>
    <t>75</t>
  </si>
  <si>
    <t>Tuan.NguyenQuoc@hust.edu.vn</t>
  </si>
  <si>
    <t>0397775933</t>
  </si>
  <si>
    <t>r76jg2f</t>
  </si>
  <si>
    <t>755728</t>
  </si>
  <si>
    <t>165690</t>
  </si>
  <si>
    <t>Nguyễn Bá Ngọc</t>
  </si>
  <si>
    <t>, KT máy tính - KH máy tính-K67C</t>
  </si>
  <si>
    <t xml:space="preserve"> Chiều T2: Tiết 1-3 , Địa điểm: TC-510, Tuần: 2-9,11-19
</t>
  </si>
  <si>
    <t>TC-510</t>
  </si>
  <si>
    <t>ngoc.nguyenba@hust.edu.vn</t>
  </si>
  <si>
    <t>0975202268</t>
  </si>
  <si>
    <t>Mở(KT máy tính - KH máy tính-K67C)</t>
  </si>
  <si>
    <t>165279</t>
  </si>
  <si>
    <t>Tạ Hải Tùng</t>
  </si>
  <si>
    <t>KH máy tính - KT máy tính- Tài năng KHMT-K70C, KH máy tính - KT máy tính- Tài năng KHMT-K70C</t>
  </si>
  <si>
    <t>536</t>
  </si>
  <si>
    <t>600</t>
  </si>
  <si>
    <t xml:space="preserve"> Chiều T5: Tiết 5-6 , Địa điểm: B1-405, Tuần: 2-10,14-20
</t>
  </si>
  <si>
    <t>1,525,526,2-10,14-20,2-10,14-20</t>
  </si>
  <si>
    <t>tung.tahai@hust.edu.vn</t>
  </si>
  <si>
    <t>0904509467</t>
  </si>
  <si>
    <t>Lại Lâm Vũ (TA); BÙi Đức Phan Hoàng; LẠI LÂM VŨ</t>
  </si>
  <si>
    <t>Mở(KH máy tính - KT máy tính- Tài năng KHMT-K70C)</t>
  </si>
  <si>
    <t>165278</t>
  </si>
  <si>
    <t>KH máy tính 01,02,03,04-K70C, KH máy tính 01,02,03,04-K70C</t>
  </si>
  <si>
    <t>177</t>
  </si>
  <si>
    <t>200</t>
  </si>
  <si>
    <t xml:space="preserve"> Chiều T5: Tiết 1-3 , Địa điểm: GD-B1, Tuần: 2-10,14-20
</t>
  </si>
  <si>
    <t>1,521,523,2-10,14-20,2-10,14-20</t>
  </si>
  <si>
    <t>Mở(KH máy tính 01,02,03,04-K70C)</t>
  </si>
  <si>
    <t>165293</t>
  </si>
  <si>
    <t>KT máy tính 01,02,03,04-K70S, KT máy tính 01,02,03,04-K70S</t>
  </si>
  <si>
    <t>175</t>
  </si>
  <si>
    <t>190</t>
  </si>
  <si>
    <t xml:space="preserve"> Sáng T5: Tiết 4-6 , Địa điểm: D5-301, Tuần: 2-10,14-20
</t>
  </si>
  <si>
    <t>1,514,516,2-10,14-20,2-10,14-20</t>
  </si>
  <si>
    <t>D5-301</t>
  </si>
  <si>
    <t>trung.ngothanh@hust.edu.vn</t>
  </si>
  <si>
    <t>0963197621</t>
  </si>
  <si>
    <t>Mở(KT máy tính 01,02,03,04-K70S)</t>
  </si>
  <si>
    <t>165286</t>
  </si>
  <si>
    <t>KH máy tính 05,06,07 - KT máy tính 05-K70S, KH máy tính 05,06,07 - KT máy tính 05-K70S</t>
  </si>
  <si>
    <t>169</t>
  </si>
  <si>
    <t xml:space="preserve"> Sáng T5: Tiết 1-3 , Địa điểm: D5-301, Tuần: 2-10,14-20
</t>
  </si>
  <si>
    <t>1,511,513,2-10,14-20,2-10,14-20</t>
  </si>
  <si>
    <t>tung.doanphong@hust.edu.vn</t>
  </si>
  <si>
    <t>081 487 0817</t>
  </si>
  <si>
    <t>Mở(KH máy tính 05,06,07 - KT máy tính 05-K70S)</t>
  </si>
  <si>
    <t>https://teams.microsoft.com/l/team/19%3AcjAuI7NrQ3QezVE_0-5J99Y8wZMQL_Mv-ESbR5DwIVg1%40thread.tacv2/conversations?groupId=6f0db4f5-d9ae-43a5-84a0-7ae110cd0b7b&amp;tenantId=06f1b89f-07e8-464f-b408-ec1b45703f31</t>
  </si>
  <si>
    <t>f269y1s</t>
  </si>
  <si>
    <t>755603</t>
  </si>
  <si>
    <t>IT5904</t>
  </si>
  <si>
    <t>12(0-0-24-48)</t>
  </si>
  <si>
    <t>KSCLC từ K60 - K64 (sv đại trà không đăng ký), KSCLC từ K60 - K64 (sv đại trà không đăng ký)</t>
  </si>
  <si>
    <t>Mở(KSCLC từ K60 - K64 (sv đại trà không đăng ký))</t>
  </si>
  <si>
    <t>755600</t>
  </si>
  <si>
    <t>IT5240Q</t>
  </si>
  <si>
    <t>CT SIE, CT SIE</t>
  </si>
  <si>
    <t>Mở(CT SIE)</t>
  </si>
  <si>
    <t>165705</t>
  </si>
  <si>
    <t>IT5452</t>
  </si>
  <si>
    <t>Các công nghệ truyền thông trên ô tô</t>
  </si>
  <si>
    <t>, KSCS - Ôtô số</t>
  </si>
  <si>
    <t xml:space="preserve"> Tối T6: Tiết 1800-2030 , Địa điểm: C7-115, Tuần: 2-9,11-19
</t>
  </si>
  <si>
    <t>C7-115</t>
  </si>
  <si>
    <t>chien.trinhvan@hust.edu.vn</t>
  </si>
  <si>
    <t>0854690917</t>
  </si>
  <si>
    <t>Mở(KSCS - Ôtô số)</t>
  </si>
  <si>
    <t>755602</t>
  </si>
  <si>
    <t>IT5417</t>
  </si>
  <si>
    <t>Đồ án chuyên ngành I</t>
  </si>
  <si>
    <t>755601</t>
  </si>
  <si>
    <t>IT5315Q</t>
  </si>
  <si>
    <t>Đồ án tốt nghiệp kỹ sư (CNTT)</t>
  </si>
  <si>
    <t>12(0-0-24-24)</t>
  </si>
  <si>
    <t xml:space="preserve">CT SIE, CT SIE </t>
  </si>
  <si>
    <t>Mở(CT SIE )</t>
  </si>
  <si>
    <t>164951</t>
  </si>
  <si>
    <t>Đàm Quang Tuấn</t>
  </si>
  <si>
    <t>**CTTT KHDL 01,02-K70C, **CTTT KHDL 01,02-K70C</t>
  </si>
  <si>
    <t>62</t>
  </si>
  <si>
    <t xml:space="preserve"> Chiều T4: Tiết 1-4 , Địa điểm: D6-107, Tuần: 3-19
</t>
  </si>
  <si>
    <t>1,421,424,3-19,3-19</t>
  </si>
  <si>
    <t>D6-107</t>
  </si>
  <si>
    <t>tuan.damquang@hust.edu.vn</t>
  </si>
  <si>
    <t>0966581455</t>
  </si>
  <si>
    <t>Khúc Ngọc Nam; Nguyễn Đình Trường</t>
  </si>
  <si>
    <t>Mở(**CTTT KHDL 01,02-K70C)</t>
  </si>
  <si>
    <t>164952</t>
  </si>
  <si>
    <t>**CTTT KHDL 03, ATKG-K70S, **CTTT KHDL 03, ATKG-K70S</t>
  </si>
  <si>
    <t>81</t>
  </si>
  <si>
    <t xml:space="preserve"> Sáng T3: Tiết 1-4 , Địa điểm: C7-223, Tuần: 3-19
</t>
  </si>
  <si>
    <t>1,311,314,3-19,3-19</t>
  </si>
  <si>
    <t>Nguyễn Bảo Châu; Kiều Sơn Tùng</t>
  </si>
  <si>
    <t>Mở(**CTTT KHDL 03, ATKG-K70S)</t>
  </si>
  <si>
    <t>164907</t>
  </si>
  <si>
    <t>Nguyễn Văn Sơn</t>
  </si>
  <si>
    <t>**Tài năng KHMT-K70C, **Tài năng KHMT-K70C</t>
  </si>
  <si>
    <t xml:space="preserve"> Chiều T6: Tiết 1-3 , Địa điểm: C7-203, Tuần: 3-19
</t>
  </si>
  <si>
    <t>1,621,623,3-19,3-19</t>
  </si>
  <si>
    <t>C7-203</t>
  </si>
  <si>
    <t>son.nguyenvan@hust.edu.vn</t>
  </si>
  <si>
    <t>0987946797</t>
  </si>
  <si>
    <t>Mở(**Tài năng KHMT-K70C)</t>
  </si>
  <si>
    <t>163217</t>
  </si>
  <si>
    <t>KT Hóa học - Hóa học-K69S, KT Hóa học - Hóa học-K69S</t>
  </si>
  <si>
    <t>288</t>
  </si>
  <si>
    <t>290</t>
  </si>
  <si>
    <t xml:space="preserve"> Sáng T6: Tiết 1-4 , Địa điểm: GD-B1, Tuần: 2-9,11-19
</t>
  </si>
  <si>
    <t>1,611,614,2-9,11-19,GD-B1</t>
  </si>
  <si>
    <t>anh.dotuan@hust.edu.vn</t>
  </si>
  <si>
    <t>989095167</t>
  </si>
  <si>
    <t>Mở(KT Hóa học - Hóa học-K69S)</t>
  </si>
  <si>
    <t>kcyxvat</t>
  </si>
  <si>
    <t>163219</t>
  </si>
  <si>
    <t xml:space="preserve"> Sáng T4: Tiết 3-6 , Địa điểm: GD-B1, Tuần: 2-9,11-19
</t>
  </si>
  <si>
    <t>1,413,416,2-9,11-19,GD-B1</t>
  </si>
  <si>
    <t>duc.tranquang@hust.edu.vn</t>
  </si>
  <si>
    <t>0916192156</t>
  </si>
  <si>
    <t>7lauxsu</t>
  </si>
  <si>
    <t>163218</t>
  </si>
  <si>
    <t>250</t>
  </si>
  <si>
    <t xml:space="preserve"> Sáng T2: Tiết 5-6 , Địa điểm: GD-B1, Tuần: 2-9,11-19
 Sáng T4: Tiết 1-2 , Địa điểm: GD-B1, Tuần: 2-9,11-19
</t>
  </si>
  <si>
    <t>2,411,412,2-9,11-19,GD-B1;1,215,216,2-9,11-19,GD-B1</t>
  </si>
  <si>
    <t>GD-B1, GD-B1</t>
  </si>
  <si>
    <t>h7qg2lw</t>
  </si>
  <si>
    <t>163788</t>
  </si>
  <si>
    <t>Vật liệu - Polyme - KT in-K69C, Vật liệu - Polyme - KT in-K69C</t>
  </si>
  <si>
    <t xml:space="preserve"> Chiều T4: Tiết 1-4 , Địa điểm: D5-301, Tuần: 2-9,11-19
</t>
  </si>
  <si>
    <t>1,421,424,2-9,11-19,GD-B1</t>
  </si>
  <si>
    <t>dung.dotien@hust.edu.vn</t>
  </si>
  <si>
    <t>0919790797</t>
  </si>
  <si>
    <t>Mở(Vật liệu - Polyme - KT in-K69C)</t>
  </si>
  <si>
    <t>163787</t>
  </si>
  <si>
    <t>198</t>
  </si>
  <si>
    <t xml:space="preserve"> Chiều T2: Tiết 1-2 , Địa điểm: GD-B1, Tuần: 2-9,11-19
 Chiều T4: Tiết 5-6 , Địa điểm: D5-301, Tuần: 2-9,11-19
</t>
  </si>
  <si>
    <t>2,425,426,2-9,11-19,GD-B1;1,221,222,2-9,11-19,GD-B1</t>
  </si>
  <si>
    <t>GD-B1, D5-301</t>
  </si>
  <si>
    <t>uj92jw2</t>
  </si>
  <si>
    <t>163419</t>
  </si>
  <si>
    <t>Sinh học - Thực phẩm-K69C, Sinh học - Thực phẩm-K69C</t>
  </si>
  <si>
    <t>226</t>
  </si>
  <si>
    <t xml:space="preserve"> Chiều T4: Tiết 5-6 , Địa điểm: GD-B1, Tuần: 2-9,11-19
 Chiều T6: Tiết 1-2 , Địa điểm: GD-B1, Tuần: 2-9,11-19
</t>
  </si>
  <si>
    <t>2,621,622,2-9,11-19,GD-B1;1,425,426,2-9,11-19,GD-B1</t>
  </si>
  <si>
    <t>Mở(Sinh học - Thực phẩm-K69C)</t>
  </si>
  <si>
    <t>163418</t>
  </si>
  <si>
    <t xml:space="preserve"> Chiều T4: Tiết 1-4 , Địa điểm: GD-B1, Tuần: 2-9,11-19
</t>
  </si>
  <si>
    <t>164862</t>
  </si>
  <si>
    <t>Ngô Văn Linh</t>
  </si>
  <si>
    <t>, KSCS-GenAI - Kỳ chuẩn 1</t>
  </si>
  <si>
    <t xml:space="preserve"> Tối T5: Tiết 1830-2130 , Địa điểm: B1-405, Tuần: 2-9,11-18
</t>
  </si>
  <si>
    <t>linh.ngovan@hust.edu.vn</t>
  </si>
  <si>
    <t>0393055388</t>
  </si>
  <si>
    <t>Mở(KSCS-GenAI - Kỳ chuẩn 1)</t>
  </si>
  <si>
    <t>8hgg3kx</t>
  </si>
  <si>
    <t>164865</t>
  </si>
  <si>
    <t>, KSCS-GenAI - Khối kiến thức ngành rộng</t>
  </si>
  <si>
    <t xml:space="preserve"> Chiều T7: Tiết 1505-1805 , Địa điểm: B1-504, Tuần: 2-9,11-18
</t>
  </si>
  <si>
    <t>Mở(KSCS-GenAI - Khối kiến thức ngành rộng)</t>
  </si>
  <si>
    <t>164858</t>
  </si>
  <si>
    <t>, Tài năng KHMT-K67C</t>
  </si>
  <si>
    <t xml:space="preserve"> Chiều T6: Tiết 1-3 , Địa điểm: B1-405, Tuần: 4,7,11,13,15
</t>
  </si>
  <si>
    <t>Mở(Tài năng KHMT-K67C)</t>
  </si>
  <si>
    <t>163526</t>
  </si>
  <si>
    <t>Môi trường - QLTN Môi trường-K69S, Môi trường - QLTN Môi trường-K69S</t>
  </si>
  <si>
    <t>248</t>
  </si>
  <si>
    <t xml:space="preserve"> Sáng T3: Tiết 1-4 , Địa điểm: GD-B1, Tuần: 2-9,11-19
</t>
  </si>
  <si>
    <t>1,311,314,2-9,11-19,GD-B1</t>
  </si>
  <si>
    <t>phuc.trinhanh@hust.edu.vn</t>
  </si>
  <si>
    <t>0942227941</t>
  </si>
  <si>
    <t>Mở(Môi trường - QLTN Môi trường-K69S)</t>
  </si>
  <si>
    <t>tzaxt1b</t>
  </si>
  <si>
    <t>164867</t>
  </si>
  <si>
    <t xml:space="preserve"> Tối T2: Tiết 1830-2130 , Địa điểm: B1-504, Tuần: 2-9,11-18
</t>
  </si>
  <si>
    <t>dg4vhlx</t>
  </si>
  <si>
    <t>164864</t>
  </si>
  <si>
    <t>IT5414</t>
  </si>
  <si>
    <t>Vận hành hệ thống học máy</t>
  </si>
  <si>
    <t>58</t>
  </si>
  <si>
    <t xml:space="preserve"> Chiều CN: Tiết 1-3 , Địa điểm: B1-405, Tuần: 2-9,11-18
</t>
  </si>
  <si>
    <t>MS Teams</t>
  </si>
  <si>
    <t>qw3hz1n</t>
  </si>
  <si>
    <t>164860</t>
  </si>
  <si>
    <t>IT5410</t>
  </si>
  <si>
    <t>Nền tảng AI tạo sinh</t>
  </si>
  <si>
    <t xml:space="preserve"> Sáng T7: Tiết 3-6 , Địa điểm: B1-405, Tuần: 2-9,11-18
</t>
  </si>
  <si>
    <t>khoat.thanquang@hust.edu.vn</t>
  </si>
  <si>
    <t>915418800</t>
  </si>
  <si>
    <t>3p40mqw</t>
  </si>
  <si>
    <t>164866</t>
  </si>
  <si>
    <t xml:space="preserve"> Chiều CN: Tiết 1505-1805 , Địa điểm: B1-504, Tuần: 2-9,11-18
</t>
  </si>
  <si>
    <t>43a99qs</t>
  </si>
  <si>
    <t>164859</t>
  </si>
  <si>
    <t>, KT máy tính-K68C</t>
  </si>
  <si>
    <t>253</t>
  </si>
  <si>
    <t>LT</t>
  </si>
  <si>
    <t xml:space="preserve"> Chiều T5: Tiết 1-3 , Địa điểm: B1-405, Tuần: 2,3,5,6,8,9,11,12,14,15,17,18
</t>
  </si>
  <si>
    <t>Phạm Tùng Lâm</t>
  </si>
  <si>
    <t>Mở(KT máy tính-K68C)</t>
  </si>
  <si>
    <t>164863</t>
  </si>
  <si>
    <t>IT5413</t>
  </si>
  <si>
    <t>Mô hình tạo sinh hình ảnh và video</t>
  </si>
  <si>
    <t>Trần Nguyên Ngọc (0.5) - Đặng Tuấn Linh (0.5)</t>
  </si>
  <si>
    <t xml:space="preserve"> Sáng CN: Tiết 3-6 , Địa điểm: B1-405, Tuần: 2-9,11-18
</t>
  </si>
  <si>
    <t>ngoc.trannguyen@hust.edu.vnlinh.dangtuan@hust.edu.vn</t>
  </si>
  <si>
    <t>09055069660932538815</t>
  </si>
  <si>
    <t>cy1v00h</t>
  </si>
  <si>
    <t>164861</t>
  </si>
  <si>
    <t>Nguyễn Sơn Tùng (0.3) - Lê Thanh Hương (0.7)</t>
  </si>
  <si>
    <t xml:space="preserve"> Chiều T7: Tiết 1-3 , Địa điểm: B1-405, Tuần: 2-9,11-18
</t>
  </si>
  <si>
    <t>tung.nguyenson@hust.edu.vnhuong.lethanh@hust.edu.vn</t>
  </si>
  <si>
    <t>03848861170904674102</t>
  </si>
  <si>
    <t>s0tzsqx</t>
  </si>
  <si>
    <t>163912</t>
  </si>
  <si>
    <t>Ngô Quỳnh Thu</t>
  </si>
  <si>
    <t>KT in -K68S, KT in -K68S</t>
  </si>
  <si>
    <t xml:space="preserve"> Sáng T6: Tiết 1-3 , Địa điểm: D8-507, Tuần: 2-9,11-19
</t>
  </si>
  <si>
    <t>1,611,613,2-9,11-19,D8-507</t>
  </si>
  <si>
    <t>D8-507</t>
  </si>
  <si>
    <t>thu.ngoquynh@hust.edu.vn</t>
  </si>
  <si>
    <t>0912528824</t>
  </si>
  <si>
    <t>Mở(KT in -K68S)</t>
  </si>
  <si>
    <t>163925</t>
  </si>
  <si>
    <t>Dệt may-K69S, Dệt may-K69S</t>
  </si>
  <si>
    <t xml:space="preserve"> Sáng T5: Tiết 3-6 , Địa điểm: GD-B1, Tuần: 2-9,11-19
</t>
  </si>
  <si>
    <t>1,513,516,2-9,11-19,GD-B1</t>
  </si>
  <si>
    <t>Mở(Dệt may-K69S)</t>
  </si>
  <si>
    <t>https://teams.microsoft.com/l/team/19%3ApnsB0qGtAvnZPLcaEsjutpTTcjgA971K43WJNv4hxEU1%40thread.tacv2/conversations?groupId=ea892fff-1e9a-48c7-b14b-6d5c61faf796&amp;tenantId=06f1b89f-07e8-464f-b408-ec1b45703f31</t>
  </si>
  <si>
    <t>mywvqak</t>
  </si>
  <si>
    <t>161390</t>
  </si>
  <si>
    <t>*Việt Nhật K69 -5 C, *Việt Nhật K69 -5 C</t>
  </si>
  <si>
    <t xml:space="preserve"> Chiều T2: Tiết 3-6 , Địa điểm: B1-207, Tuần: 2-9,11-19
</t>
  </si>
  <si>
    <t>1,223,226,2-9,11-19,B1-207</t>
  </si>
  <si>
    <t>Mở(*Việt Nhật K69 -5 C)</t>
  </si>
  <si>
    <t>162294</t>
  </si>
  <si>
    <t>IT4341</t>
  </si>
  <si>
    <t>Hệ trợ giúp quyết định</t>
  </si>
  <si>
    <t>Trần Đình Khang</t>
  </si>
  <si>
    <t>KH máy tính-mô đun 2-K67S, KH máy tính-mô đun 2-K67S</t>
  </si>
  <si>
    <t>47</t>
  </si>
  <si>
    <t xml:space="preserve"> Sáng T2: Tiết 4-6 , Địa điểm: TC-208, Tuần: 2-9,11-19
</t>
  </si>
  <si>
    <t>1,214,216,2-9,11-19,TC-208</t>
  </si>
  <si>
    <t>TC-208</t>
  </si>
  <si>
    <t>khang.trandinh@hust.edu.vn</t>
  </si>
  <si>
    <t>0968184555</t>
  </si>
  <si>
    <t>Mở(KH máy tính-mô đun 2-K67S)</t>
  </si>
  <si>
    <t>162297</t>
  </si>
  <si>
    <t>KH máy tính-mô đun 3-K67C, KH máy tính-mô đun 3-K67C</t>
  </si>
  <si>
    <t xml:space="preserve"> Chiều T2: Tiết 1-3 , Địa điểm: D4-104, Tuần: 2-9,11-19
</t>
  </si>
  <si>
    <t>1,221,223,2-9,11-19,D4-104</t>
  </si>
  <si>
    <t>D4-104</t>
  </si>
  <si>
    <t>anh.nguyenthikim@hust.edu.vn</t>
  </si>
  <si>
    <t>0978871955</t>
  </si>
  <si>
    <t>Mở(KH máy tính-mô đun 3-K67C)</t>
  </si>
  <si>
    <t>fu1ewn9</t>
  </si>
  <si>
    <t>162295</t>
  </si>
  <si>
    <t xml:space="preserve"> Sáng T3: Tiết 1-4 , Địa điểm: TC-208, Tuần: 2-9,11-19
</t>
  </si>
  <si>
    <t>1,311,314,2-9,11-19,TC-208</t>
  </si>
  <si>
    <t>minh.nguyenbinh@hust.edu.vn</t>
  </si>
  <si>
    <t>0967995584</t>
  </si>
  <si>
    <t>0jnj5i8</t>
  </si>
  <si>
    <t>161391</t>
  </si>
  <si>
    <t>*Việt Nhật K69 -6 S, *Việt Nhật K69 -6 S</t>
  </si>
  <si>
    <t xml:space="preserve"> Sáng T5: Tiết 1-4 , Địa điểm: B1-204, Tuần: 2-9,11-19
</t>
  </si>
  <si>
    <t>1,511,514,2-9,11-19,B1-204</t>
  </si>
  <si>
    <t>phuong.nguyenhong@hust.edu.vn</t>
  </si>
  <si>
    <t>0912552709</t>
  </si>
  <si>
    <t>Nguyễn Quang Huy</t>
  </si>
  <si>
    <t>Mở(*Việt Nhật K69 -6 S)</t>
  </si>
  <si>
    <t>https://teams.microsoft.com/l/team/19%3AC76M3OkYHBt10tcKjfmo46jWKNDEMm82JAb3EpB5WE01%40thread.tacv2/conversations?groupId=5f1238c5-12b2-45d1-b328-fbb33f259b83&amp;tenantId=06f1b89f-07e8-464f-b408-ec1b45703f31</t>
  </si>
  <si>
    <t>e4y6qaj</t>
  </si>
  <si>
    <t>162296</t>
  </si>
  <si>
    <t>IT4863</t>
  </si>
  <si>
    <t>Tìm kiếm thông tin</t>
  </si>
  <si>
    <t xml:space="preserve"> Sáng T2: Tiết 2-3 , Địa điểm: TC-208, Tuần: 2-9,11-19
 Sáng T3: Tiết 5-6 , Địa điểm: TC-208, Tuần: 2-9,11-19
</t>
  </si>
  <si>
    <t>2,315,316,2-9,11-19,TC-208;1,212,213,2-9,11-19,TC-208</t>
  </si>
  <si>
    <t>TC-208, TC-208</t>
  </si>
  <si>
    <t>162299</t>
  </si>
  <si>
    <t>IT4906</t>
  </si>
  <si>
    <t>Tính toán tiến hóa</t>
  </si>
  <si>
    <t>77</t>
  </si>
  <si>
    <t xml:space="preserve"> Chiều T6: Tiết 3-6 , Địa điểm: D4-304, Tuần: 2-9,11-19
</t>
  </si>
  <si>
    <t>1,623,626,2-9,11-19,D4-304</t>
  </si>
  <si>
    <t>D4-304</t>
  </si>
  <si>
    <t>Đào Văn Tùng</t>
  </si>
  <si>
    <t>zt2x5zi</t>
  </si>
  <si>
    <t>162298</t>
  </si>
  <si>
    <t>Lê Đức Hậu</t>
  </si>
  <si>
    <t>79</t>
  </si>
  <si>
    <t xml:space="preserve"> Chiều T2: Tiết 4-6 , Địa điểm: D4-104, Tuần: 2-9,11-19
</t>
  </si>
  <si>
    <t>1,224,226,2-9,11-19,D4-104</t>
  </si>
  <si>
    <t>hau.leduc@hust.edu.vn</t>
  </si>
  <si>
    <t>0912324564</t>
  </si>
  <si>
    <t>Phương Trung Kiên</t>
  </si>
  <si>
    <t>d2ml07l</t>
  </si>
  <si>
    <t>161374</t>
  </si>
  <si>
    <t>Trịnh Văn Loan</t>
  </si>
  <si>
    <t>*Việt Nhật K69 + Việt Pháp K69-6C, *Việt Nhật K69 + Việt Pháp K69-6C</t>
  </si>
  <si>
    <t xml:space="preserve"> Chiều T2: Tiết 3-6 , Địa điểm: B1-402, Tuần: 2-9,11-19
</t>
  </si>
  <si>
    <t>1,223,226,2-9,11-19,B1-402</t>
  </si>
  <si>
    <t>loan.trinhvan@hust.edu.vn</t>
  </si>
  <si>
    <t>0903 277 732</t>
  </si>
  <si>
    <t>Phạm Quốc Minh</t>
  </si>
  <si>
    <t>Mở(*Việt Nhật K69 + Việt Pháp K69-6C)</t>
  </si>
  <si>
    <t>161397</t>
  </si>
  <si>
    <t>Đào Xuân Việt</t>
  </si>
  <si>
    <t>*Việt Nhật K69-2C, *Việt Nhật K69-2C</t>
  </si>
  <si>
    <t xml:space="preserve"> Chiều T3: Tiết 3-6 , Địa điểm: D9-405, Tuần: 2-9,11-19
</t>
  </si>
  <si>
    <t>1,323,326,2-9,11-19,D9-405</t>
  </si>
  <si>
    <t>viet.daoxuan@hust.edu.vn</t>
  </si>
  <si>
    <t>0916985856</t>
  </si>
  <si>
    <t>Mở(*Việt Nhật K69-2C)</t>
  </si>
  <si>
    <t>https://teams.microsoft.com/l/team/19%3AnFYuNeak6ORNxKTbB15KZ2o8JbMSnCxvodLWsIbOzRM1%40thread.tacv2/conversations?groupId=c7e8ffef-aadb-4fc5-9601-f1bb31346ef3&amp;tenantId=06f1b89f-07e8-464f-b408-ec1b45703f31</t>
  </si>
  <si>
    <t>evl3vua</t>
  </si>
  <si>
    <t>161367</t>
  </si>
  <si>
    <t>*Việt Nhật K69 -2S, *Việt Nhật K69 -2S</t>
  </si>
  <si>
    <t>112</t>
  </si>
  <si>
    <t xml:space="preserve"> Sáng T6: Tiết 4-6 , Địa điểm: D9-501, Tuần: 2-9,11-19
</t>
  </si>
  <si>
    <t>1,614,616,2-9,11-19,D9-501</t>
  </si>
  <si>
    <t>nga.nguyenthithanh@hust.edu.vn</t>
  </si>
  <si>
    <t>0904 567 424</t>
  </si>
  <si>
    <t>Mở(*Việt Nhật K69 -2S)</t>
  </si>
  <si>
    <t>16tqsaf</t>
  </si>
  <si>
    <t>161381</t>
  </si>
  <si>
    <t>*Việt Nhật K69 -2C, *Việt Nhật K69 -2C</t>
  </si>
  <si>
    <t>109</t>
  </si>
  <si>
    <t xml:space="preserve"> Chiều T6: Tiết 1-3 , Địa điểm: D9-306, Tuần: 2-9,11-19
</t>
  </si>
  <si>
    <t>1,621,623,2-9,11-19,D9-306</t>
  </si>
  <si>
    <t>Mở(*Việt Nhật K69 -2C)</t>
  </si>
  <si>
    <t>https://teams.microsoft.com/l/team/19%3A97WiEbGGJCcr3QrX2QcKfsqmBCm1IVJLBvwAGef6lZU1%40thread.tacv2/conversations?groupId=ccc31ca7-f224-478a-9c7b-ea9393c06157&amp;tenantId=06f1b89f-07e8-464f-b408-ec1b45703f31</t>
  </si>
  <si>
    <t>8ci6rus</t>
  </si>
  <si>
    <t>162253</t>
  </si>
  <si>
    <t>KH máy tính-K69C, KH máy tính-K69C</t>
  </si>
  <si>
    <t>116</t>
  </si>
  <si>
    <t xml:space="preserve"> Chiều T4: Tiết 4-6 , Địa điểm: D9-205, Tuần: 2-9,11-19
</t>
  </si>
  <si>
    <t>1,424,426,2-9,11-19,D9-205</t>
  </si>
  <si>
    <t>D9-205</t>
  </si>
  <si>
    <t>dung.nguyentuan@hust.edu.vn</t>
  </si>
  <si>
    <t>988599150</t>
  </si>
  <si>
    <t>Mở(KH máy tính-K69C)</t>
  </si>
  <si>
    <t>162288</t>
  </si>
  <si>
    <t>KH máy tính - KT máy tính-K68S, KH máy tính - KT máy tính-K68S</t>
  </si>
  <si>
    <t xml:space="preserve"> Sáng T5: Tiết 5-6 , Địa điểm: D9-504, Tuần: 2-9,11-19
 Sáng T6: Tiết 5-6 , Địa điểm: D7-405, Tuần: 2-9,11-19
</t>
  </si>
  <si>
    <t>2,615,616,2-9,11-19,D9-402;1,515,516,2-9,11-19,D9-504</t>
  </si>
  <si>
    <t>D9-504, D7-405</t>
  </si>
  <si>
    <t>Mở(KH máy tính - KT máy tính-K68S)</t>
  </si>
  <si>
    <t>e4vvxhs</t>
  </si>
  <si>
    <t>162277</t>
  </si>
  <si>
    <t>141</t>
  </si>
  <si>
    <t>140</t>
  </si>
  <si>
    <t xml:space="preserve"> Sáng T6: Tiết 5-6 , Địa điểm: D9-101, Tuần: 2-9,11-19
</t>
  </si>
  <si>
    <t>1,615,616,2-9,11-19,D9-101</t>
  </si>
  <si>
    <t>D9-101</t>
  </si>
  <si>
    <t>trung.buiquoc@hust.edu.vn</t>
  </si>
  <si>
    <t>0946043316</t>
  </si>
  <si>
    <t>m63cmh2</t>
  </si>
  <si>
    <t>162276</t>
  </si>
  <si>
    <t>136</t>
  </si>
  <si>
    <t xml:space="preserve"> Sáng T6: Tiết 3-4 , Địa điểm: D9-101, Tuần: 2-9,11-19
</t>
  </si>
  <si>
    <t>1,613,614,2-9,11-19,D9-101</t>
  </si>
  <si>
    <t>anh.nguyenduc@hust.edu.vn</t>
  </si>
  <si>
    <t>0866588150</t>
  </si>
  <si>
    <t>edxxyng</t>
  </si>
  <si>
    <t>162284</t>
  </si>
  <si>
    <t>KT máy tính-K68C, KT máy tính-K68C</t>
  </si>
  <si>
    <t>149</t>
  </si>
  <si>
    <t>150</t>
  </si>
  <si>
    <t xml:space="preserve"> Chiều T7: Tiết 1-3 , Địa điểm: D3-101, Tuần: 4,7,13,16,19
</t>
  </si>
  <si>
    <t>1,521,523,2-9,11-19,D9-201</t>
  </si>
  <si>
    <t>thuan.docong@hust.edu.vn</t>
  </si>
  <si>
    <t>0975458126</t>
  </si>
  <si>
    <t>Nguyễn Huy Được; Nguyễn Khánh Long</t>
  </si>
  <si>
    <t>161392</t>
  </si>
  <si>
    <t>*Việt Nhật K69 -7 C, *Việt Nhật K69 -7 C</t>
  </si>
  <si>
    <t xml:space="preserve"> Chiều T5: Tiết 3-6 , Địa điểm: B1-204, Tuần: 2-9,11-19
</t>
  </si>
  <si>
    <t>1,523,526,2-9,11-19,B1-204</t>
  </si>
  <si>
    <t>Nguyễn Dương Việt Hùng</t>
  </si>
  <si>
    <t>Mở(*Việt Nhật K69 -7 C)</t>
  </si>
  <si>
    <t>https://teams.microsoft.com/l/team/19%3Aj1lArrUJTNsP6iWzOuXaUIYZLg4mHm1_Q3pv_15TH1M1%40thread.tacv2/conversations?groupId=fe85ee27-3d75-4de6-ab51-22d461e61eff&amp;tenantId=06f1b89f-07e8-464f-b408-ec1b45703f31</t>
  </si>
  <si>
    <t>m0ytx5o</t>
  </si>
  <si>
    <t>162252</t>
  </si>
  <si>
    <t xml:space="preserve"> Chiều T4: Tiết 1-3 , Địa điểm: D9-205, Tuần: 2-9,11-19
</t>
  </si>
  <si>
    <t>1,421,423,2-9,11-19,D9-205</t>
  </si>
  <si>
    <t>https://teams.microsoft.com/l/team/19%3A1uU3bAd-xdKigqchd37HlaudB2yD_pPmqEsv0lhwcxY1%40thread.tacv2/conversations?groupId=7c50acb6-4ad6-4ef7-86ba-86f9864ff32b&amp;tenantId=06f1b89f-07e8-464f-b408-ec1b45703f31</t>
  </si>
  <si>
    <t>yojbn05</t>
  </si>
  <si>
    <t>161375</t>
  </si>
  <si>
    <t>*Việt Nhật K69 + Việt Pháp K69-7C, *Việt Nhật K69 + Việt Pháp K69-7C</t>
  </si>
  <si>
    <t xml:space="preserve"> Chiều T4: Tiết 3-6 , Địa điểm: B1-402, Tuần: 2-9,11-19
</t>
  </si>
  <si>
    <t>1,423,426,2-9,11-19,B1-402</t>
  </si>
  <si>
    <t>Mở(*Việt Nhật K69 + Việt Pháp K69-7C)</t>
  </si>
  <si>
    <t>161396</t>
  </si>
  <si>
    <t>*Việt Nhật K69-1C, *Việt Nhật K69-1C</t>
  </si>
  <si>
    <t xml:space="preserve"> Chiều T3: Tiết 3-6 , Địa điểm: D9-404, Tuần: 2-9,11-19
</t>
  </si>
  <si>
    <t>1,323,326,2-9,11-19,D9-404</t>
  </si>
  <si>
    <t>huong.nguyenthithu@hust.edu.vn</t>
  </si>
  <si>
    <t>0903253796</t>
  </si>
  <si>
    <t>Mở(*Việt Nhật K69-1C)</t>
  </si>
  <si>
    <t>Teamcode d8qdule, link khi đổi giờ: https://teams.microsoft.com/meet/4440810738295?p=J08ugXvdpX3TvVYHut</t>
  </si>
  <si>
    <t>162291</t>
  </si>
  <si>
    <t>KH máy tính-mô đun 1-K67C, KH máy tính-mô đun 1-K67C</t>
  </si>
  <si>
    <t xml:space="preserve"> Chiều T5: Tiết 1-4 , Địa điểm: TC-208, Tuần: 2-9,11-19
</t>
  </si>
  <si>
    <t>1,521,524,2-9,11-19,TC-208</t>
  </si>
  <si>
    <t>Mở(KH máy tính-mô đun 1-K67C)</t>
  </si>
  <si>
    <t>https://teams.microsoft.com/l/channel/19%3A9QnPgnI92n21B_JfnlpIKQXLRbR9wNJxwzOT1XbsokE1%40thread.tacv2/General?groupId=bedb711a-22c7-413f-b33a-360cd6acbc3b&amp;tenantId=06f1b89f-07e8-464f-b408-ec1b45703f31</t>
  </si>
  <si>
    <t>161363</t>
  </si>
  <si>
    <t>Vũ Thị Vân Anh</t>
  </si>
  <si>
    <t>3(0-6-0-6)</t>
  </si>
  <si>
    <t>*Việt Nhật K69-6S, *Việt Nhật K69-6S</t>
  </si>
  <si>
    <t xml:space="preserve"> Sáng T2: Tiết 5-6 , Địa điểm: C7-114, Tuần: 2-9,11-19
 Sáng T4: Tiết 5-6 , Địa điểm: C7-114, Tuần: 2-9,11-19
 Sáng T5: Tiết 5-6 , Địa điểm: D9-407, Tuần: 2-9,11-19
</t>
  </si>
  <si>
    <t>3,515,516,2-9,11-19,D9-407;2,415,416,2-9,11-19,C7-114;1,215,216,2-9,11-19,C7-114</t>
  </si>
  <si>
    <t>invited.lecturer14.soict@hust.edu.vn</t>
  </si>
  <si>
    <t>Mở(*Việt Nhật K69-6S)</t>
  </si>
  <si>
    <t>162290</t>
  </si>
  <si>
    <t xml:space="preserve">KH máy tính-K67C, </t>
  </si>
  <si>
    <t>131</t>
  </si>
  <si>
    <t>130</t>
  </si>
  <si>
    <t xml:space="preserve"> Chiều T4: Tiết 1-3 , Địa điểm: D9-105, Tuần: 2-9,11-19
</t>
  </si>
  <si>
    <t>1,421,423,2-9,11-19,D9-105</t>
  </si>
  <si>
    <t>D9-105</t>
  </si>
  <si>
    <t>trung.leduc@hust.edu.vn</t>
  </si>
  <si>
    <t>0903215581</t>
  </si>
  <si>
    <t>161371</t>
  </si>
  <si>
    <t>*Việt Nhật K69 + Việt Pháp K69-3S, *Việt Nhật K69 + Việt Pháp K69-3S</t>
  </si>
  <si>
    <t xml:space="preserve"> Sáng T4: Tiết 5-6 , Địa điểm: B1-402, Tuần: 2-9,11-19
 Chiều T4: Tiết 1-2 , Địa điểm: B1-402, Tuần: 2-9,11-19
</t>
  </si>
  <si>
    <t>2,421,422,2-9,11-19,B1-402;1,415,416,2-9,11-19,B1-402</t>
  </si>
  <si>
    <t>B1-402, B1-402</t>
  </si>
  <si>
    <t>Trần Dương An; Lê Quang Dũng</t>
  </si>
  <si>
    <t>Mở(*Việt Nhật K69 + Việt Pháp K69-3S)</t>
  </si>
  <si>
    <t>https://teams.microsoft.com/l/team/19%3ArZ266mP4MNKrJRkVcv77kqp3-9O41zEES8V92Ra8ILI1%40thread.tacv2/conversations?groupId=20140f0a-5a69-4f5e-84a2-d3d7f84b037c&amp;tenantId=06f1b89f-07e8-464f-b408-ec1b45703f31</t>
  </si>
  <si>
    <t>x19mb9f</t>
  </si>
  <si>
    <t>162280</t>
  </si>
  <si>
    <t>(Blend)-KT máy tính-K68C, KT máy tính-K68C</t>
  </si>
  <si>
    <t>152</t>
  </si>
  <si>
    <t xml:space="preserve"> Chiều T5: Tiết 1-3 , Địa điểm: D9-101, Tuần: 2-9,11-19
</t>
  </si>
  <si>
    <t>1,221,222,2-9,11-19,D9-101</t>
  </si>
  <si>
    <t>https://teams.microsoft.com/l/team/19%3AH_GfxhiemesGHKDB3t1rbK4A1rroFEANaHZuAXPOfgY1%40thread.tacv2/conversations?groupId=13972ae1-d291-401d-827e-1e667c3363db&amp;tenantId=06f1b89f-07e8-464f-b408-ec1b45703f31</t>
  </si>
  <si>
    <t>ro4x7rb</t>
  </si>
  <si>
    <t>161389</t>
  </si>
  <si>
    <t>*Việt Nhật K69 -4 S, *Việt Nhật K69 -4 S</t>
  </si>
  <si>
    <t xml:space="preserve"> Sáng T5: Tiết 5-6 , Địa điểm: B1-204, Tuần: 2-9,11-19
 Chiều T5: Tiết 1-2 , Địa điểm: B1-204, Tuần: 2-9,11-19
</t>
  </si>
  <si>
    <t>2,521,522,2-9,11-19,B1-204;1,515,516,2-9,11-19,B1-204</t>
  </si>
  <si>
    <t>Mở(*Việt Nhật K69 -4 S)</t>
  </si>
  <si>
    <t>n16ubhy</t>
  </si>
  <si>
    <t>162292</t>
  </si>
  <si>
    <t>96</t>
  </si>
  <si>
    <t>95</t>
  </si>
  <si>
    <t xml:space="preserve"> Chiều T2: Tiết 3-6 , Địa điểm: TC-207, Tuần: 2-9,11-19
</t>
  </si>
  <si>
    <t>1,223,226,2-9,11-19,TC-207</t>
  </si>
  <si>
    <t>TC-207</t>
  </si>
  <si>
    <t>trang.nguyenthithu@hust.edu.vn</t>
  </si>
  <si>
    <t>0988088210</t>
  </si>
  <si>
    <t>Nguyễn Hữu Hoàng Hải Anh; Đinh Đình Hải Việt</t>
  </si>
  <si>
    <t>162289</t>
  </si>
  <si>
    <t xml:space="preserve"> Sáng T6: Tiết 1-4 , Địa điểm: D7-405, Tuần: 2-9,11-19
</t>
  </si>
  <si>
    <t>1,611,614,2-9,11-19,D9-402</t>
  </si>
  <si>
    <t>D7-405</t>
  </si>
  <si>
    <t>van.nguyenkhanh@hust.edu.vn</t>
  </si>
  <si>
    <t>0904855316</t>
  </si>
  <si>
    <t>162293</t>
  </si>
  <si>
    <t>Bùi Thị Mai Anh (0.0) - Trần Nhật Hoá (1.0)</t>
  </si>
  <si>
    <t xml:space="preserve"> Chiều T3: Tiết 4-6 , Địa điểm: TC-208, Tuần: 2-9,11-19
</t>
  </si>
  <si>
    <t>1,324,326,2-9,11-19,TC-208</t>
  </si>
  <si>
    <t>anh.buithimai@hust.edu.vnhoa.trannhat@hust.edu.vn</t>
  </si>
  <si>
    <t>09767077720969000610</t>
  </si>
  <si>
    <t>Cao Thị Thu Hà</t>
  </si>
  <si>
    <t>2226v3f</t>
  </si>
  <si>
    <t>161383</t>
  </si>
  <si>
    <t>*Việt Nhật K69 -1S, *Việt Nhật K69 -1S</t>
  </si>
  <si>
    <t xml:space="preserve"> Sáng T6: Tiết 4-6 , Địa điểm: D9-306, Tuần: 2-9,11-19
</t>
  </si>
  <si>
    <t>1,614,616,2-9,11-19,D9-306</t>
  </si>
  <si>
    <t>Mở(*Việt Nhật K69 -1S)</t>
  </si>
  <si>
    <t>161362</t>
  </si>
  <si>
    <t>Khổng Thị Sáng</t>
  </si>
  <si>
    <t>*Việt Nhật K69-5S, *Việt Nhật K69-5S</t>
  </si>
  <si>
    <t xml:space="preserve"> Sáng T2: Tiết 5-6 , Địa điểm: D9-402, Tuần: 2-9,11-19
 Sáng T4: Tiết 5-6 , Địa điểm: D9-402, Tuần: 2-9,11-19
 Sáng T5: Tiết 5-6 , Địa điểm: D9-406, Tuần: 2-9,11-19
</t>
  </si>
  <si>
    <t>3,515,516,2-9,11-19,D9-406;2,415,416,2-9,11-19,D9-402;1,215,216,2-9,11-19,D9-402</t>
  </si>
  <si>
    <t>invited.lecturer13.soict@hust.edu.vn</t>
  </si>
  <si>
    <t>Mở(*Việt Nhật K69-5S)</t>
  </si>
  <si>
    <t>161372</t>
  </si>
  <si>
    <t>*Việt Nhật K69 + Việt Pháp K69-4C, *Việt Nhật K69 + Việt Pháp K69-4C</t>
  </si>
  <si>
    <t xml:space="preserve"> Chiều T5: Tiết 3-6 , Địa điểm: B1-402, Tuần: 2-9,11-19
</t>
  </si>
  <si>
    <t>1,523,526,2-9,11-19,B1-402</t>
  </si>
  <si>
    <t>Lê Quốc Đảng</t>
  </si>
  <si>
    <t>Mở(*Việt Nhật K69 + Việt Pháp K69-4C)</t>
  </si>
  <si>
    <t>161373</t>
  </si>
  <si>
    <t>*Việt Nhật K69 + Việt Pháp K69-5S, *Việt Nhật K69 + Việt Pháp K69-5S</t>
  </si>
  <si>
    <t xml:space="preserve"> Sáng T4: Tiết 1-4 , Địa điểm: B1-402, Tuần: 2-9,11-19
</t>
  </si>
  <si>
    <t>1,411,414,2-9,11-19,B1-402</t>
  </si>
  <si>
    <t>Phạm Khắc Bình</t>
  </si>
  <si>
    <t>Mở(*Việt Nhật K69 + Việt Pháp K69-5S)</t>
  </si>
  <si>
    <t>162274</t>
  </si>
  <si>
    <t>KH máy tính - KT máy tính-K68C, KH máy tính - KT máy tính-K68C</t>
  </si>
  <si>
    <t xml:space="preserve"> Chiều T6: Tiết 1-2 , Địa điểm: D9-101, Tuần: 2-9,11-19
</t>
  </si>
  <si>
    <t>1,621,622,2-9,11-19,D9-101</t>
  </si>
  <si>
    <t>Mở(KH máy tính - KT máy tính-K68C)</t>
  </si>
  <si>
    <t>11nfyjw</t>
  </si>
  <si>
    <t>161394</t>
  </si>
  <si>
    <t>*Việt Nhật K69 -9S, *Việt Nhật K69 -9S</t>
  </si>
  <si>
    <t xml:space="preserve"> Sáng T6: Tiết 5-6 , Địa điểm: B1-207, Tuần: 2-9,11-19
 Chiều T6: Tiết 1-2 , Địa điểm: B1-207, Tuần: 2-9,11-19
</t>
  </si>
  <si>
    <t>2,621,622,2-9,11-19,B1-207;1,615,616,2-9,11-19,B1-207</t>
  </si>
  <si>
    <t>quang.nguyenhong@hust.edu.vn</t>
  </si>
  <si>
    <t>0978 813 688</t>
  </si>
  <si>
    <t>Bùi Ánh Dương</t>
  </si>
  <si>
    <t>Mở(*Việt Nhật K69 -9S)</t>
  </si>
  <si>
    <t>eaci2b3</t>
  </si>
  <si>
    <t>162286</t>
  </si>
  <si>
    <t xml:space="preserve">KH máy tính - KT máy tính-K68C, </t>
  </si>
  <si>
    <t xml:space="preserve"> Chiều T2: Tiết 1-2 , Địa điểm: D9-407, Tuần: 2-9,11-19
 Chiều T3: Tiết 1-2 , Địa điểm: D9-404, Tuần: 2-9,11-19
</t>
  </si>
  <si>
    <t>2,321,322,2-9,11-19,D9-404;1,221,222,2-9,11-19,D9-407</t>
  </si>
  <si>
    <t>D9-407, D9-404</t>
  </si>
  <si>
    <t>General | lớp: 162286 - IT2030 - Technical Writing and Presentation 20251 | Microsoft Teams</t>
  </si>
  <si>
    <t>161384</t>
  </si>
  <si>
    <t>*Việt Nhật K69 -2S, (Blend)-*Việt Nhật K69 -2S</t>
  </si>
  <si>
    <t>104</t>
  </si>
  <si>
    <t xml:space="preserve"> Sáng T6: Tiết 1-3 , Địa điểm: D9-306, Tuần: 2,4,6,8,11,13,15,17
</t>
  </si>
  <si>
    <t>1,611,613,2-9,11-19,D9-306</t>
  </si>
  <si>
    <t>Mở((Blend)-*Việt Nhật K69 -2S)</t>
  </si>
  <si>
    <t>Học tập kết hợp (Blended learning)</t>
  </si>
  <si>
    <t>tkc9220</t>
  </si>
  <si>
    <t>162275</t>
  </si>
  <si>
    <t xml:space="preserve"> Sáng T6: Tiết 1-2 , Địa điểm: D9-101, Tuần: 2-9,11-19
</t>
  </si>
  <si>
    <t>1,611,612,2-9,11-19,D9-101</t>
  </si>
  <si>
    <t>161370</t>
  </si>
  <si>
    <t>Nguyễn Thị Thanh Nga (0.5) - Lê Xuân Thành (0.5)</t>
  </si>
  <si>
    <t>*Việt Nhật K69 + Việt Pháp K69-2S, *Việt Nhật K69 + Việt Pháp K69-2S</t>
  </si>
  <si>
    <t xml:space="preserve"> Sáng T5: Tiết 5-6 , Địa điểm: B1-402, Tuần: 2-9,11-19
 Chiều T5: Tiết 1-2 , Địa điểm: B1-402, Tuần: 2-9,11-19
</t>
  </si>
  <si>
    <t>2,521,522,2-9,11-19,B1-402;1,515,516,2-9,11-19,B1-402</t>
  </si>
  <si>
    <t>nga.nguyenthithanh@hust.edu.vnthanh.lexuan@hust.edu.vn</t>
  </si>
  <si>
    <t>0904 567 4240911650535</t>
  </si>
  <si>
    <t>Mở(*Việt Nhật K69 + Việt Pháp K69-2S)</t>
  </si>
  <si>
    <t>162282</t>
  </si>
  <si>
    <t xml:space="preserve"> Chiều T5: Tiết 4-6 , Địa điểm: D9-201, Tuần: 2-9,11-19
</t>
  </si>
  <si>
    <t>1,524,526,2-9,11-19,D9-201</t>
  </si>
  <si>
    <t>D9-201</t>
  </si>
  <si>
    <t>vinh.lathe@hust.edu.vn</t>
  </si>
  <si>
    <t>0985290681</t>
  </si>
  <si>
    <t>https://teams.microsoft.com/l/team/19%3A8-qDvljm4f5Msa2AyfIlpEqY0fhAG10W7xG-s4bDtiw1%40thread.tacv2/conversations?groupId=96135f70-944c-473b-b911-65fe340d524f&amp;tenantId=06f1b89f-07e8-464f-b408-ec1b45703f31</t>
  </si>
  <si>
    <t>Teams: xn549xu</t>
  </si>
  <si>
    <t>162273</t>
  </si>
  <si>
    <t>KH máy tính - KT máy tính-K68C, (Blend)-KH máy tính - KT máy tính-K68C</t>
  </si>
  <si>
    <t>160</t>
  </si>
  <si>
    <t xml:space="preserve"> Chiều T6: Tiết 5-6 , Địa điểm: D9-101, Tuần: 2-9,11-19
</t>
  </si>
  <si>
    <t>1,623,626,2-9,11-19,D9-101</t>
  </si>
  <si>
    <t>Mở((Blend)-KH máy tính - KT máy tính-K68C)</t>
  </si>
  <si>
    <t>https://lms.hust.edu.vn/course/view.php?id=3552</t>
  </si>
  <si>
    <t>30hfx87</t>
  </si>
  <si>
    <t>161382</t>
  </si>
  <si>
    <t xml:space="preserve"> Sáng T6: Tiết 1-3 , Địa điểm: D9-305, Tuần: 2-9,11-19
</t>
  </si>
  <si>
    <t>1,611,613,2-9,11-19,D9-305</t>
  </si>
  <si>
    <t>thuan.nguyendinh@hust.edu.vn</t>
  </si>
  <si>
    <t>0966614396</t>
  </si>
  <si>
    <t>sgnjaf9</t>
  </si>
  <si>
    <t>161398</t>
  </si>
  <si>
    <t>Nguyễn Thị Lan</t>
  </si>
  <si>
    <t>*Việt Nhật K69-3S, *Việt Nhật K69-3S</t>
  </si>
  <si>
    <t xml:space="preserve"> Sáng T2: Tiết 1-4 , Địa điểm: D9-403, Tuần: 2-9,11-19
</t>
  </si>
  <si>
    <t>1,211,214,2-9,11-19,D9-403</t>
  </si>
  <si>
    <t>lan.nguyenthi1@hust.edu.vn</t>
  </si>
  <si>
    <t>0789568999</t>
  </si>
  <si>
    <t>Mở(*Việt Nhật K69-3S)</t>
  </si>
  <si>
    <t>161399</t>
  </si>
  <si>
    <t>Dương Thanh Tùng</t>
  </si>
  <si>
    <t>*Việt Nhật K69-4S, *Việt Nhật K69-4S</t>
  </si>
  <si>
    <t xml:space="preserve"> Sáng T2: Tiết 1-4 , Địa điểm: D9-404, Tuần: 2-9,11-19
</t>
  </si>
  <si>
    <t>1,211,214,2-9,11-19,D9-404</t>
  </si>
  <si>
    <t>tung.duongthanh@hust.edu.vn</t>
  </si>
  <si>
    <t>0342748609</t>
  </si>
  <si>
    <t>Mở(*Việt Nhật K69-4S)</t>
  </si>
  <si>
    <t>162272</t>
  </si>
  <si>
    <t>KH máy tính - KT máy tính-K68S, (Blend)-KH máy tính - KT máy tính-K68S</t>
  </si>
  <si>
    <t>158</t>
  </si>
  <si>
    <t xml:space="preserve"> Sáng T5: Tiết 3-4 , Địa điểm: D9-201, Tuần: 2-9,11-19
</t>
  </si>
  <si>
    <t>1,511,514,2-9,11-19,D9-201</t>
  </si>
  <si>
    <t>hoa.trannhat@hust.edu.vn</t>
  </si>
  <si>
    <t>0969000610</t>
  </si>
  <si>
    <t>Mở((Blend)-KH máy tính - KT máy tính-K68S)</t>
  </si>
  <si>
    <t>8dgclau</t>
  </si>
  <si>
    <t>162281</t>
  </si>
  <si>
    <t>137</t>
  </si>
  <si>
    <t xml:space="preserve"> Chiều T4: Tiết 1-3 , Địa điểm: D9-101, Tuần: 2-9,11-19
</t>
  </si>
  <si>
    <t>1,521,523,2-9,11-19,D9-101</t>
  </si>
  <si>
    <t>https://teams.microsoft.com/l/team/19%3AYOcvUVuUHZ6YUgB7e73TaQZI39IpBlboHloRYY3T1Zk1%40thread.tacv2/conversations?groupId=90b55a77-49f3-4597-90c8-c45155480d03&amp;tenantId=06f1b89f-07e8-464f-b408-ec1b45703f31</t>
  </si>
  <si>
    <t>lx8cdo0</t>
  </si>
  <si>
    <t>161365</t>
  </si>
  <si>
    <t>Nobuyuki Tagashira</t>
  </si>
  <si>
    <t>*Việt Nhật K69-8S, *Việt Nhật K69-8S</t>
  </si>
  <si>
    <t xml:space="preserve"> Sáng T2: Tiết 5-6 , Địa điểm: C7-219, Tuần: 2-9,11-19
 Sáng T4: Tiết 5-6 , Địa điểm: C7-219, Tuần: 2-9,11-19
 Sáng T5: Tiết 5-6 , Địa điểm: D9-503, Tuần: 2-9,11-19
</t>
  </si>
  <si>
    <t>3,515,516,2-9,11-19,D9-503;2,415,416,2-9,11-19,C7-219;1,215,216,2-9,11-19,C7-219</t>
  </si>
  <si>
    <t>invited.lecturer12.soict@hust.edu.vn</t>
  </si>
  <si>
    <t>Mở(*Việt Nhật K69-8S)</t>
  </si>
  <si>
    <t>161379</t>
  </si>
  <si>
    <t>121</t>
  </si>
  <si>
    <t xml:space="preserve"> Sáng T4: Tiết 1-4 , Địa điểm: D3-5-201, Tuần: 2-9,11-19
</t>
  </si>
  <si>
    <t>1,411,414,2-9,11-19,D3-5-201</t>
  </si>
  <si>
    <t>svw52cw</t>
  </si>
  <si>
    <t>162285</t>
  </si>
  <si>
    <t xml:space="preserve"> Chiều T2: Tiết 3-6 , Địa điểm: D9-407, Tuần: 2-9,11-19
</t>
  </si>
  <si>
    <t>1,223,226,2-9,11-19,D9-407</t>
  </si>
  <si>
    <t>17f6h74</t>
  </si>
  <si>
    <t>161376</t>
  </si>
  <si>
    <t>*Việt Nhật K69 + Việt Pháp K69-8S, *Việt Nhật K69 + Việt Pháp K69-8S</t>
  </si>
  <si>
    <t xml:space="preserve"> Sáng T5: Tiết 1-4 , Địa điểm: B1-402, Tuần: 2-9,11-19
</t>
  </si>
  <si>
    <t>1,511,514,2-9,11-19,B1-402</t>
  </si>
  <si>
    <t>toan.nguyenduc1@hust.edu.vn</t>
  </si>
  <si>
    <t>0969208565</t>
  </si>
  <si>
    <t>Mở(*Việt Nhật K69 + Việt Pháp K69-8S)</t>
  </si>
  <si>
    <t>https://teams.microsoft.com/l/team/19%3A0AmF1mBGWAFdmgDoDKXljeVjHylhX3G-zYbfF460Fbs1%40thread.tacv2/conversations?groupId=240c315e-883d-4b4d-97dc-5bbfcd217ae3&amp;tenantId=06f1b89f-07e8-464f-b408-ec1b45703f31</t>
  </si>
  <si>
    <t>1fruuah</t>
  </si>
  <si>
    <t>161393</t>
  </si>
  <si>
    <t>*Việt Nhật K69 -8C, *Việt Nhật K69 -8C</t>
  </si>
  <si>
    <t xml:space="preserve"> Chiều T3: Tiết 3-6 , Địa điểm: B1-208, Tuần: 2-9,11-19
</t>
  </si>
  <si>
    <t>1,323,326,2-9,11-19,B1-208</t>
  </si>
  <si>
    <t>Mở(*Việt Nhật K69 -8C)</t>
  </si>
  <si>
    <t>frw1j9c</t>
  </si>
  <si>
    <t>161377</t>
  </si>
  <si>
    <t>*Việt Nhật K69 -1C, *Việt Nhật K69 -1C</t>
  </si>
  <si>
    <t xml:space="preserve"> Chiều T6: Tiết 3-6 , Địa điểm: D9-305, Tuần: 2-9,11-19
</t>
  </si>
  <si>
    <t>1,623,626,2-9,11-19,D9-305</t>
  </si>
  <si>
    <t>Mở(*Việt Nhật K69 -1C)</t>
  </si>
  <si>
    <t>161385</t>
  </si>
  <si>
    <t>*Việt Nhật K69 + Việt Pháp K69-3S, (Blend)-*Việt Nhật K69 + Việt Pháp K69-3S</t>
  </si>
  <si>
    <t>107</t>
  </si>
  <si>
    <t xml:space="preserve"> Sáng T3: Tiết 1-3 , Địa điểm: D9-501, Tuần: 2,4,6,8,11,13,15,17,19
</t>
  </si>
  <si>
    <t>1,311,313,2-9,11-19,D9-501</t>
  </si>
  <si>
    <t>Lê Văn Hậu</t>
  </si>
  <si>
    <t>Mở((Blend)-*Việt Nhật K69 + Việt Pháp K69-3S)</t>
  </si>
  <si>
    <t>pqs0b2b</t>
  </si>
  <si>
    <t>161369</t>
  </si>
  <si>
    <t>*Việt Nhật K69 + Việt Pháp K69-1S, *Việt Nhật K69 + Việt Pháp K69-1S</t>
  </si>
  <si>
    <t xml:space="preserve"> Sáng T2: Tiết 5-6 , Địa điểm: B1-402, Tuần: 2-9,11-19
 Chiều T2: Tiết 1-2 , Địa điểm: B1-402, Tuần: 2-9,11-19
</t>
  </si>
  <si>
    <t>2,221,222,2-9,11-19,B1-402;1,215,216,2-9,11-19,B1-402</t>
  </si>
  <si>
    <t>Trần Thị Phương Thảo</t>
  </si>
  <si>
    <t>Mở(*Việt Nhật K69 + Việt Pháp K69-1S)</t>
  </si>
  <si>
    <t>https://teams.microsoft.com/l/team/19%3Ao1mofYMfJrfwxy4Mh_xwYvk8cQSAVIl_FQ222--4Axo1%40thread.tacv2/conversations?groupId=cb56fc04-e8d3-48af-8580-c9f5c8e35365&amp;tenantId=06f1b89f-07e8-464f-b408-ec1b45703f31</t>
  </si>
  <si>
    <t>bndi8jw</t>
  </si>
  <si>
    <t>161380</t>
  </si>
  <si>
    <t xml:space="preserve"> Sáng T3: Tiết 1-3 , Địa điểm: D9-305, Tuần: 2-9,11-19
</t>
  </si>
  <si>
    <t>1,311,313,2-9,11-19,D9-305</t>
  </si>
  <si>
    <t>59vo8rg</t>
  </si>
  <si>
    <t>162287</t>
  </si>
  <si>
    <t xml:space="preserve"> Sáng T5: Tiết 1-4 , Địa điểm: D9-504, Tuần: 2-9,11-19
</t>
  </si>
  <si>
    <t>1,511,514,2-9,11-19,D9-504</t>
  </si>
  <si>
    <t>161364</t>
  </si>
  <si>
    <t>Sato Yushi</t>
  </si>
  <si>
    <t>*Việt Nhật K69-7S, *Việt Nhật K69-7S</t>
  </si>
  <si>
    <t xml:space="preserve"> Sáng T2: Tiết 5-6 , Địa điểm: C7-217, Tuần: 2-9,11-19
 Sáng T4: Tiết 5-6 , Địa điểm: C7-217, Tuần: 2-9,11-19
 Sáng T5: Tiết 5-6 , Địa điểm: D9-502, Tuần: 2-9,11-19
</t>
  </si>
  <si>
    <t>3,515,516,2-9,11-19,D9-502;2,415,416,2-9,11-19,C7-217;1,215,216,2-9,11-19,C7-217</t>
  </si>
  <si>
    <t>sato.yushi@sun-asterisk.com</t>
  </si>
  <si>
    <t>Mở(*Việt Nhật K69-7S)</t>
  </si>
  <si>
    <t>161386</t>
  </si>
  <si>
    <t>*Việt Nhật K69 -1 S, *Việt Nhật K69 -1 S</t>
  </si>
  <si>
    <t xml:space="preserve"> Sáng T4: Tiết 5-6 , Địa điểm: B1-208, Tuần: 2-9,11-19
 Chiều T4: Tiết 1-2 , Địa điểm: B1-208, Tuần: 2-9,11-19
</t>
  </si>
  <si>
    <t>2,421,422,2-9,11-19,B1-208;1,415,416,2-9,11-19,B1-208</t>
  </si>
  <si>
    <t>Lê Ngọc Anh Vũ</t>
  </si>
  <si>
    <t>Mở(*Việt Nhật K69 -1 S)</t>
  </si>
  <si>
    <t>ddj1yez</t>
  </si>
  <si>
    <t>161368</t>
  </si>
  <si>
    <t>114</t>
  </si>
  <si>
    <t xml:space="preserve"> Sáng T3: Tiết 4-6 , Địa điểm: D9-501, Tuần: 2-9,11-19
</t>
  </si>
  <si>
    <t>1,314,316,2-9,11-19,D9-501</t>
  </si>
  <si>
    <t>thanh.lexuan@hust.edu.vn</t>
  </si>
  <si>
    <t>0911650535</t>
  </si>
  <si>
    <t>https://teams.microsoft.com/l/team/19%3Asowa7aPUy4mGcoIimn6xqXuz6bQ5iF3PoF_Wg3pk4cw1%40thread.tacv2/conversations?groupId=7fd350b5-1a2d-43f1-a121-b395c4278e6e&amp;tenantId=06f1b89f-07e8-464f-b408-ec1b45703f31</t>
  </si>
  <si>
    <t>Meeting ID: 440 795 103 180 4 / Passcode: 35Ro3yC6</t>
  </si>
  <si>
    <t>162278</t>
  </si>
  <si>
    <t>(Blend)-KH máy tính - KT máy tính-K68C, (Blend)-KH máy tính - KT máy tính-K68C</t>
  </si>
  <si>
    <t>129</t>
  </si>
  <si>
    <t xml:space="preserve"> Chiều T3: Tiết 3-4 , Địa điểm: D9-105, Tuần: 2-9,11-19
</t>
  </si>
  <si>
    <t>1,323,324,2-9,11-19,D9-105</t>
  </si>
  <si>
    <t>161387</t>
  </si>
  <si>
    <t xml:space="preserve"> Sáng T3: Tiết 5-6 , Địa điểm: B1-208, Tuần: 2-9,11-19
 Chiều T3: Tiết 1-2 , Địa điểm: B1-208, Tuần: 2-9,11-19
</t>
  </si>
  <si>
    <t>2,321,322,2-9,11-19,B1-208;1,315,316,2-9,11-19,B1-208</t>
  </si>
  <si>
    <t>1qtkcer</t>
  </si>
  <si>
    <t>162279</t>
  </si>
  <si>
    <t>128</t>
  </si>
  <si>
    <t xml:space="preserve"> Chiều T3: Tiết 5-6 , Địa điểm: D9-105, Tuần: 2-9,11-19
</t>
  </si>
  <si>
    <t>1,325,326,2-9,11-19,D9-105</t>
  </si>
  <si>
    <t>161395</t>
  </si>
  <si>
    <t>*Việt Nhật K69 + Việt Pháp K69-10C, *Việt Nhật K69 + Việt Pháp K69-10C</t>
  </si>
  <si>
    <t xml:space="preserve"> Chiều T6: Tiết 3-6 , Địa điểm: B1-207, Tuần: 2-9,11-19
</t>
  </si>
  <si>
    <t>1,623,626,2-9,11-19,B1-207</t>
  </si>
  <si>
    <t>Mở(*Việt Nhật K69 + Việt Pháp K69-10C)</t>
  </si>
  <si>
    <t>wdfzgec</t>
  </si>
  <si>
    <t>161378</t>
  </si>
  <si>
    <t>93</t>
  </si>
  <si>
    <t xml:space="preserve"> Sáng T3: Tiết 1-4 , Địa điểm: D9-306, Tuần: 2-9,11-19
</t>
  </si>
  <si>
    <t>1,311,314,2-9,11-19,D9-306</t>
  </si>
  <si>
    <t>Phạm Quang Huy</t>
  </si>
  <si>
    <t>j3cqmzv</t>
  </si>
  <si>
    <t>161366</t>
  </si>
  <si>
    <t xml:space="preserve"> Sáng T6: Tiết 1-3 , Địa điểm: D9-501, Tuần: 2-9,11-19
</t>
  </si>
  <si>
    <t>1,611,613,2-9,11-19,D9-501</t>
  </si>
  <si>
    <t>162283</t>
  </si>
  <si>
    <t xml:space="preserve"> Chiều T7: Tiết 4-6 , Địa điểm: D3-101, Tuần: 4,7,13,16,19
</t>
  </si>
  <si>
    <t>1,524,526,2-9,11-19,D9-101</t>
  </si>
  <si>
    <t>162270</t>
  </si>
  <si>
    <t>KH máy tính-K68S, KH máy tính-K68S</t>
  </si>
  <si>
    <t xml:space="preserve"> Sáng T4: Tiết 4-6 , Địa điểm: D9-101, Tuần: 2-9,11-19
</t>
  </si>
  <si>
    <t>1,414,416,2-9,11-19,D9-101</t>
  </si>
  <si>
    <t>Mở(KH máy tính-K68S)</t>
  </si>
  <si>
    <t>161434</t>
  </si>
  <si>
    <t>Terachi Maiko</t>
  </si>
  <si>
    <t>5(0-10-0-10)</t>
  </si>
  <si>
    <t>*Việt Nhật K70 -8C, *Việt Nhật K70 -8C</t>
  </si>
  <si>
    <t xml:space="preserve"> Chiều T2: Tiết 3-4 , Địa điểm: C7-219, Tuần: 3-19
 Chiều T3: Tiết 3-4 , Địa điểm: Online, Tuần: 3-19
 Chiều T4: Tiết 3-4 , Địa điểm: C7-219, Tuần: 3-19
 Chiều T5: Tiết 3-4 , Địa điểm: Online, Tuần: 3-19
 Chiều T6: Tiết 3-4 , Địa điểm: C7-219, Tuần: 3-19
</t>
  </si>
  <si>
    <t>5,623,624,3-19,3-19;4,523,524,3-19,3-19;3,423,424,3-19,3-19;2,323,324,3-19,3-19;1,223,224,3-19,3-19</t>
  </si>
  <si>
    <t>invited.lecturer11.soict@hust.edu.vn</t>
  </si>
  <si>
    <t>Mở(*Việt Nhật K70 -8C)</t>
  </si>
  <si>
    <t>161432</t>
  </si>
  <si>
    <t>Lương Thị Phương Liên</t>
  </si>
  <si>
    <t>*Việt Nhật K70 -6C, *Việt Nhật K70 -6C</t>
  </si>
  <si>
    <t xml:space="preserve"> Chiều T2: Tiết 3-4 , Địa điểm: C7-114, Tuần: 3-19
 Chiều T3: Tiết 3-4 , Địa điểm: Online, Tuần: 3-19
 Chiều T4: Tiết 3-4 , Địa điểm: C7-114, Tuần: 3-19
 Chiều T5: Tiết 3-4 , Địa điểm: Online, Tuần: 3-19
 Chiều T6: Tiết 3-4 , Địa điểm: C7-114, Tuần: 3-19
</t>
  </si>
  <si>
    <t>invited.lecturer15.soict@hust.edu.vn</t>
  </si>
  <si>
    <t>Mở(*Việt Nhật K70 -6C)</t>
  </si>
  <si>
    <t>161433</t>
  </si>
  <si>
    <t>Nguyễn Thị Bích Diệp</t>
  </si>
  <si>
    <t>*Việt Nhật K70 -7C, *Việt Nhật K70 -7C</t>
  </si>
  <si>
    <t xml:space="preserve"> Chiều T2: Tiết 3-4 , Địa điểm: C7-217, Tuần: 3-19
 Chiều T3: Tiết 3-4 , Địa điểm: Online, Tuần: 3-19
 Chiều T4: Tiết 3-4 , Địa điểm: C7-217, Tuần: 3-19
 Chiều T5: Tiết 3-4 , Địa điểm: Online, Tuần: 3-19
 Chiều T6: Tiết 3-4 , Địa điểm: C7-217, Tuần: 3-19
</t>
  </si>
  <si>
    <t>nguyen.thi.bich.diep@sun-asterisk.com</t>
  </si>
  <si>
    <t>Mở(*Việt Nhật K70 -7C)</t>
  </si>
  <si>
    <t>162268</t>
  </si>
  <si>
    <t>91</t>
  </si>
  <si>
    <t xml:space="preserve"> Sáng T5: Tiết 1-4 , Địa điểm: D9-101, Tuần: 2-9,11-19
</t>
  </si>
  <si>
    <t>1,511,514,2-9,11-19,D9-101</t>
  </si>
  <si>
    <t>Nguyễn Đình Phúc; Nguyễn Tiến Đăng</t>
  </si>
  <si>
    <t>https://teams.microsoft.com/l/team/19%3AWX1414_ItV0XxMDLPj0ObVLlr_APpJtBEs5WKlsIrbc1%40thread.tacv2/conversations?groupId=eadc89c7-f6dd-4fbb-aa94-df61a29ab490&amp;tenantId=06f1b89f-07e8-464f-b408-ec1b45703f31</t>
  </si>
  <si>
    <t>e0w4maj</t>
  </si>
  <si>
    <t>161430</t>
  </si>
  <si>
    <t>Ngô Tú Quyên</t>
  </si>
  <si>
    <t>*Việt Nhật K70 -4C, *Việt Nhật K70 -4C</t>
  </si>
  <si>
    <t xml:space="preserve"> Chiều T2: Tiết 1-2 , Địa điểm: D9-403, Tuần: 3-19
 Chiều T3: Tiết 1-2 , Địa điểm: Online, Tuần: 3-19
 Chiều T4: Tiết 1-2 , Địa điểm: D9-403, Tuần: 3-19
 Chiều T5: Tiết 1-2 , Địa điểm: Online, Tuần: 3-19
 Chiều T6: Tiết 1-2 , Địa điểm: D9-403, Tuần: 3-19
</t>
  </si>
  <si>
    <t>5,621,622,3-19,3-19;4,521,522,3-19,3-19;3,421,422,3-19,3-19;2,321,322,3-19,3-19;1,221,222,3-19,3-19</t>
  </si>
  <si>
    <t>invited.lecturer17.soict@hust.edu.vn</t>
  </si>
  <si>
    <t>Mở(*Việt Nhật K70 -4C)</t>
  </si>
  <si>
    <t>161419</t>
  </si>
  <si>
    <t>*ICT K69-3S, *ICT K69-3S</t>
  </si>
  <si>
    <t xml:space="preserve"> Sáng T6: Tiết 1-4 , Địa điểm: B1-208, Tuần: 2-9,11-19
</t>
  </si>
  <si>
    <t>1,611,614,2-9,11-19,B1-208</t>
  </si>
  <si>
    <t>Mở(*ICT K69-3S)</t>
  </si>
  <si>
    <t>froey3l</t>
  </si>
  <si>
    <t>161435</t>
  </si>
  <si>
    <t>*Việt Nhật K70 -9C, *Việt Nhật K70 -9C</t>
  </si>
  <si>
    <t xml:space="preserve"> Chiều T2: Tiết 3-4 , Địa điểm: D9-403, Tuần: 3-19
 Chiều T3: Tiết 3-4 , Địa điểm: Online, Tuần: 3-19
 Chiều T4: Tiết 3-4 , Địa điểm: D9-403, Tuần: 3-19
 Chiều T5: Tiết 3-4 , Địa điểm: Online, Tuần: 3-19
 Chiều T6: Tiết 3-4 , Địa điểm: D9-403, Tuần: 3-19
</t>
  </si>
  <si>
    <t>Mở(*Việt Nhật K70 -9C)</t>
  </si>
  <si>
    <t>161429</t>
  </si>
  <si>
    <t>*Việt Nhật K70 -3C, *Việt Nhật K70 -3C</t>
  </si>
  <si>
    <t xml:space="preserve"> Chiều T2: Tiết 1-2 , Địa điểm: C7-219, Tuần: 3-19
 Chiều T3: Tiết 1-2 , Địa điểm: Online, Tuần: 3-19
 Chiều T4: Tiết 1-2 , Địa điểm: C7-219, Tuần: 3-19
 Chiều T5: Tiết 1-2 , Địa điểm: Online, Tuần: 3-19
 Chiều T6: Tiết 1-2 , Địa điểm: C7-219, Tuần: 3-19
</t>
  </si>
  <si>
    <t>Mở(*Việt Nhật K70 -3C)</t>
  </si>
  <si>
    <t>161428</t>
  </si>
  <si>
    <t>*Việt Nhật K70 -2C, *Việt Nhật K70 -2C</t>
  </si>
  <si>
    <t xml:space="preserve"> Chiều T2: Tiết 1-2 , Địa điểm: C7-217, Tuần: 3-19
 Chiều T3: Tiết 1-2 , Địa điểm: Online, Tuần: 3-19
 Chiều T4: Tiết 1-2 , Địa điểm: C7-217, Tuần: 3-19
 Chiều T5: Tiết 1-2 , Địa điểm: Online, Tuần: 3-19
 Chiều T6: Tiết 1-2 , Địa điểm: C7-217, Tuần: 3-19
</t>
  </si>
  <si>
    <t>Mở(*Việt Nhật K70 -2C)</t>
  </si>
  <si>
    <t>162271</t>
  </si>
  <si>
    <t>Bùi Thị Mai Anh (0.0) - Trịnh Thành Trung (1.0)</t>
  </si>
  <si>
    <t>143</t>
  </si>
  <si>
    <t xml:space="preserve"> Sáng T3: Tiết 5-6 , Địa điểm: D9-201, Tuần: 2-9,11-19
</t>
  </si>
  <si>
    <t>1,313,316,2-9,11-19,D9-201</t>
  </si>
  <si>
    <t>anh.buithimai@hust.edu.vntrung.trinhthanh@hust.edu.vn</t>
  </si>
  <si>
    <t>09767077720773321666</t>
  </si>
  <si>
    <t>00srw8s</t>
  </si>
  <si>
    <t>162269</t>
  </si>
  <si>
    <t>Nguyễn Kiêm Hiếu (0.5) - Lê Đức Hậu (0.5)</t>
  </si>
  <si>
    <t>99</t>
  </si>
  <si>
    <t xml:space="preserve"> Sáng T6: Tiết 1-4 , Địa điểm: D9-201, Tuần: 2-9,11-19
</t>
  </si>
  <si>
    <t>1,611,614,2-9,11-19,D9-201</t>
  </si>
  <si>
    <t>hieu.nguyenkiem@hust.edu.vnhau.leduc@hust.edu.vn</t>
  </si>
  <si>
    <t>09645967840912324564</t>
  </si>
  <si>
    <t>Nguyễn Đức Tuân</t>
  </si>
  <si>
    <t>piyvaiv</t>
  </si>
  <si>
    <t>161427</t>
  </si>
  <si>
    <t>*Việt Nhật K70 -1C, *Việt Nhật K70 -1C</t>
  </si>
  <si>
    <t xml:space="preserve"> Chiều T2: Tiết 1-2 , Địa điểm: C7-114, Tuần: 3-19
 Chiều T3: Tiết 1-2 , Địa điểm: Online, Tuần: 3-19
 Chiều T4: Tiết 1-2 , Địa điểm: C7-114, Tuần: 3-19
 Chiều T5: Tiết 1-2 , Địa điểm: Online, Tuần: 3-19
 Chiều T6: Tiết 1-2 , Địa điểm: C7-114, Tuần: 3-19
</t>
  </si>
  <si>
    <t>Mở(*Việt Nhật K70 -1C)</t>
  </si>
  <si>
    <t>162265</t>
  </si>
  <si>
    <t>KT máy tính-K69S, KT máy tính-K69S</t>
  </si>
  <si>
    <t>118</t>
  </si>
  <si>
    <t xml:space="preserve"> Sáng T3: Tiết 1-3 , Địa điểm: D9-106, Tuần: 2-9,11-19
</t>
  </si>
  <si>
    <t>1,311,313,2-9,11-19,D9-106</t>
  </si>
  <si>
    <t>D9-106</t>
  </si>
  <si>
    <t>Mở(KT máy tính-K69S)</t>
  </si>
  <si>
    <t>162254</t>
  </si>
  <si>
    <t>KH máy tính-K69S, KH máy tính-K69S</t>
  </si>
  <si>
    <t xml:space="preserve"> Sáng T3: Tiết 4-6 , Địa điểm: D9-305, Tuần: 2-9,11-19
</t>
  </si>
  <si>
    <t>1,314,316,2-9,11-19,D9-305</t>
  </si>
  <si>
    <t>Mở(KH máy tính-K69S)</t>
  </si>
  <si>
    <t>2qm73gc</t>
  </si>
  <si>
    <t>162266</t>
  </si>
  <si>
    <t>KT máy tính-K69C, KT máy tính-K69C</t>
  </si>
  <si>
    <t xml:space="preserve"> Chiều T2: Tiết 3-6 , Địa điểm: D9-301, Tuần: 2-9,11-19
</t>
  </si>
  <si>
    <t>1,223,226,2-9,11-19,D9-301</t>
  </si>
  <si>
    <t>D9-301</t>
  </si>
  <si>
    <t>Mở(KT máy tính-K69C)</t>
  </si>
  <si>
    <t>162755</t>
  </si>
  <si>
    <t>Nhiệt-K69C, Nhiệt-K69C</t>
  </si>
  <si>
    <t>249</t>
  </si>
  <si>
    <t xml:space="preserve"> Chiều T6: Tiết 3-6 , Địa điểm: GD-B1, Tuần: 2-9,11-19
</t>
  </si>
  <si>
    <t>1,623,626,2-9,11-19,GD-B1</t>
  </si>
  <si>
    <t>Mở(Nhiệt-K69C)</t>
  </si>
  <si>
    <t>161413</t>
  </si>
  <si>
    <t>*ICT K69-1C, *ICT K69-1C</t>
  </si>
  <si>
    <t>108</t>
  </si>
  <si>
    <t xml:space="preserve"> Chiều T4: Tiết 1-2 , Địa điểm: D9-501, Tuần: 2-9,11-19
</t>
  </si>
  <si>
    <t>1,421,422,2-9,11-19,D9-501</t>
  </si>
  <si>
    <t>dung.phamquang@hust.edu.vn</t>
  </si>
  <si>
    <t>0947732280</t>
  </si>
  <si>
    <t>Mở(*ICT K69-1C)</t>
  </si>
  <si>
    <t>162256</t>
  </si>
  <si>
    <t>KH máy tính - KT máy tính-K69C, KH máy tính - KT máy tính-K69C</t>
  </si>
  <si>
    <t>148</t>
  </si>
  <si>
    <t xml:space="preserve"> Chiều T3: Tiết 1-2 , Địa điểm: D3-5-201, Tuần: 2-9,11-19
 Chiều T5: Tiết 5-6 , Địa điểm: D3-5-201, Tuần: 2-9,11-19
</t>
  </si>
  <si>
    <t>2,525,526,2-9,11-19,D3-5-201;1,321,322,2-9,11-19,D3-5-201</t>
  </si>
  <si>
    <t>D3-5-201, D3-5-201</t>
  </si>
  <si>
    <t>khanh.nguyenkim@hust.edu.vn</t>
  </si>
  <si>
    <t>0913 585 533</t>
  </si>
  <si>
    <t>Trần Dương An; Nguyễn Văn Huy</t>
  </si>
  <si>
    <t>Mở(KH máy tính - KT máy tính-K69C)</t>
  </si>
  <si>
    <t>3xdk41o</t>
  </si>
  <si>
    <t>161436</t>
  </si>
  <si>
    <t>*Việt Nhật K70 -10C, *Việt Nhật K70 -10C</t>
  </si>
  <si>
    <t xml:space="preserve"> Chiều T2: Tiết 3-4 , Địa điểm: D9-404, Tuần: 3-19
 Chiều T3: Tiết 3-4 , Địa điểm: Online, Tuần: 3-19
 Chiều T4: Tiết 3-4 , Địa điểm: D9-404, Tuần: 3-19
 Chiều T5: Tiết 3-4 , Địa điểm: Online, Tuần: 3-19
 Chiều T6: Tiết 3-4 , Địa điểm: D9-404, Tuần: 3-19
</t>
  </si>
  <si>
    <t>Mở(*Việt Nhật K70 -10C)</t>
  </si>
  <si>
    <t>162255</t>
  </si>
  <si>
    <t>151</t>
  </si>
  <si>
    <t xml:space="preserve"> Chiều T3: Tiết 3-6 , Địa điểm: D3-5-201, Tuần: 2-9,11-19
</t>
  </si>
  <si>
    <t>1,323,326,2-9,11-19,D3-5-201</t>
  </si>
  <si>
    <t>Hoàng Văn Bình; Nguyễn Bình Minh</t>
  </si>
  <si>
    <t>https://teams.microsoft.com/l/team/19%3Aru1OJOrWVMgBAUghyLA3D1BfDr0dlSyMxBu4REJX-Vk1%40thread.tacv2/conversations?groupId=d153570f-b575-450a-9dfd-75510ebf5540&amp;tenantId=06f1b89f-07e8-464f-b408-ec1b45703f31</t>
  </si>
  <si>
    <t>eznjhkg</t>
  </si>
  <si>
    <t>162264</t>
  </si>
  <si>
    <t>119</t>
  </si>
  <si>
    <t xml:space="preserve"> Sáng T3: Tiết 4-6 , Địa điểm: D9-105, Tuần: 2-9,11-19
</t>
  </si>
  <si>
    <t>1,314,316,2-9,11-19,D9-105</t>
  </si>
  <si>
    <t>161431</t>
  </si>
  <si>
    <t>*Việt Nhật K70 -5C, *Việt Nhật K70 -5C</t>
  </si>
  <si>
    <t xml:space="preserve"> Chiều T2: Tiết 1-2 , Địa điểm: D9-404, Tuần: 3-19
 Chiều T3: Tiết 1-2 , Địa điểm: Online, Tuần: 3-19
 Chiều T4: Tiết 1-2 , Địa điểm: D9-404, Tuần: 3-19
 Chiều T5: Tiết 1-2 , Địa điểm: Online, Tuần: 3-19
 Chiều T6: Tiết 1-2 , Địa điểm: D9-404, Tuần: 3-19
</t>
  </si>
  <si>
    <t>Mở(*Việt Nhật K70 -5C)</t>
  </si>
  <si>
    <t>162258</t>
  </si>
  <si>
    <t xml:space="preserve"> Chiều T2: Tiết 1-4 , Địa điểm: D9-201, Tuần: 2-9,11-19
</t>
  </si>
  <si>
    <t>1,221,224,2-9,11-19,D9-201</t>
  </si>
  <si>
    <t>hung.phamngoc1@hust.edu.vn</t>
  </si>
  <si>
    <t>0985410656</t>
  </si>
  <si>
    <t>Nguyễn Ngọc Ánh; Nguyễn Mạnh Thắng</t>
  </si>
  <si>
    <t>Chiều T2, Tiết 1-4, D9-201, Tuần: 2-9,11-19</t>
  </si>
  <si>
    <t>bj5wur8</t>
  </si>
  <si>
    <t>162257</t>
  </si>
  <si>
    <t xml:space="preserve"> Chiều T5: Tiết 1-4 , Địa điểm: D3-5-201, Tuần: 2-9,11-19
</t>
  </si>
  <si>
    <t>1,521,524,2-9,11-19,D3-5-201</t>
  </si>
  <si>
    <t>hiep.hoangvan@hust.edu.vn</t>
  </si>
  <si>
    <t>0944840301</t>
  </si>
  <si>
    <t>Vũ Nam Khánh; Nguyễn Thị Hoài Phương</t>
  </si>
  <si>
    <t>https://teams.microsoft.com/l/team/19%3AiW10l8wkFInopo6BmcPitpDDILJheyyvhlbraeMLUIM1%40thread.tacv2/conversations?groupId=dd3a2891-0f64-4b84-bcc3-826710b6faeb&amp;tenantId=06f1b89f-07e8-464f-b408-ec1b45703f31</t>
  </si>
  <si>
    <t>162267</t>
  </si>
  <si>
    <t xml:space="preserve"> Sáng T4: Tiết 1-3 , Địa điểm: D7-508, Tuần: 2-9,11-19
</t>
  </si>
  <si>
    <t>1,411,413,2-9,11-19,D7-508</t>
  </si>
  <si>
    <t>D7-508</t>
  </si>
  <si>
    <t>7nufhop</t>
  </si>
  <si>
    <t>161468</t>
  </si>
  <si>
    <t>*ICT K70S, *ICT, KHDL, An toàn KG số - K70S</t>
  </si>
  <si>
    <t>261</t>
  </si>
  <si>
    <t>330</t>
  </si>
  <si>
    <t xml:space="preserve"> Sáng T5: Tiết 1-2 , Địa điểm: GD-B1, Tuần: 3-19
</t>
  </si>
  <si>
    <t>1,515,516,3-19,3-19</t>
  </si>
  <si>
    <t>huong.lethanh@hust.edu.vn</t>
  </si>
  <si>
    <t>0904674102</t>
  </si>
  <si>
    <t>ĐINH PHI HÙNG</t>
  </si>
  <si>
    <t>Mở(*ICT, KHDL, An toàn KG số - K70S)</t>
  </si>
  <si>
    <t>8pispvp</t>
  </si>
  <si>
    <t>161471</t>
  </si>
  <si>
    <t>*ICT K70-2S, *ICT K70-2S</t>
  </si>
  <si>
    <t xml:space="preserve"> Sáng T2: Tiết 1-4 , Địa điểm: B1-207, Tuần: 3-19
</t>
  </si>
  <si>
    <t>1,211,214,3-19,3-19</t>
  </si>
  <si>
    <t>Mở(*ICT K70-2S)</t>
  </si>
  <si>
    <t>https://teams.microsoft.com/l/team/19%3ApqNo6WOALMPRpdaIyMVVrnN9BW-q_j1CqQobZwegFiw1%40thread.tacv2/conversations?groupId=ddf6ab61-fa50-491f-9304-fb003b828485&amp;tenantId=06f1b89f-07e8-464f-b408-ec1b45703f31</t>
  </si>
  <si>
    <t>cyq9i9g</t>
  </si>
  <si>
    <t>161469</t>
  </si>
  <si>
    <t>2(2-0-0-4)</t>
  </si>
  <si>
    <t>*ICT K70S, *ICT K70S</t>
  </si>
  <si>
    <t>127</t>
  </si>
  <si>
    <t xml:space="preserve"> Sáng T6: Tiết 5-6 , Địa điểm: D9-401, Tuần: 3-19
</t>
  </si>
  <si>
    <t>1,615,616,3-19,3-19</t>
  </si>
  <si>
    <t>Mở(*ICT K70S)</t>
  </si>
  <si>
    <t>80bi0wz</t>
  </si>
  <si>
    <t>161470</t>
  </si>
  <si>
    <t>*ICT K70-1S, *ICT K70-1S</t>
  </si>
  <si>
    <t xml:space="preserve"> Sáng T2: Tiết 1-4 , Địa điểm: B1-206, Tuần: 3-19
</t>
  </si>
  <si>
    <t>Mở(*ICT K70-1S)</t>
  </si>
  <si>
    <t>fepqk9j</t>
  </si>
  <si>
    <t>162322</t>
  </si>
  <si>
    <t>IT4025</t>
  </si>
  <si>
    <t>Mật mã ứng dụng</t>
  </si>
  <si>
    <t>KT máy tính-mô đun 3-K67S, KT máy tính-mô đun 3-K67S</t>
  </si>
  <si>
    <t xml:space="preserve"> Sáng T3: Tiết 1-4 , Địa điểm: TC-209, Tuần: 2-9,11-19
</t>
  </si>
  <si>
    <t>1,311,314,2-9,11-19,TC-209</t>
  </si>
  <si>
    <t>TC-209</t>
  </si>
  <si>
    <t>Mở(KT máy tính-mô đun 3-K67S)</t>
  </si>
  <si>
    <t>s2rmrkt</t>
  </si>
  <si>
    <t>162319</t>
  </si>
  <si>
    <t>Nguyễn Linh Giang</t>
  </si>
  <si>
    <t>KT máy tính-mô đun 2,3-K67S, KT máy tính-mô đun 2,3-K67S</t>
  </si>
  <si>
    <t xml:space="preserve"> Sáng T3: Tiết 5-6 , Địa điểm: D9-306, Tuần: 2-9,11-19
</t>
  </si>
  <si>
    <t>1,315,316,2-9,11-19,TC-209</t>
  </si>
  <si>
    <t>giang.nguyenlinh@hust.edu.vn</t>
  </si>
  <si>
    <t>0912725672</t>
  </si>
  <si>
    <t>Mở(KT máy tính-mô đun 2,3-K67S)</t>
  </si>
  <si>
    <t>https://teams.microsoft.com/l/team/19%3A-zNYO9CyOJH3jhKSfxqgf3AACqTGLIGnQAGqPrz8fTM1%40thread.tacv2/conversations?groupId=5d38bd58-de98-49f6-8aed-ff5ed53fdde3&amp;tenantId=06f1b89f-07e8-464f-b408-ec1b45703f31</t>
  </si>
  <si>
    <t>6mlsd4l</t>
  </si>
  <si>
    <t>162317</t>
  </si>
  <si>
    <t>KT máy tính-mô đun 1,2-K67S, KT máy tính-mô đun 1,2-K67S</t>
  </si>
  <si>
    <t xml:space="preserve"> Sáng T5: Tiết 4-6 , Địa điểm: D9-106, Tuần: 2-9,11-19
</t>
  </si>
  <si>
    <t>1,514,516,2-9,11-19,D9-106</t>
  </si>
  <si>
    <t>Mở(KT máy tính-mô đun 1,2-K67S)</t>
  </si>
  <si>
    <t>pqb08qs</t>
  </si>
  <si>
    <t>162321</t>
  </si>
  <si>
    <t>Nguyễn Thị Hoàng Lan</t>
  </si>
  <si>
    <t>KT máy tính-mô đun 2-K67S, KT máy tính-mô đun 2-K67S</t>
  </si>
  <si>
    <t xml:space="preserve"> Sáng T2: Tiết 4-6 , Địa điểm: D7-308, Tuần: 2-9,11-19
</t>
  </si>
  <si>
    <t>1,214,216,2-9,11-19,D7-508</t>
  </si>
  <si>
    <t>D7-308</t>
  </si>
  <si>
    <t>lan.nguyenthihoang@hust.edu.vn</t>
  </si>
  <si>
    <t>0912818179</t>
  </si>
  <si>
    <t>Mở(KT máy tính-mô đun 2-K67S)</t>
  </si>
  <si>
    <t>162312</t>
  </si>
  <si>
    <t>KT máy tính-K67S, KT máy tính-K67S</t>
  </si>
  <si>
    <t xml:space="preserve"> Sáng T5: Tiết 4-6 , Địa điểm: D9-205, Tuần: 2-9,11-19
</t>
  </si>
  <si>
    <t>1,514,516,2-9,11-19,D9-205</t>
  </si>
  <si>
    <t>Mở(KT máy tính-K67S)</t>
  </si>
  <si>
    <t>161417</t>
  </si>
  <si>
    <t xml:space="preserve"> Chiều T6: Tiết 3-6 , Địa điểm: B1-208, Tuần: 2-9,11-19
</t>
  </si>
  <si>
    <t>1,623,626,2-9,11-19,B1-208</t>
  </si>
  <si>
    <t>vui.leba@hust.edu.vnthuan.nguyendinh@hust.edu.vn</t>
  </si>
  <si>
    <t>09378084350966614396</t>
  </si>
  <si>
    <t>162315</t>
  </si>
  <si>
    <t>KT máy tính-mô đun 1-K67S, KT máy tính-mô đun 1-K67S</t>
  </si>
  <si>
    <t>138</t>
  </si>
  <si>
    <t xml:space="preserve"> Sáng T6: Tiết 1-4 , Địa điểm: D9-105, Tuần: 2-9,11-19
</t>
  </si>
  <si>
    <t>1,611,614,2-9,11-19,D9-105</t>
  </si>
  <si>
    <t>Nguyễn Hoàng Phương</t>
  </si>
  <si>
    <t>Mở(KT máy tính-mô đun 1-K67S)</t>
  </si>
  <si>
    <t>6cvvn96</t>
  </si>
  <si>
    <t>161415</t>
  </si>
  <si>
    <t>*ICT K69C, *ICT K69C</t>
  </si>
  <si>
    <t xml:space="preserve"> Chiều T4: Tiết 4-6 , Địa điểm: D9-502, Tuần: 2-9,11-19
</t>
  </si>
  <si>
    <t>1,424,426,2-9,11-19,D9-502</t>
  </si>
  <si>
    <t>Mở(*ICT K69C)</t>
  </si>
  <si>
    <t>https://teams.microsoft.com/l/team/19%3AdjOFwt9MPtVMdlvLDi6QuOBrnwimqbKd7b3Qkblxjow1%40thread.tacv2/conversations?groupId=584bd4f6-5129-492d-bcb5-27c3df328390&amp;tenantId=06f1b89f-07e8-464f-b408-ec1b45703f31</t>
  </si>
  <si>
    <t>4e2cfw2</t>
  </si>
  <si>
    <t>162300</t>
  </si>
  <si>
    <t>Huỳnh Thị Thanh Bình</t>
  </si>
  <si>
    <t xml:space="preserve"> Chiều T3: Tiết 1-4 , Địa điểm: D4-104, Tuần: 2-9,11-19
</t>
  </si>
  <si>
    <t>1,321,324,2-9,11-19,D4-104</t>
  </si>
  <si>
    <t>binh.huynhthithanh@hust.edu.vn</t>
  </si>
  <si>
    <t>0903226786</t>
  </si>
  <si>
    <t>Phan Đức Hưng</t>
  </si>
  <si>
    <t>0fdkg5q</t>
  </si>
  <si>
    <t>162311</t>
  </si>
  <si>
    <t>Tưởng Văn Đạt</t>
  </si>
  <si>
    <t>113</t>
  </si>
  <si>
    <t xml:space="preserve"> Sáng T5: Tiết 1-3 , Địa điểm: D9-106, Tuần: 2-9,11-19
</t>
  </si>
  <si>
    <t>1,511,513,2-9,11-19,D9-106</t>
  </si>
  <si>
    <t>dat.tuongvan@hust.edu.vn</t>
  </si>
  <si>
    <t>0985538241</t>
  </si>
  <si>
    <t>162305</t>
  </si>
  <si>
    <t>KH máy tính-mô đun 5-K67C, KH máy tính-mô đun 5-K67C</t>
  </si>
  <si>
    <t xml:space="preserve"> Chiều T5: Tiết 1-4 , Địa điểm: TC-209, Tuần: 2-9,11-19
</t>
  </si>
  <si>
    <t>1,521,524,2-9,11-19,TC-209</t>
  </si>
  <si>
    <t>Mở(KH máy tính-mô đun 5-K67C)</t>
  </si>
  <si>
    <t>y8nx8b4</t>
  </si>
  <si>
    <t>162304</t>
  </si>
  <si>
    <t>Nguyễn Mạnh Tuấn (0.5) - Nguyễn Quốc Tuấn (0.5)</t>
  </si>
  <si>
    <t>KH máy tính-mô đun 4-K67C, KH máy tính-mô đun 4-K67C</t>
  </si>
  <si>
    <t xml:space="preserve"> Chiều T3: Tiết 1-4 , Địa điểm: TC-307, Tuần: 2-9,11-19
</t>
  </si>
  <si>
    <t>1,321,324,2-9,11-19,TC-209</t>
  </si>
  <si>
    <t>TC-307</t>
  </si>
  <si>
    <t>tuan.nguyenmanh@hust.edu.vnTuan.NguyenQuoc@hust.edu.vn</t>
  </si>
  <si>
    <t>09046819840397775933</t>
  </si>
  <si>
    <t>Nguyễn Thanh Hùng, Nguyễn Tiến Thành</t>
  </si>
  <si>
    <t>Mở(KH máy tính-mô đun 4-K67C)</t>
  </si>
  <si>
    <t>j3obmhm</t>
  </si>
  <si>
    <t>161472</t>
  </si>
  <si>
    <t>*ICT K70-3S, *ICT K70-3S</t>
  </si>
  <si>
    <t xml:space="preserve"> Sáng T6: Tiết 1-4 , Địa điểm: B1-204, Tuần: 3-19
</t>
  </si>
  <si>
    <t>1,611,614,3-19,3-19</t>
  </si>
  <si>
    <t>dung.caotuan@hust.edu.vnthanh.nguyentien2@hust.edu.vn</t>
  </si>
  <si>
    <t>09833594250987768886</t>
  </si>
  <si>
    <t>Mở(*ICT K70-3S)</t>
  </si>
  <si>
    <t>161412</t>
  </si>
  <si>
    <t>*ICT K69-2C, *ICT K69-2C</t>
  </si>
  <si>
    <t>76</t>
  </si>
  <si>
    <t xml:space="preserve"> Chiều T4: Tiết 3-6 , Địa điểm: D9-407, Tuần: 2-9,11-19
</t>
  </si>
  <si>
    <t>1,423,426,2-9,11-19,D9-407</t>
  </si>
  <si>
    <t>Mở(*ICT K69-2C)</t>
  </si>
  <si>
    <t>162310</t>
  </si>
  <si>
    <t>IT4611</t>
  </si>
  <si>
    <t>Các hệ thống phân tán và ứng dụng</t>
  </si>
  <si>
    <t>(Blend)-KT máy tính - KH máy tính-K67C, (Blend)-KT máy tính - KH máy tính-K67C</t>
  </si>
  <si>
    <t>98</t>
  </si>
  <si>
    <t xml:space="preserve"> Chiều T6: Tiết 1-3 , Địa điểm: D9-105, Tuần: 3,5,7,9,12,14,16,18
</t>
  </si>
  <si>
    <t>1,621,623,3,5,7,9,12,14,16,18,D9-105</t>
  </si>
  <si>
    <t>Trần Hải Anh</t>
  </si>
  <si>
    <t>Mở((Blend)-KT máy tính - KH máy tính-K67C)</t>
  </si>
  <si>
    <t>162314</t>
  </si>
  <si>
    <t xml:space="preserve"> Sáng T6: Tiết 5-6 , Địa điểm: D3-5-201, Tuần: 2-9,11-19
</t>
  </si>
  <si>
    <t>1,615,616,2-9,11-19,D3-5-201</t>
  </si>
  <si>
    <t>hoang.phamhuy@hust.edu.vn</t>
  </si>
  <si>
    <t>0919742368</t>
  </si>
  <si>
    <t>https://teams.microsoft.com/l/team/19%3APDpcXruvsLE-lpcbp38kgAsBAcOfOu4RM0KNSlIqq6Y1%40thread.tacv2/conversations?groupId=4f644097-8dbb-4311-9ae3-79f7e0b5a6c9&amp;tenantId=06f1b89f-07e8-464f-b408-ec1b45703f31</t>
  </si>
  <si>
    <t>iz3tyvd</t>
  </si>
  <si>
    <t>161455</t>
  </si>
  <si>
    <t>*Việt Nhật K70, Việt Pháp K70C, *Việt Nhật K70, Việt Pháp K70C</t>
  </si>
  <si>
    <t>297</t>
  </si>
  <si>
    <t xml:space="preserve"> Chiều T5: Tiết 5-6 , Địa điểm: B1-504, Tuần: 3-19
</t>
  </si>
  <si>
    <t>1,525,526,3-19,3-19</t>
  </si>
  <si>
    <t>Đỗ Hạnh Nhi; ĐẶNG THÁI DƯƠNG</t>
  </si>
  <si>
    <t>Mở(*Việt Nhật K70, Việt Pháp K70C)</t>
  </si>
  <si>
    <t>https://teams.microsoft.com/l/team/19%3AuBP0RtFaTtLHAbKPq73U6SVe2L9grpDWnHXWCbuksmQ1%40thread.tacv2/conversations?groupId=f478bdaa-aace-403c-964b-0a853011090d&amp;tenantId=06f1b89f-07e8-464f-b408-ec1b45703f31</t>
  </si>
  <si>
    <t>pccah61</t>
  </si>
  <si>
    <t>162301</t>
  </si>
  <si>
    <t>144</t>
  </si>
  <si>
    <t xml:space="preserve"> Chiều T4: Tiết 4-6 , Địa điểm: D9-101, Tuần: 2-9,11-19
</t>
  </si>
  <si>
    <t>1,424,426,2-9,11-19,D9-101</t>
  </si>
  <si>
    <t>Đỗ Bá Hoàng Nam; Nguyễn Tiến Đăng</t>
  </si>
  <si>
    <t>https://teams.microsoft.com/l/team/19%3AtDiHsQBgi-GGoF2CVFpl4-cIBN1p_piWcaywEVgfPts1%40thread.tacv2/conversations?groupId=026fa9a3-5dd4-4269-8ecd-c0486f07955a&amp;tenantId=06f1b89f-07e8-464f-b408-ec1b45703f31</t>
  </si>
  <si>
    <t>lkmjqq7</t>
  </si>
  <si>
    <t>162313</t>
  </si>
  <si>
    <t>KT máy tính-K67C, KT máy tính-K67C</t>
  </si>
  <si>
    <t xml:space="preserve"> Chiều T6: Tiết 4-6 , Địa điểm: D9-105, Tuần: 2-9,11-19
</t>
  </si>
  <si>
    <t>1,624,626,2-9,11-19,D9-105</t>
  </si>
  <si>
    <t>Mở(KT máy tính-K67C)</t>
  </si>
  <si>
    <t>dnrlcfc</t>
  </si>
  <si>
    <t>162318</t>
  </si>
  <si>
    <t>72</t>
  </si>
  <si>
    <t xml:space="preserve"> Sáng T2: Tiết 1-3 , Địa điểm: D9-106, Tuần: 2-9,11-19
</t>
  </si>
  <si>
    <t>1,211,213,2-9,11-19,D9-106</t>
  </si>
  <si>
    <t>linh.dangtuan@hust.edu.vn</t>
  </si>
  <si>
    <t>0932538815</t>
  </si>
  <si>
    <t>c0e6h3m</t>
  </si>
  <si>
    <t>161473</t>
  </si>
  <si>
    <t>*ICT K70-4S, *ICT K70-4S</t>
  </si>
  <si>
    <t xml:space="preserve"> Sáng T6: Tiết 1-4 , Địa điểm: B1-207, Tuần: 3-19
</t>
  </si>
  <si>
    <t>Mở(*ICT K70-4S)</t>
  </si>
  <si>
    <t>162316</t>
  </si>
  <si>
    <t xml:space="preserve"> Sáng T5: Tiết 1-3 , Địa điểm: D9-205, Tuần: 2-9,11-19
</t>
  </si>
  <si>
    <t>1,511,513,2-9,11-19,D9-205</t>
  </si>
  <si>
    <t>https://teams.microsoft.com/l/team/19%3AA9EVpWYpoLrHB7BXixsJGiLy3lIe0H7GOI85_VZkg2Q1%40thread.tacv2/conversations?groupId=02913586-130a-4d0a-bb48-dab71e5875f2&amp;tenantId=06f1b89f-07e8-464f-b408-ec1b45703f31</t>
  </si>
  <si>
    <t>0t9z83m</t>
  </si>
  <si>
    <t>161411</t>
  </si>
  <si>
    <t>88</t>
  </si>
  <si>
    <t xml:space="preserve"> Chiều T2: Tiết 3-6 , Địa điểm: D9-405, Tuần: 2-9,11-19
</t>
  </si>
  <si>
    <t>1,223,226,2-9,11-19,D9-405</t>
  </si>
  <si>
    <t>8w5ext9</t>
  </si>
  <si>
    <t>161474</t>
  </si>
  <si>
    <t>, *Việt Nhật K68 + Việt Pháp K69-3</t>
  </si>
  <si>
    <t xml:space="preserve"> Chiều T7: Tiết 1-3 , Địa điểm: D3-101, Tuần: 6,9,11,15,18
</t>
  </si>
  <si>
    <t>Phạm Quang Huy; Bùi Văn Nam</t>
  </si>
  <si>
    <t>Mở(*Việt Nhật K68 + Việt Pháp K69-3)</t>
  </si>
  <si>
    <t>161414</t>
  </si>
  <si>
    <t>74</t>
  </si>
  <si>
    <t xml:space="preserve"> Chiều T2: Tiết 1-2 , Địa điểm: D9-405, Tuần: 2-9,11-19
</t>
  </si>
  <si>
    <t>1,221,222,2-9,11-19,D9-405</t>
  </si>
  <si>
    <t>79g1fup</t>
  </si>
  <si>
    <t>162302</t>
  </si>
  <si>
    <t>Trần Việt Trung (0.5) - Tạ Duy Hoàng (0.5)</t>
  </si>
  <si>
    <t>KH máy tính-mô đun 3-K67S, KH máy tính-mô đun 3-K67S</t>
  </si>
  <si>
    <t xml:space="preserve"> Sáng T4: Tiết 1-4 , Địa điểm: D9-201, Tuần: 2-9,11-19
</t>
  </si>
  <si>
    <t>1,411,414,2-9,11-19,D9-201</t>
  </si>
  <si>
    <t>trung.tranviet@hust.edu.vnHoang.TaDuy@hust.edu.vn</t>
  </si>
  <si>
    <t>09850627060878507175</t>
  </si>
  <si>
    <t>Mở(KH máy tính-mô đun 3-K67S)</t>
  </si>
  <si>
    <t>uoelhyk</t>
  </si>
  <si>
    <t>161418</t>
  </si>
  <si>
    <t>*ICT K69-2S, *ICT K69-2S</t>
  </si>
  <si>
    <t xml:space="preserve"> Sáng T6: Tiết 5-6 , Địa điểm: B1-208, Tuần: 2-9,11-19
 Chiều T6: Tiết 1-2 , Địa điểm: B1-208, Tuần: 2-9,11-19
</t>
  </si>
  <si>
    <t>2,621,622,2-9,11-19,B1-208;1,615,616,2-9,11-19,B1-208</t>
  </si>
  <si>
    <t>Mở(*ICT K69-2S)</t>
  </si>
  <si>
    <t>https://teams.microsoft.com/l/team/19%3A51qTIgDcrjoZipehNVav5yt8i8610EBY5vjXBLobQ641%40thread.tacv2/conversations?groupId=ee68bb10-936e-48b1-8371-c5d34efe2f5a&amp;tenantId=06f1b89f-07e8-464f-b408-ec1b45703f31</t>
  </si>
  <si>
    <t>b1qwo3p</t>
  </si>
  <si>
    <t>161416</t>
  </si>
  <si>
    <t>73</t>
  </si>
  <si>
    <t xml:space="preserve"> Chiều T6: Tiết 4-6 , Địa điểm: D9-402, Tuần: 2-9,11-19
</t>
  </si>
  <si>
    <t>1,624,626,2-9,11-19,D9-402</t>
  </si>
  <si>
    <t>162308</t>
  </si>
  <si>
    <t>KT máy tính - KH máy tính-K67S, KT máy tính - KH máy tính-K67S</t>
  </si>
  <si>
    <t>145</t>
  </si>
  <si>
    <t xml:space="preserve"> Sáng T4: Tiết 5-6 , Địa điểm: D9-301, Tuần: 2-9,11-19
 Sáng T6: Tiết 5-6 , Địa điểm: D9-201, Tuần: 2-9,11-19
</t>
  </si>
  <si>
    <t>2,615,616,2-9,11-19,D9-201;1,415,416,2-9,11-19,D9-301</t>
  </si>
  <si>
    <t>D9-301, D9-201</t>
  </si>
  <si>
    <t>lam.doba@hust.edu.vn</t>
  </si>
  <si>
    <t>0964666475</t>
  </si>
  <si>
    <t>Trần Thị Minh Thu; Nguyễn Huy Mạnh</t>
  </si>
  <si>
    <t>Mở(KT máy tính - KH máy tính-K67S)</t>
  </si>
  <si>
    <t>60noy76</t>
  </si>
  <si>
    <t>162306</t>
  </si>
  <si>
    <t xml:space="preserve"> Chiều T6: Tiết 3-6 , Địa điểm: TC-208, Tuần: 2-9,11-19
</t>
  </si>
  <si>
    <t>1,623,626,2-9,11-19,TC-208</t>
  </si>
  <si>
    <t>pdfbaba</t>
  </si>
  <si>
    <t>162303</t>
  </si>
  <si>
    <t xml:space="preserve"> Chiều T2: Tiết 3-6 , Địa điểm: TC-208, Tuần: 2-9,11-19
</t>
  </si>
  <si>
    <t>1,223,226,2-9,11-19,TC-208</t>
  </si>
  <si>
    <t>https://teams.microsoft.com/l/channel/19%3Ad3fde0be8b5b4fcf91d57b83535cf89a%40thread.tacv2/K%E1%BB%B3%2020251?groupId=6c0c667a-74a6-4aab-b645-17bb83092bb7&amp;tenantId=06f1b89f-07e8-464f-b408-ec1b45703f31</t>
  </si>
  <si>
    <t>5xkzphk</t>
  </si>
  <si>
    <t>161863</t>
  </si>
  <si>
    <t>**CTTT-Data Science-K68C, **CTTT-Data Science-K68C</t>
  </si>
  <si>
    <t>117</t>
  </si>
  <si>
    <t xml:space="preserve"> Chiều T4: Tiết 4-6 , Địa điểm: C7-223, Tuần: 2-9,11-19
</t>
  </si>
  <si>
    <t>1,424,426,2-9,11-19,C7-223</t>
  </si>
  <si>
    <t>Nguyễn Trọng Tâm</t>
  </si>
  <si>
    <t>Mở(**CTTT-Data Science-K68C)</t>
  </si>
  <si>
    <t>11z2y35</t>
  </si>
  <si>
    <t>161862</t>
  </si>
  <si>
    <t>2(2-1-0-6)</t>
  </si>
  <si>
    <t>**CTTT-Data Science, An toàn KG-K68C, **CTTT-Data Science, An toàn KG-K68C</t>
  </si>
  <si>
    <t xml:space="preserve"> Chiều T6: Tiết 1-3 , Địa điểm: D8-302, Tuần: 2-9,11-19
</t>
  </si>
  <si>
    <t>1,621,623,2-9,11-19,D8-302</t>
  </si>
  <si>
    <t>D8-302</t>
  </si>
  <si>
    <t>sang.dinhviet@hust.edu.vn</t>
  </si>
  <si>
    <t>0964131714</t>
  </si>
  <si>
    <t>Mở(**CTTT-Data Science, An toàn KG-K68C)</t>
  </si>
  <si>
    <t>162307</t>
  </si>
  <si>
    <t xml:space="preserve"> Sáng T4: Tiết 1-4 , Địa điểm: D9-301, Tuần: 2-9,11-19
</t>
  </si>
  <si>
    <t>1,411,414,2-9,11-19,D9-301</t>
  </si>
  <si>
    <t>31u7k8d</t>
  </si>
  <si>
    <t>161860</t>
  </si>
  <si>
    <t>IT3070E</t>
  </si>
  <si>
    <t>Operating System</t>
  </si>
  <si>
    <t>Michel Toulouse</t>
  </si>
  <si>
    <t xml:space="preserve">**CTTT-Data Science, An toàn KG-K68C, </t>
  </si>
  <si>
    <t>53</t>
  </si>
  <si>
    <t xml:space="preserve"> Chiều T5: Tiết 1-4 , Địa điểm: D8-102, Tuần: 2-9,11-19
</t>
  </si>
  <si>
    <t>1,521,524,2-9,11-19,D8-102</t>
  </si>
  <si>
    <t>D8-102</t>
  </si>
  <si>
    <t>michel.toulouse@soict.hust.edu.vn</t>
  </si>
  <si>
    <t>0776892154</t>
  </si>
  <si>
    <t>ei6ugjs</t>
  </si>
  <si>
    <t>161861</t>
  </si>
  <si>
    <t xml:space="preserve"> Chiều T6: Tiết 4-6 , Địa điểm: D8-302, Tuần: 2-9,11-19
</t>
  </si>
  <si>
    <t>1,624,626,2-9,11-19,D8-302</t>
  </si>
  <si>
    <t>Phạm Minh Hiếu</t>
  </si>
  <si>
    <t>rw4xxz5</t>
  </si>
  <si>
    <t>161864</t>
  </si>
  <si>
    <t>**CTTT-An toàn KG-K68C, **CTTT-An toàn KG-K68C</t>
  </si>
  <si>
    <t xml:space="preserve"> Chiều T4: Tiết 1-3 , Địa điểm: C7-128, Tuần: 2-9,11-19
</t>
  </si>
  <si>
    <t>1,421,423,2-9,11-19,C7-128</t>
  </si>
  <si>
    <t>C7-128</t>
  </si>
  <si>
    <t>Mở(**CTTT-An toàn KG-K68C)</t>
  </si>
  <si>
    <t>zoo53xcd</t>
  </si>
  <si>
    <t>161859</t>
  </si>
  <si>
    <t>89</t>
  </si>
  <si>
    <t xml:space="preserve"> Chiều T3: Tiết 3-6 , Địa điểm: D8-101, Tuần: 2-9,11-19
</t>
  </si>
  <si>
    <t>1,323,326,2-9,11-19,D8-101</t>
  </si>
  <si>
    <t>D8-101</t>
  </si>
  <si>
    <t>pkkp8hb</t>
  </si>
  <si>
    <t>162309</t>
  </si>
  <si>
    <t xml:space="preserve"> Chiều T6: Tiết 1-3 , Địa điểm: D9-105, Tuần: 2,4,6,8,11,13,15,17,19
</t>
  </si>
  <si>
    <t>1,621,623,2,4,6,8,11,13,15,17,19,D9-105</t>
  </si>
  <si>
    <t>anh.tranhai@hust.edu.vn</t>
  </si>
  <si>
    <t>0915825046</t>
  </si>
  <si>
    <t>https://teams.microsoft.com/l/channel/19%3AB1n_gUftyyUUzAHkZvajbXT2ESkokjPrhyJh1XLIbCE1%40thread.tacv2/General?groupId=51cc124d-9ee5-4068-bccc-492c4d856e46&amp;tenantId=06f1b89f-07e8-464f-b408-ec1b45703f31</t>
  </si>
  <si>
    <t>x9x4sw6</t>
  </si>
  <si>
    <t>161858</t>
  </si>
  <si>
    <t>101</t>
  </si>
  <si>
    <t xml:space="preserve"> Chiều T3: Tiết 3-6 , Địa điểm: D8-102, Tuần: 2-9,11-19
</t>
  </si>
  <si>
    <t>1,323,326,2-9,11-19,D8-102</t>
  </si>
  <si>
    <t>zchec7m</t>
  </si>
  <si>
    <t>161857</t>
  </si>
  <si>
    <t>97</t>
  </si>
  <si>
    <t xml:space="preserve"> Chiều T5: Tiết 1-4 , Địa điểm: D8-101, Tuần: 2-9,11-19
</t>
  </si>
  <si>
    <t>1,521,524,2-9,11-19,D8-101</t>
  </si>
  <si>
    <t>161855</t>
  </si>
  <si>
    <t>83</t>
  </si>
  <si>
    <t xml:space="preserve"> Chiều T6: Tiết 1-3 , Địa điểm: D8-101, Tuần: 2-9,11-19
</t>
  </si>
  <si>
    <t>1,621,623,2-9,11-19,D8-101</t>
  </si>
  <si>
    <t>zzx7m1n</t>
  </si>
  <si>
    <t>161856</t>
  </si>
  <si>
    <t xml:space="preserve"> Chiều T6: Tiết 4-6 , Địa điểm: D8-101, Tuần: 2-9,11-19
</t>
  </si>
  <si>
    <t>1,624,626,2-9,11-19,D8-101</t>
  </si>
  <si>
    <t>linh.truongthidieu@hust.edu.vn</t>
  </si>
  <si>
    <t>0949455961</t>
  </si>
  <si>
    <t>73yzir0</t>
  </si>
  <si>
    <t>162409</t>
  </si>
  <si>
    <t>Cơ điện tử-K68C, (Blend)-Cơ điện tử-K68C</t>
  </si>
  <si>
    <t>123</t>
  </si>
  <si>
    <t>125</t>
  </si>
  <si>
    <t xml:space="preserve"> Chiều T2: Tiết 4-6 , Địa điểm: D9-105, Tuần: 2,4,6,8,11,13,15,17,19
</t>
  </si>
  <si>
    <t>1,224,226,2-9,11-19,D9-105</t>
  </si>
  <si>
    <t>Mở((Blend)-Cơ điện tử-K68C)</t>
  </si>
  <si>
    <t>lr3ervt</t>
  </si>
  <si>
    <t>161523</t>
  </si>
  <si>
    <t>**Tài năng KHMT-K68C, **Tài năng KHMT-K68C</t>
  </si>
  <si>
    <t xml:space="preserve"> Chiều T2: Tiết 4-5 , Địa điểm: C7-205, Tuần: 2-9,11-19
</t>
  </si>
  <si>
    <t>1,224,225,2-9,11-19,C7-205</t>
  </si>
  <si>
    <t>C7-205</t>
  </si>
  <si>
    <t>Mở(**Tài năng KHMT-K68C)</t>
  </si>
  <si>
    <t>161524</t>
  </si>
  <si>
    <t>**(Blend)-Tài năng KHMT-K68C, **(Blend)-Tài năng KHMT-K68C</t>
  </si>
  <si>
    <t>42</t>
  </si>
  <si>
    <t xml:space="preserve"> Chiều T4: Tiết 1-2 , Địa điểm: C7-107, Tuần: 2-9,11-19
</t>
  </si>
  <si>
    <t>1,421,422,2-9,11-19,C7-107</t>
  </si>
  <si>
    <t>C7-107</t>
  </si>
  <si>
    <t>Mở(**(Blend)-Tài năng KHMT-K68C)</t>
  </si>
  <si>
    <t>coz0mco</t>
  </si>
  <si>
    <t>161552</t>
  </si>
  <si>
    <t>**Tài năng KHMT-K69S, **Tài năng KHMT-K69S</t>
  </si>
  <si>
    <t xml:space="preserve"> Sáng T2: Tiết 3-6 , Địa điểm: D8-402, Tuần: 2-9,11-19
</t>
  </si>
  <si>
    <t>1,213,216,2-9,11-19,D8-402</t>
  </si>
  <si>
    <t>D8-402</t>
  </si>
  <si>
    <t>Mở(**Tài năng KHMT-K69S)</t>
  </si>
  <si>
    <t>xveyr2g</t>
  </si>
  <si>
    <t>161522</t>
  </si>
  <si>
    <t>**Tài năng KHMT-K68C, (Blend)-**Tài năng KHMT-K68C</t>
  </si>
  <si>
    <t xml:space="preserve"> Chiều T2: Tiết 2-3 , Địa điểm: C7-205, Tuần: 2-9,11-19
</t>
  </si>
  <si>
    <t>1,221,223,2-9,11-19,C7-205</t>
  </si>
  <si>
    <t>Nguyễn Minh Đức</t>
  </si>
  <si>
    <t>Mở((Blend)-**Tài năng KHMT-K68C)</t>
  </si>
  <si>
    <t>LMS: https://lms.hust.edu.vn/course/view.php?id=3545</t>
  </si>
  <si>
    <t>MS Teams: tne26s7</t>
  </si>
  <si>
    <t>161553</t>
  </si>
  <si>
    <t xml:space="preserve"> Sáng T6: Tiết 1-3 , Địa điểm: C7-203, Tuần: 2-9,11-19
</t>
  </si>
  <si>
    <t>1,611,613,2-9,11-19,C7-203</t>
  </si>
  <si>
    <t>Lê Nhật Sơn</t>
  </si>
  <si>
    <t>161538</t>
  </si>
  <si>
    <t>**Tài năng Cơ điện tử-K68C, **Tài năng Cơ điện tử-K68C</t>
  </si>
  <si>
    <t xml:space="preserve"> Chiều T3: Tiết 1-3 , Địa điểm: C7-119, Tuần: 2-9,11-19
</t>
  </si>
  <si>
    <t>1,321,323,2-9,11-19,C7-119</t>
  </si>
  <si>
    <t>C7-119</t>
  </si>
  <si>
    <t>Mở(**Tài năng Cơ điện tử-K68C)</t>
  </si>
  <si>
    <t>161587</t>
  </si>
  <si>
    <t>IT4594</t>
  </si>
  <si>
    <t>Lý thuyết thông tin và truyền thông số</t>
  </si>
  <si>
    <t>**PFIEV-Tin học công nghiệp-K67S, **PFIEV-Tin học công nghiệp-K67S</t>
  </si>
  <si>
    <t xml:space="preserve"> Sáng T4: Tiết 1-4 , Địa điểm: C7-105, Tuần: 2-9,11-19
</t>
  </si>
  <si>
    <t>1,411,414,2-9,11-19,C7-105</t>
  </si>
  <si>
    <t>C7-105</t>
  </si>
  <si>
    <t>Đặng Văn Chuyết</t>
  </si>
  <si>
    <t>Mở(**PFIEV-Tin học công nghiệp-K67S)</t>
  </si>
  <si>
    <t>9z03o69</t>
  </si>
  <si>
    <t>161112</t>
  </si>
  <si>
    <t xml:space="preserve">[SIE]-ME-NUT-K69C, </t>
  </si>
  <si>
    <t xml:space="preserve"> Chiều T3: Tiết 1-4 , Địa điểm: D7-106, Tuần: 2-9, 11-19
</t>
  </si>
  <si>
    <t>1,321,324,2-9, 11-19,D7-106</t>
  </si>
  <si>
    <t>D7-106</t>
  </si>
  <si>
    <t>joh6d0w</t>
  </si>
  <si>
    <t>161591</t>
  </si>
  <si>
    <t xml:space="preserve"> Sáng T3: Tiết 1-4 , Địa điểm: C7-133, Tuần: 2-9,11-19
</t>
  </si>
  <si>
    <t>1,311,314,2-9,11-19,C7-133</t>
  </si>
  <si>
    <t>C7-133</t>
  </si>
  <si>
    <t>peryt0l</t>
  </si>
  <si>
    <t>162410</t>
  </si>
  <si>
    <t>Cơ điện tử-K68C, Cơ điện tử-K68C</t>
  </si>
  <si>
    <t xml:space="preserve"> Chiều T2: Tiết 1-3 , Địa điểm: D9-105, Tuần: 2-9,11-19
</t>
  </si>
  <si>
    <t>1,221,223,2-9,11-19,D9-105</t>
  </si>
  <si>
    <t>Mở(Cơ điện tử-K68C)</t>
  </si>
  <si>
    <t>161113</t>
  </si>
  <si>
    <t>[SIE]-ME-LUH-K68S, [SIE]-ME-LUH-K68S</t>
  </si>
  <si>
    <t xml:space="preserve"> Sáng T4: Tiết 1-3 , Địa điểm: D7-302, Tuần: 2-9, 11-19
</t>
  </si>
  <si>
    <t>1,411,413,2-9, 11-19,D7-302</t>
  </si>
  <si>
    <t>D7-302</t>
  </si>
  <si>
    <t>Mở([SIE]-ME-LUH-K68S)</t>
  </si>
  <si>
    <t>161500</t>
  </si>
  <si>
    <t>**Tài năng KHMT-K67S, **Tài năng KHMT-K67S</t>
  </si>
  <si>
    <t xml:space="preserve"> Sáng T6: Tiết 1-3 , Địa điểm: B1-402, Tuần: 2-9,11-19
</t>
  </si>
  <si>
    <t>1,611,613,2-9,11-19,C7-107</t>
  </si>
  <si>
    <t>trung.ngolam@hust.edu.vn</t>
  </si>
  <si>
    <t>0968 395 999</t>
  </si>
  <si>
    <t>Mở(**Tài năng KHMT-K67S)</t>
  </si>
  <si>
    <t>161501</t>
  </si>
  <si>
    <t xml:space="preserve"> Sáng T4: Tiết 1-4 , Địa điểm: C7-107, Tuần: 2-9,11-19
</t>
  </si>
  <si>
    <t>1,411,414,2-9,11-19,C7-107</t>
  </si>
  <si>
    <t>161502</t>
  </si>
  <si>
    <t>**Tài năng KHMT-K67C, **Tài năng KHMT-K67C</t>
  </si>
  <si>
    <t xml:space="preserve"> Chiều T5: Tiết 4-6 , Địa điểm: C7-205, Tuần: 2-9,11-19
</t>
  </si>
  <si>
    <t>1,524,526,2-9,11-19,C7-205</t>
  </si>
  <si>
    <t>Mở(**Tài năng KHMT-K67C)</t>
  </si>
  <si>
    <t>pcmfjai</t>
  </si>
  <si>
    <t>161505</t>
  </si>
  <si>
    <t xml:space="preserve"> Chiều T2: Tiết 3-6 , Địa điểm: C7-107, Tuần: 2-9,11-19
</t>
  </si>
  <si>
    <t>1,223,226,2-9,11-19,C7-107</t>
  </si>
  <si>
    <t>1pq3iva</t>
  </si>
  <si>
    <t>162080</t>
  </si>
  <si>
    <t>Ngoại ngữ-K69S, Ngoại ngữ-K69S</t>
  </si>
  <si>
    <t>219</t>
  </si>
  <si>
    <t>220</t>
  </si>
  <si>
    <t xml:space="preserve"> Sáng T6: Tiết 5-6 , Địa điểm: GD-B1, Tuần: 2,4,6,8,11,13,15,17
 Sáng T6: Tiết 5-5 , Địa điểm: GD-B1, Tuần: 19
</t>
  </si>
  <si>
    <t>1,615,616,2,4,6,8,11,13,15,17,19,GD-B1</t>
  </si>
  <si>
    <t>Mở(Ngoại ngữ-K69S)</t>
  </si>
  <si>
    <t>162081</t>
  </si>
  <si>
    <t xml:space="preserve"> Sáng T6: Tiết 5-6 , Địa điểm: GD-B1, Tuần: 3,5,7,9,12,14,16,18
 Sáng T6: Tiết 6-6 , Địa điểm: GD-B1, Tuần: 19
</t>
  </si>
  <si>
    <t>1,615,616,3,5,7,9,12,14,16,18,GD-B1</t>
  </si>
  <si>
    <t>162061</t>
  </si>
  <si>
    <t>**CTTT Data Science 03, An toàn KG-K69S, **CTTT Data Science 03, An toàn KG-K69S</t>
  </si>
  <si>
    <t xml:space="preserve"> Sáng T2: Tiết 1-3 , Địa điểm: C7-223, Tuần: 2-9,11-19
</t>
  </si>
  <si>
    <t>1,211,213,2-9,11-19,C7-223</t>
  </si>
  <si>
    <t>dat.trinhtuan@hust.edu.vn</t>
  </si>
  <si>
    <t>0392990092</t>
  </si>
  <si>
    <t>Mở(**CTTT Data Science 03, An toàn KG-K69S)</t>
  </si>
  <si>
    <t>162060</t>
  </si>
  <si>
    <t>**CTTT Data Science 01,02-K69S, **CTTT Data Science 01,02-K69S</t>
  </si>
  <si>
    <t xml:space="preserve"> Sáng T2: Tiết 4-6 , Địa điểm: C7-223, Tuần: 2-9,11-19
</t>
  </si>
  <si>
    <t>1,214,216,2-9,11-19,C7-223</t>
  </si>
  <si>
    <t>Lê Nhật Sơn; Đinh Đình Hải Việt</t>
  </si>
  <si>
    <t>Mở(**CTTT Data Science 01,02-K69S)</t>
  </si>
  <si>
    <t>161503</t>
  </si>
  <si>
    <t xml:space="preserve">**Tài năng KHMT-K67S, </t>
  </si>
  <si>
    <t xml:space="preserve"> Sáng T3: Tiết 2-4 , Địa điểm: C7-107, Tuần: 2-9,11-19
</t>
  </si>
  <si>
    <t>1,311,314,2-9,11-19,C7-107</t>
  </si>
  <si>
    <t>r6flelu</t>
  </si>
  <si>
    <t>161504</t>
  </si>
  <si>
    <t xml:space="preserve"> Sáng T6: Tiết 4-6 , Địa điểm: C7-107, Tuần: 2-9,11-19
</t>
  </si>
  <si>
    <t>1,614,616,2-9,11-19,C7-107</t>
  </si>
  <si>
    <t>162062</t>
  </si>
  <si>
    <t>115</t>
  </si>
  <si>
    <t xml:space="preserve"> Sáng T4: Tiết 5-6 , Địa điểm: C7-223, Tuần: 2-9,11-19
 Sáng T6: Tiết 1-2 , Địa điểm: C7-223, Tuần: 2-9,11-19
</t>
  </si>
  <si>
    <t>2,611,612,2-9,11-19,C7-223;1,415,416,2-9,11-19,C7-223</t>
  </si>
  <si>
    <t>C7-223, C7-223</t>
  </si>
  <si>
    <t>https://teams.microsoft.com/l/team/19%3AVGte5qJzDN6bTHOQnJeS2Ppz26Ngdhhl7rzNwd6oeQA1%40thread.tacv2/conversations?groupId=fa05295d-d8d2-4e59-bf34-019cde792b00&amp;tenantId=06f1b89f-07e8-464f-b408-ec1b45703f31</t>
  </si>
  <si>
    <t>ydtu8f3</t>
  </si>
  <si>
    <t>162065</t>
  </si>
  <si>
    <t>Nguyễn Phi Lê</t>
  </si>
  <si>
    <t>**CTTT Data Science-K69S, **CTTT Data Science-K69S</t>
  </si>
  <si>
    <t xml:space="preserve"> Sáng T6: Tiết 3-6 , Địa điểm: C7-223, Tuần: 2-9,11-19
</t>
  </si>
  <si>
    <t>1,613,616,2-9,11-19,C7-115</t>
  </si>
  <si>
    <t>le.nguyenphi@hust.edu.vn</t>
  </si>
  <si>
    <t>0865488436</t>
  </si>
  <si>
    <t>Nguyễn Minh Khôi; Lê Đại Lâm</t>
  </si>
  <si>
    <t>Mở(**CTTT Data Science-K69S)</t>
  </si>
  <si>
    <t>162064</t>
  </si>
  <si>
    <t xml:space="preserve"> Sáng T3: Tiết 1-4 , Địa điểm: D7-201, Tuần: 2-9,11-19
</t>
  </si>
  <si>
    <t>1,311,314,2-9,11-19,D7-201</t>
  </si>
  <si>
    <t>Phạm Ngọc Trinh</t>
  </si>
  <si>
    <t>162063</t>
  </si>
  <si>
    <t xml:space="preserve"> Sáng T4: Tiết 1-4 , Địa điểm: C7-223, Tuần: 2-9,11-19
</t>
  </si>
  <si>
    <t>1,411,414,2-9,11-19,C7-223</t>
  </si>
  <si>
    <t>162059</t>
  </si>
  <si>
    <t>Nguyễn Yến Chi (0.3) - Trần Thị Thanh Hà (0.7)</t>
  </si>
  <si>
    <t>**CTTT Data Science, An toàn KG-K69S, **CTTT Data Science, An toàn KG-K69S</t>
  </si>
  <si>
    <t xml:space="preserve"> Sáng T3: Tiết 5-6 , Địa điểm: D7-201, Tuần: 2-9,11-19
 Sáng T5: Tiết 5-6 , Địa điểm: C7-215, Tuần: 2-9,11-19
</t>
  </si>
  <si>
    <t>2,515,516,2-9,11-19,C7-215;1,315,316,2-9,11-19,D7-201</t>
  </si>
  <si>
    <t>D7-201, C7-215</t>
  </si>
  <si>
    <t>chi.nguyenyen@hust.edu.vnha.tranthithanh@hust.edu.vn</t>
  </si>
  <si>
    <t>09129973010966140480</t>
  </si>
  <si>
    <t>Mở(**CTTT Data Science, An toàn KG-K69S)</t>
  </si>
  <si>
    <t>d0mzn87</t>
  </si>
  <si>
    <t>162558</t>
  </si>
  <si>
    <t>IT3083</t>
  </si>
  <si>
    <t>KSCS - Cơ điện tử-C, KSCS - Cơ điện tử-C</t>
  </si>
  <si>
    <t xml:space="preserve"> Chiều T5: Tiết 1-3 , Địa điểm: D4-104, Tuần: 2-9,11-19
</t>
  </si>
  <si>
    <t>1,521,523,2-9,11-19,D4-104</t>
  </si>
  <si>
    <t>Hồ Bảo Thư</t>
  </si>
  <si>
    <t>Mở(KSCS - Cơ điện tử-C)</t>
  </si>
  <si>
    <t>161621</t>
  </si>
  <si>
    <t>**Việt Pháp - Việt Nhật-K67C, **Việt Pháp - Việt Nhật-K67C</t>
  </si>
  <si>
    <t xml:space="preserve"> Chiều T4: Tiết 1-4 , Địa điểm: C7-115, Tuần: 2-9,11-19
</t>
  </si>
  <si>
    <t>1,421,424,2-9,11-19,C7-115</t>
  </si>
  <si>
    <t>Mở(**Việt Pháp - Việt Nhật-K67C)</t>
  </si>
  <si>
    <t>https://teams.microsoft.com/l/team/19%3AWNoXrgPTvcn018XBHxMRwDxlZl5iOsrWAU8_EtzrlEo1%40thread.tacv2/conversations?groupId=f2dab7d5-d06b-4892-a87c-12f2384b49b8&amp;tenantId=06f1b89f-07e8-464f-b408-ec1b45703f31</t>
  </si>
  <si>
    <t>op1zrck</t>
  </si>
  <si>
    <t>161629</t>
  </si>
  <si>
    <t>Đoàn Quảng Trị</t>
  </si>
  <si>
    <t>**Việt Pháp-K69C, **Việt Pháp-K69C</t>
  </si>
  <si>
    <t xml:space="preserve"> Chiều T2: Tiết 3-6 , Địa điểm: C7-128, Tuần: 2-9,11-19
</t>
  </si>
  <si>
    <t>1,223,226,2-9,11-19,C7-128</t>
  </si>
  <si>
    <t>tri.doanquang@hust.edu.vn</t>
  </si>
  <si>
    <t>0917114878</t>
  </si>
  <si>
    <t>Mở(**Việt Pháp-K69C)</t>
  </si>
  <si>
    <t>161626</t>
  </si>
  <si>
    <t>**Việt Pháp -K68S, (Blend)-**Việt Pháp -K68S</t>
  </si>
  <si>
    <t>48</t>
  </si>
  <si>
    <t xml:space="preserve"> Sáng T4: Tiết 3-4 , Địa điểm: C7-119, Tuần: 2-9,11-19
</t>
  </si>
  <si>
    <t>1,411,414,2-9,11-19,C7-119</t>
  </si>
  <si>
    <t>giang.vuthihuong@hust.edu.vn</t>
  </si>
  <si>
    <t>0766016898</t>
  </si>
  <si>
    <t>Mở((Blend)-**Việt Pháp -K68S)</t>
  </si>
  <si>
    <t>161620</t>
  </si>
  <si>
    <t>**Việt Pháp -K67C, **Việt Pháp -K67C</t>
  </si>
  <si>
    <t>52</t>
  </si>
  <si>
    <t xml:space="preserve"> Chiều T5: Tiết 3-6 , Địa điểm: C7-234, Tuần: 2-9,11-19
</t>
  </si>
  <si>
    <t>1,523,526,2-9,11-19,C7-234</t>
  </si>
  <si>
    <t>C7-234</t>
  </si>
  <si>
    <t>Nguyễn Hữu Hoàng Hải Anh</t>
  </si>
  <si>
    <t>Mở(**Việt Pháp -K67C)</t>
  </si>
  <si>
    <t>161624</t>
  </si>
  <si>
    <t>**Việt Pháp-K67C, **Việt Pháp-K67C</t>
  </si>
  <si>
    <t xml:space="preserve"> Chiều T2: Tiết 4-6 , Địa điểm: C7-234, Tuần: 2-9,11-19
</t>
  </si>
  <si>
    <t>1,224,226,2-9,11-19,C7-234</t>
  </si>
  <si>
    <t>Mở(**Việt Pháp-K67C)</t>
  </si>
  <si>
    <t>x56z1ba</t>
  </si>
  <si>
    <t>161622</t>
  </si>
  <si>
    <t xml:space="preserve"> Chiều T2: Tiết 1-3 , Địa điểm: C7-234, Tuần: 2-9,11-19
</t>
  </si>
  <si>
    <t>1,221,223,2-9,11-19,C7-234</t>
  </si>
  <si>
    <t>zy21bsq</t>
  </si>
  <si>
    <t>161623</t>
  </si>
  <si>
    <t xml:space="preserve"> Chiều T6: Tiết 3-6 , Địa điểm: C7-234, Tuần: 2-9,11-19
</t>
  </si>
  <si>
    <t>1,623,626,2-9,11-19,C7-234</t>
  </si>
  <si>
    <t>opm7kna</t>
  </si>
  <si>
    <t>161619</t>
  </si>
  <si>
    <t>IT3423</t>
  </si>
  <si>
    <t>Tiếng Pháp chuyên ngành</t>
  </si>
  <si>
    <t>Nguyễn Thuý Yên</t>
  </si>
  <si>
    <t>**Việt Pháp -K67S, **Việt Pháp -K67S</t>
  </si>
  <si>
    <t xml:space="preserve"> Sáng T3: Tiết 1-4 , Địa điểm: C7-213, Tuần: 2-9,11-19
</t>
  </si>
  <si>
    <t>1,311,314,2-9,11-19,C7-213</t>
  </si>
  <si>
    <t>C7-213</t>
  </si>
  <si>
    <t>yen.nguyenthuy@phenikaa-uni.edu.vn</t>
  </si>
  <si>
    <t>Mở(**Việt Pháp -K67S)</t>
  </si>
  <si>
    <t>161270</t>
  </si>
  <si>
    <t>*Việt Nhật K67-3(BT)S, *Việt Nhật K67-3(BT)S</t>
  </si>
  <si>
    <t xml:space="preserve"> Sáng T2: Tiết 1-4 , Địa điểm: B1-208, Tuần: 11-19
</t>
  </si>
  <si>
    <t>1,211,214,11-19,B1-208</t>
  </si>
  <si>
    <t>Mở(*Việt Nhật K67-3(BT)S)</t>
  </si>
  <si>
    <t>qkvulni</t>
  </si>
  <si>
    <t>161262</t>
  </si>
  <si>
    <t>*Việt Nhật K67-5S, *Việt Nhật K67-5S</t>
  </si>
  <si>
    <t xml:space="preserve"> Sáng T4: Tiết 1-4 , Địa điểm: B1-204, Tuần: 2-9,11-19
</t>
  </si>
  <si>
    <t>1,411,414,2-9,11-19,B1-204</t>
  </si>
  <si>
    <t>Mở(*Việt Nhật K67-5S)</t>
  </si>
  <si>
    <t>ugd36om</t>
  </si>
  <si>
    <t>161268</t>
  </si>
  <si>
    <t>*Việt Nhật K67-1(BT)C, *Việt Nhật K67-1(BT)C</t>
  </si>
  <si>
    <t xml:space="preserve"> Chiều T2: Tiết 3-6 , Địa điểm: B1-208, Tuần: 11-19
</t>
  </si>
  <si>
    <t>1,223,226,11-19,B1-208</t>
  </si>
  <si>
    <t>Nguyễn Hữu Nam Hoà</t>
  </si>
  <si>
    <t>Mở(*Việt Nhật K67-1(BT)C)</t>
  </si>
  <si>
    <t>txxz2ak</t>
  </si>
  <si>
    <t>161255</t>
  </si>
  <si>
    <t>*Việt Nhật K67 -1C, *Việt Nhật K67 -1C</t>
  </si>
  <si>
    <t xml:space="preserve"> Chiều T4: Tiết 3-6 , Địa điểm: D9-401, Tuần: 2-9,11-19
</t>
  </si>
  <si>
    <t>1,423,426,2-9,11-19,D9-401</t>
  </si>
  <si>
    <t>nam.lehai@hust.edu.vntung.nguyenson@hust.edu.vn</t>
  </si>
  <si>
    <t>03796966900384886117</t>
  </si>
  <si>
    <t>Mở(*Việt Nhật K67 -1C)</t>
  </si>
  <si>
    <t>szvnow8</t>
  </si>
  <si>
    <t>161272</t>
  </si>
  <si>
    <t>*Việt Nhật K67-4(BT)S, *Việt Nhật K67-4(BT)S</t>
  </si>
  <si>
    <t xml:space="preserve"> Sáng T5: Tiết 1-4 , Địa điểm: B1-209, Tuần: 11-19
</t>
  </si>
  <si>
    <t>1,411,414,11-19,B1-202</t>
  </si>
  <si>
    <t>Đỗ Gia Huy</t>
  </si>
  <si>
    <t>Mở(*Việt Nhật K67-4(BT)S)</t>
  </si>
  <si>
    <t>161251</t>
  </si>
  <si>
    <t>*Việt Nhật K67-1C, *Việt Nhật K67-1C</t>
  </si>
  <si>
    <t>154</t>
  </si>
  <si>
    <t xml:space="preserve"> Chiều T3: Tiết 4-6 , Địa điểm: D9-501, Tuần: 2-9,11-19
</t>
  </si>
  <si>
    <t>1,324,326,2-9,11-19,D9-501</t>
  </si>
  <si>
    <t>Mở(*Việt Nhật K67-1C)</t>
  </si>
  <si>
    <t>37b12p6</t>
  </si>
  <si>
    <t>161250</t>
  </si>
  <si>
    <t>*Việt Nhật K67C, *Việt Nhật K67C</t>
  </si>
  <si>
    <t>84</t>
  </si>
  <si>
    <t xml:space="preserve"> Chiều T3: Tiết 1-2 , Địa điểm: D9-501, Tuần: 2-9,11-19
</t>
  </si>
  <si>
    <t>1,321,322,2-9,11-19,D9-501</t>
  </si>
  <si>
    <t>Mở(*Việt Nhật K67C)</t>
  </si>
  <si>
    <t>https://teams.microsoft.com/l/team/19%3A8I7A_rWeeMAHN2k_7vMLmih4Ub00xJRcS8Ht4gzdiKs1%40thread.tacv2/conversations?groupId=55018c5c-5514-41ea-8956-f5baea1933ac&amp;tenantId=06f1b89f-07e8-464f-b408-ec1b45703f31</t>
  </si>
  <si>
    <t>gd89f8a</t>
  </si>
  <si>
    <t>161263</t>
  </si>
  <si>
    <t>*Việt Nhật K67-6S, *Việt Nhật K67-6S</t>
  </si>
  <si>
    <t xml:space="preserve"> Sáng T2: Tiết 5-6 , Địa điểm: B1-204, Tuần: 2-9,11-19
 Chiều T2: Tiết 1-2 , Địa điểm: B1-204, Tuần: 2-9,11-19
</t>
  </si>
  <si>
    <t>2,221,222,2-9,11-19,B1-204;1,215,216,2-9,11-19,B1-204</t>
  </si>
  <si>
    <t>tung.buitrong@hust.edu.vn</t>
  </si>
  <si>
    <t>0984383051</t>
  </si>
  <si>
    <t>Mở(*Việt Nhật K67-6S)</t>
  </si>
  <si>
    <t>161273</t>
  </si>
  <si>
    <t>*Việt Nhật K67-5(BT)S, *Việt Nhật K67-5(BT)S</t>
  </si>
  <si>
    <t xml:space="preserve"> Sáng T2: Tiết 5-6 , Địa điểm: B1-208, Tuần: 11-19
 Chiều T2: Tiết 1-2 , Địa điểm: B1-208, Tuần: 11-19
</t>
  </si>
  <si>
    <t>2,221,222,11-19,B1-208;1,215,216,11-19,B1-208</t>
  </si>
  <si>
    <t>Mở(*Việt Nhật K67-5(BT)S)</t>
  </si>
  <si>
    <t>nhi650t</t>
  </si>
  <si>
    <t>161256</t>
  </si>
  <si>
    <t>*Việt Nhật K67 -2C, *Việt Nhật K67 -2C</t>
  </si>
  <si>
    <t>122</t>
  </si>
  <si>
    <t xml:space="preserve"> Chiều T6: Tiết 3-6 , Địa điểm: D9-401, Tuần: 2-9,11-19
</t>
  </si>
  <si>
    <t>1,623,626,2-9,11-19,D9-401</t>
  </si>
  <si>
    <t>Mở(*Việt Nhật K67 -2C)</t>
  </si>
  <si>
    <t>93gd84v</t>
  </si>
  <si>
    <t>161265</t>
  </si>
  <si>
    <t>*Việt Nhật K67-8S, *Việt Nhật K67-8S</t>
  </si>
  <si>
    <t xml:space="preserve"> Sáng T4: Tiết 5-6 , Địa điểm: B1-204, Tuần: 2-9,11-19
 Chiều T4: Tiết 1-2 , Địa điểm: B1-204, Tuần: 2-9,11-19
</t>
  </si>
  <si>
    <t>2,421,422,2-9,11-19,B1-204;1,415,416,2-9,11-19,B1-204</t>
  </si>
  <si>
    <t>ngoc.trannguyen@hust.edu.vn</t>
  </si>
  <si>
    <t>0905506966</t>
  </si>
  <si>
    <t>Mở(*Việt Nhật K67-8S)</t>
  </si>
  <si>
    <t>braq6em</t>
  </si>
  <si>
    <t>161254</t>
  </si>
  <si>
    <t>*Việt Nhật K67-2C, *Việt Nhật K67-2C</t>
  </si>
  <si>
    <t xml:space="preserve"> Chiều T5: Tiết 3-6 , Địa điểm: D9-501, Tuần: 2-9,11-19
</t>
  </si>
  <si>
    <t>1,523,526,2-9,11-19,D9-501</t>
  </si>
  <si>
    <t>Bùi Đức Phan Hoàng</t>
  </si>
  <si>
    <t>Mở(*Việt Nhật K67-2C)</t>
  </si>
  <si>
    <t>161267</t>
  </si>
  <si>
    <t xml:space="preserve">*Việt Nhật K67-1C, </t>
  </si>
  <si>
    <t xml:space="preserve"> Chiều T4: Tiết 1-2 , Địa điểm: D9-401, Tuần: 2-9,11-19
</t>
  </si>
  <si>
    <t>1,421,422,2-9,11-19,D9-401</t>
  </si>
  <si>
    <t>Teamcode: r8de4ay</t>
  </si>
  <si>
    <t>161281</t>
  </si>
  <si>
    <t>Kiyoshi Yorifuji</t>
  </si>
  <si>
    <t>*Việt Nhật K67-3S, *Việt Nhật K67-3S</t>
  </si>
  <si>
    <t xml:space="preserve"> Sáng T5: Tiết 5-6 , Địa điểm: B1-203, Tuần: 2-9,11-19
 Chiều T5: Tiết 1-2 , Địa điểm: B1-203, Tuần: 2-9,11-19
</t>
  </si>
  <si>
    <t>2,521,522,2-9,11-19,B1-202;1,515,516,2-9,11-19,B1-202</t>
  </si>
  <si>
    <t>B1-203, B1-203</t>
  </si>
  <si>
    <t>kiyoshi.yorifuji@sun-asterisk.com</t>
  </si>
  <si>
    <t>Nguyễn Phi Lê, Natsumi Matsugahira, Lê Quang Duy</t>
  </si>
  <si>
    <t>Mở(*Việt Nhật K67-3S)</t>
  </si>
  <si>
    <t>Hình thức khác</t>
  </si>
  <si>
    <t>161253</t>
  </si>
  <si>
    <t xml:space="preserve"> Chiều T6: Tiết 3-6 , Địa điểm: D9-501, Tuần: 2-9,11-19
</t>
  </si>
  <si>
    <t>1,623,626,2-9,11-19,D9-501</t>
  </si>
  <si>
    <t>1pm56lt</t>
  </si>
  <si>
    <t>161266</t>
  </si>
  <si>
    <t>*Việt Nhật K67-9S, *Việt Nhật K67-9S</t>
  </si>
  <si>
    <t xml:space="preserve"> Sáng T3: Tiết 1-4 , Địa điểm: B1-204, Tuần: 2-9,11-19
</t>
  </si>
  <si>
    <t>1,311,314,2-9,11-19,B1-204</t>
  </si>
  <si>
    <t>Mở(*Việt Nhật K67-9S)</t>
  </si>
  <si>
    <t>rmlhsc9</t>
  </si>
  <si>
    <t>161280</t>
  </si>
  <si>
    <t xml:space="preserve"> Chiều T5: Tiết 3-6 , Địa điểm: B1-203, Tuần: 2-9,11-19
</t>
  </si>
  <si>
    <t>1,523,526,2-9,11-19,B1-202</t>
  </si>
  <si>
    <t>Thuyết trình lấy điểm cuối kỳ</t>
  </si>
  <si>
    <t>161274</t>
  </si>
  <si>
    <t>*Việt Nhật K67-6(BT)S, *Việt Nhật K67-6(BT)S</t>
  </si>
  <si>
    <t xml:space="preserve"> Sáng T5: Tiết 1-4 , Địa điểm: B1-202, Tuần: 11-19
</t>
  </si>
  <si>
    <t>1,511,514,11-19,B1-202</t>
  </si>
  <si>
    <t>Mở(*Việt Nhật K67-6(BT)S)</t>
  </si>
  <si>
    <t>161279</t>
  </si>
  <si>
    <t>*Việt Nhật K67-1S, *Việt Nhật K67-1S</t>
  </si>
  <si>
    <t xml:space="preserve"> Sáng T3: Tiết 5-6 , Địa điểm: B1-203, Tuần: 2-9,11-19
 Chiều T3: Tiết 1-2 , Địa điểm: B1-203, Tuần: 2-9,11-19
</t>
  </si>
  <si>
    <t>2,321,322,2-9,11-19,B1-202;1,315,316,2-9,11-19,B1-202</t>
  </si>
  <si>
    <t>Mở(*Việt Nhật K67-1S)</t>
  </si>
  <si>
    <t>161264</t>
  </si>
  <si>
    <t>*Việt Nhật K67-7S, *Việt Nhật K67-7S</t>
  </si>
  <si>
    <t xml:space="preserve"> Sáng T2: Tiết 5-6 , Địa điểm: B1-206, Tuần: 2-9,11-19
 Chiều T2: Tiết 1-2 , Địa điểm: B1-206, Tuần: 2-9,11-19
</t>
  </si>
  <si>
    <t>2,221,222,2-9,11-19,B1-206;1,215,216,2-9,11-19,B1-206</t>
  </si>
  <si>
    <t>B1-206, B1-206</t>
  </si>
  <si>
    <t>Mở(*Việt Nhật K67-7S)</t>
  </si>
  <si>
    <t>https://teams.microsoft.com/l/channel/19%3AtjZQn_EibQMrW51K4G2lvHtiP4e3ps_tBaQfgX7qWq81%40thread.tacv2/General?groupId=a23a6c48-8518-47fa-8eec-cdb80c6dec8e&amp;tenantId=06f1b89f-07e8-464f-b408-ec1b45703f31</t>
  </si>
  <si>
    <t>zd3ivs4</t>
  </si>
  <si>
    <t>161252</t>
  </si>
  <si>
    <t xml:space="preserve"> Chiều T4: Tiết 4-6 , Địa điểm: D9-501, Tuần: 2-9,11-19
</t>
  </si>
  <si>
    <t>1,424,426,2-9,11-19,D9-501</t>
  </si>
  <si>
    <t>161261</t>
  </si>
  <si>
    <t>Đặng Tuấn Linh (0.5) - Trần Nguyên Ngọc (0.5)</t>
  </si>
  <si>
    <t>*Việt Nhật K67-4S, *Việt Nhật K67-4S</t>
  </si>
  <si>
    <t xml:space="preserve"> Sáng T3: Tiết 5-6 , Địa điểm: B1-204, Tuần: 2-9,11-19
 Chiều T3: Tiết 1-2 , Địa điểm: B1-204, Tuần: 2-9,11-19
</t>
  </si>
  <si>
    <t>2,321,322,2-9,11-19,B1-204;1,315,316,2-9,11-19,B1-204</t>
  </si>
  <si>
    <t>linh.dangtuan@hust.edu.vnngoc.trannguyen@hust.edu.vn</t>
  </si>
  <si>
    <t>09325388150905506966</t>
  </si>
  <si>
    <t>Mở(*Việt Nhật K67-4S)</t>
  </si>
  <si>
    <t>dwxwht5</t>
  </si>
  <si>
    <t>161271</t>
  </si>
  <si>
    <t xml:space="preserve">*Việt Nhật K67-2C, </t>
  </si>
  <si>
    <t>174</t>
  </si>
  <si>
    <t xml:space="preserve"> Chiều T6: Tiết 1-2 , Địa điểm: D9-401, Tuần: 2-9,11-19
</t>
  </si>
  <si>
    <t>1,621,622,2-9,11-19,D9-401</t>
  </si>
  <si>
    <t>Teamcode: ki4wpri</t>
  </si>
  <si>
    <t>161269</t>
  </si>
  <si>
    <t>*Việt Nhật K67-2(BT)S, *Việt Nhật K67-2(BT)S</t>
  </si>
  <si>
    <t xml:space="preserve"> Sáng T4: Tiết 1-4 , Địa điểm: B1-209, Tuần: 11-19
</t>
  </si>
  <si>
    <t>1,411,414,11-19,B1-203</t>
  </si>
  <si>
    <t>Mở(*Việt Nhật K67-2(BT)S)</t>
  </si>
  <si>
    <t>161260</t>
  </si>
  <si>
    <t>*Việt Nhật K67-3C, *Việt Nhật K67-3C</t>
  </si>
  <si>
    <t xml:space="preserve"> Chiều T2: Tiết 3-6 , Địa điểm: B1-206, Tuần: 2-9,11-19
</t>
  </si>
  <si>
    <t>1,223,226,2-9,11-19,B1-206</t>
  </si>
  <si>
    <t>Mở(*Việt Nhật K67-3C)</t>
  </si>
  <si>
    <t>irkgo2e2</t>
  </si>
  <si>
    <t>161285</t>
  </si>
  <si>
    <t>Kimura Ryo</t>
  </si>
  <si>
    <t>*Việt Nhật K67-7C, *Việt Nhật K67-7C</t>
  </si>
  <si>
    <t xml:space="preserve"> Chiều T3: Tiết 3-6 , Địa điểm: B1-204, Tuần: 2-9,11-19
</t>
  </si>
  <si>
    <t>1,323,326,2-9,11-19,B1-204</t>
  </si>
  <si>
    <t>kimura.ryo@soict.hust.edu.vn</t>
  </si>
  <si>
    <t>Mở(*Việt Nhật K67-7C)</t>
  </si>
  <si>
    <t>161296</t>
  </si>
  <si>
    <t>Nguyễn Thị Thanh Nhàn</t>
  </si>
  <si>
    <t xml:space="preserve"> Sáng T3: Tiết 5-6 , Địa điểm: D9-404, Tuần: 2-9,11-19
 Sáng T5: Tiết 5-6 , Địa điểm: D9-404, Tuần: 2-9,11-19
</t>
  </si>
  <si>
    <t>2,515,516,2-9,11-19,D9-404;1,315,316,2-9,11-19,D9-404</t>
  </si>
  <si>
    <t>invited.lecturer24.soict@hust.edu.vn</t>
  </si>
  <si>
    <t>161284</t>
  </si>
  <si>
    <t>*Việt Nhật K67-6C, *Việt Nhật K67-6C</t>
  </si>
  <si>
    <t xml:space="preserve"> Chiều T4: Tiết 3-6 , Địa điểm: B1-203, Tuần: 2-9,11-19
</t>
  </si>
  <si>
    <t>1,423,426,2-9,11-19,B1-202</t>
  </si>
  <si>
    <t>Mở(*Việt Nhật K67-6C)</t>
  </si>
  <si>
    <t>161283</t>
  </si>
  <si>
    <t>*Việt Nhật K67-5C, *Việt Nhật K67-5C</t>
  </si>
  <si>
    <t xml:space="preserve"> Chiều T3: Tiết 3-6 , Địa điểm: B1-203, Tuần: 2-9,11-19
</t>
  </si>
  <si>
    <t>1,323,326,2-9,11-19,B1-202</t>
  </si>
  <si>
    <t>Mở(*Việt Nhật K67-5C)</t>
  </si>
  <si>
    <t>161287</t>
  </si>
  <si>
    <t xml:space="preserve"> Sáng T6: Tiết 5-6 , Địa điểm: B1-203, Tuần: 2-9,11-19
 Chiều T6: Tiết 1-2 , Địa điểm: B1-203, Tuần: 2-9,11-19
</t>
  </si>
  <si>
    <t>2,621,622,2-9,11-19,B1-203;1,615,616,2-9,11-19,B1-203</t>
  </si>
  <si>
    <t>161294</t>
  </si>
  <si>
    <t>Phạm Quỳnh Liên</t>
  </si>
  <si>
    <t xml:space="preserve"> Sáng T3: Tiết 5-6 , Địa điểm: D9-402, Tuần: 2-9,11-19
 Sáng T5: Tiết 5-6 , Địa điểm: D9-402, Tuần: 2-9,11-19
</t>
  </si>
  <si>
    <t>2,515,516,2-9,11-19,D9-402;1,315,316,2-9,11-19,D9-402</t>
  </si>
  <si>
    <t>invited.lecturer26.soict@hust.edu.vn</t>
  </si>
  <si>
    <t>161291</t>
  </si>
  <si>
    <t xml:space="preserve"> Sáng T3: Tiết 3-4 , Địa điểm: C7-114, Tuần: 2-9,11-19
 Sáng T5: Tiết 3-4 , Địa điểm: C7-114, Tuần: 2-9,11-19
</t>
  </si>
  <si>
    <t>2,513,514,2-9,11-19,C7-114;1,313,314,2-9,11-19,C7-114</t>
  </si>
  <si>
    <t>161257</t>
  </si>
  <si>
    <t>*Việt Nhật K67 -3C, *Việt Nhật K67 -3C</t>
  </si>
  <si>
    <t xml:space="preserve"> Chiều T2: Tiết 3-6 , Địa điểm: D9-401, Tuần: 2-9,11-19
</t>
  </si>
  <si>
    <t>1,223,226,2-9,11-19,D9-401</t>
  </si>
  <si>
    <t>Mở(*Việt Nhật K67 -3C)</t>
  </si>
  <si>
    <t>4rafev6</t>
  </si>
  <si>
    <t>161292</t>
  </si>
  <si>
    <t xml:space="preserve"> Sáng T3: Tiết 3-4 , Địa điểm: C7-217, Tuần: 2-9,11-19
 Sáng T5: Tiết 3-4 , Địa điểm: C7-217, Tuần: 2-9,11-19
</t>
  </si>
  <si>
    <t>2,513,514,2-9,11-19,C7-217;1,313,314,2-9,11-19,C7-217</t>
  </si>
  <si>
    <t>161290</t>
  </si>
  <si>
    <t xml:space="preserve"> Sáng T3: Tiết 3-4 , Địa điểm: D9-404, Tuần: 2-9,11-19
 Sáng T5: Tiết 3-4 , Địa điểm: D9-404, Tuần: 2-9,11-19
</t>
  </si>
  <si>
    <t>2,513,514,2-9,11-19,D9-404;1,313,314,2-9,11-19,D9-404</t>
  </si>
  <si>
    <t>161286</t>
  </si>
  <si>
    <t>*Việt Nhật K67-8C, *Việt Nhật K67-8C</t>
  </si>
  <si>
    <t xml:space="preserve"> Chiều T6: Tiết 3-6 , Địa điểm: B1-203, Tuần: 2-9,11-19
</t>
  </si>
  <si>
    <t>1,623,626,2-9,11-19,B1-203</t>
  </si>
  <si>
    <t>Mở(*Việt Nhật K67-8C)</t>
  </si>
  <si>
    <t>161293</t>
  </si>
  <si>
    <t xml:space="preserve"> Sáng T3: Tiết 3-4 , Địa điểm: C7-219, Tuần: 2-9,11-19
 Sáng T5: Tiết 3-4 , Địa điểm: C7-219, Tuần: 2-9,11-19
</t>
  </si>
  <si>
    <t>2,513,514,2-9,11-19,C7-219;1,313,314,2-9,11-19,C7-219</t>
  </si>
  <si>
    <t>161258</t>
  </si>
  <si>
    <t xml:space="preserve"> Sáng T2: Tiết 1-4 , Địa điểm: B1-204, Tuần: 2-9,11-19
</t>
  </si>
  <si>
    <t>1,211,214,2-9,11-19,B1-204</t>
  </si>
  <si>
    <t>161289</t>
  </si>
  <si>
    <t>Nguyễn Linh Chi</t>
  </si>
  <si>
    <t>*Việt Nhật K67-2S, *Việt Nhật K67-2S</t>
  </si>
  <si>
    <t xml:space="preserve"> Sáng T3: Tiết 3-4 , Địa điểm: D9-403, Tuần: 2-9,11-19
 Sáng T5: Tiết 3-4 , Địa điểm: D9-403, Tuần: 2-9,11-19
</t>
  </si>
  <si>
    <t>2,513,514,2-9,11-19,D9-403;1,313,314,2-9,11-19,D9-403</t>
  </si>
  <si>
    <t>invited.lecturer18.soict@hust.edu.vn</t>
  </si>
  <si>
    <t>Mở(*Việt Nhật K67-2S)</t>
  </si>
  <si>
    <t>161282</t>
  </si>
  <si>
    <t xml:space="preserve"> Sáng T4: Tiết 5-6 , Địa điểm: B1-203, Tuần: 2-9,11-19
 Chiều T4: Tiết 1-2 , Địa điểm: B1-203, Tuần: 2-9,11-19
</t>
  </si>
  <si>
    <t>2,421,422,2-9,11-19,B1-202;1,415,416,2-9,11-19,B1-202</t>
  </si>
  <si>
    <t>161259</t>
  </si>
  <si>
    <t xml:space="preserve"> Chiều T2: Tiết 3-6 , Địa điểm: B1-204, Tuần: 2-9,11-19
</t>
  </si>
  <si>
    <t>1,223,226,2-9,11-19,B1-204</t>
  </si>
  <si>
    <t>8djy389</t>
  </si>
  <si>
    <t>161288</t>
  </si>
  <si>
    <t xml:space="preserve"> Sáng T3: Tiết 3-4 , Địa điểm: D9-402, Tuần: 2-9,11-19
 Sáng T5: Tiết 3-4 , Địa điểm: D9-402, Tuần: 2-9,11-19
</t>
  </si>
  <si>
    <t>2,513,514,2-9,11-19,D9-402;1,313,314,2-9,11-19,D9-402</t>
  </si>
  <si>
    <t>161295</t>
  </si>
  <si>
    <t xml:space="preserve"> Sáng T3: Tiết 5-6 , Địa điểm: D9-403, Tuần: 2-9,11-19
 Sáng T5: Tiết 5-6 , Địa điểm: D9-403, Tuần: 2-9,11-19
</t>
  </si>
  <si>
    <t>2,515,516,2-9,11-19,D9-403;1,315,316,2-9,11-19,D9-403</t>
  </si>
  <si>
    <t>161304</t>
  </si>
  <si>
    <t>*ICT K67S, *ICT K67S</t>
  </si>
  <si>
    <t>102</t>
  </si>
  <si>
    <t xml:space="preserve"> Sáng T4: Tiết 1-3 , Địa điểm: D9-501, Tuần: 2-9,11-19
</t>
  </si>
  <si>
    <t>1,411,413,2-9,11-19,D9-501</t>
  </si>
  <si>
    <t>van.tongvan@hust.edu.vn</t>
  </si>
  <si>
    <t>0964262425</t>
  </si>
  <si>
    <t>Mở(*ICT K67S)</t>
  </si>
  <si>
    <t>Team code: tnimxxv</t>
  </si>
  <si>
    <t>161302</t>
  </si>
  <si>
    <t xml:space="preserve"> Sáng T4: Tiết 5-6 , Địa điểm: D9-405, Tuần: 2-9,11-19
</t>
  </si>
  <si>
    <t>1,415,416,2-9,11-19,D9-405</t>
  </si>
  <si>
    <t>161307</t>
  </si>
  <si>
    <t>*ICT K67-1S, *ICT K67-1S</t>
  </si>
  <si>
    <t xml:space="preserve"> Sáng T6: Tiết 1-4 , Địa điểm: B1-209, Tuần: 2-9,11-19
</t>
  </si>
  <si>
    <t>1,611,614,2-9,11-19,B1-203</t>
  </si>
  <si>
    <t>Mở(*ICT K67-1S)</t>
  </si>
  <si>
    <t>https://teams.microsoft.com/l/team/19%3AzoYU2h9Hu3yavVCU_2w-2UDOQDTtWqdx9wUXfLiJ8yA1%40thread.tacv2/conversations?groupId=af77c8ad-c1b5-4f5a-9d16-6ef3f608aaab&amp;tenantId=06f1b89f-07e8-464f-b408-ec1b45703f31</t>
  </si>
  <si>
    <t>vlq0g0d (TEAMS)</t>
  </si>
  <si>
    <t>161310</t>
  </si>
  <si>
    <t>86</t>
  </si>
  <si>
    <t xml:space="preserve"> Sáng T5: Tiết 1-4 , Địa điểm: D9-501, Tuần: 2-9,11-19
</t>
  </si>
  <si>
    <t>1,511,514,2-9,11-19,D9-501</t>
  </si>
  <si>
    <t>Vũ Trịnh Kim</t>
  </si>
  <si>
    <t>161314</t>
  </si>
  <si>
    <t>*Việt Nhật K68-2S, *Việt Nhật K68-2S</t>
  </si>
  <si>
    <t xml:space="preserve"> Sáng T3: Tiết 1-4 , Địa điểm: D9-401, Tuần: 2-9,11-19
</t>
  </si>
  <si>
    <t>1,311,314,2-9,11-19,D9-401</t>
  </si>
  <si>
    <t>Mở(*Việt Nhật K68-2S)</t>
  </si>
  <si>
    <t>161306</t>
  </si>
  <si>
    <t xml:space="preserve"> Sáng T4: Tiết 4-6 , Địa điểm: D9-502, Tuần: 2-9,11-19
</t>
  </si>
  <si>
    <t>1,414,416,2-9,11-19,D9-502</t>
  </si>
  <si>
    <t>Phùng Hữu Phú</t>
  </si>
  <si>
    <t>1n1yv9l</t>
  </si>
  <si>
    <t>161299</t>
  </si>
  <si>
    <t>Nguyễn Thị Điệp</t>
  </si>
  <si>
    <t>*Việt Nhật K67-12S, *Việt Nhật K67-12S</t>
  </si>
  <si>
    <t xml:space="preserve"> Sáng T3: Tiết 5-6 , Địa điểm: C7-219, Tuần: 2-9,11-19
 Sáng T5: Tiết 5-6 , Địa điểm: C7-219, Tuần: 2-9,11-19
</t>
  </si>
  <si>
    <t>2,515,516,2-9,11-19,C7-219;1,315,316,2-9,11-19,C7-219</t>
  </si>
  <si>
    <t>nguyen.thi.diep@sun-asterisk.com</t>
  </si>
  <si>
    <t>Mở(*Việt Nhật K67-12S)</t>
  </si>
  <si>
    <t>161315</t>
  </si>
  <si>
    <t>*Việt Nhật K68-1C, *Việt Nhật K68-1C</t>
  </si>
  <si>
    <t xml:space="preserve"> Chiều T5: Tiết 3-6 , Địa điểm: D9-306, Tuần: 2-9,11-19
</t>
  </si>
  <si>
    <t>1,523,526,2-9,11-19,D9-306</t>
  </si>
  <si>
    <t>Mở(*Việt Nhật K68-1C)</t>
  </si>
  <si>
    <t>161298</t>
  </si>
  <si>
    <t>Nguyễn Văn Hiển</t>
  </si>
  <si>
    <t>*Việt Nhật K67-11S, *Việt Nhật K67-11S</t>
  </si>
  <si>
    <t xml:space="preserve"> Sáng T3: Tiết 5-6 , Địa điểm: C7-217, Tuần: 2-9,11-19
 Sáng T5: Tiết 5-6 , Địa điểm: C7-217, Tuần: 2-9,11-19
</t>
  </si>
  <si>
    <t>2,515,516,2-9,11-19,C7-217;1,315,316,2-9,11-19,C7-217</t>
  </si>
  <si>
    <t>nguyen.van.hien-b@sun-asterisk.com</t>
  </si>
  <si>
    <t>Mở(*Việt Nhật K67-11S)</t>
  </si>
  <si>
    <t>161311</t>
  </si>
  <si>
    <t>*Việt Nhật K68-1S, (Blend)-*Việt Nhật K68-1S</t>
  </si>
  <si>
    <t xml:space="preserve"> Sáng T4: Tiết 1-3 , Địa điểm: D9-401, Tuần: 2,4,6,8,11,13,15,17,19
</t>
  </si>
  <si>
    <t>1,411,413,2-9,11-19,D9-401</t>
  </si>
  <si>
    <t>Mở((Blend)-*Việt Nhật K68-1S)</t>
  </si>
  <si>
    <t>sll15bb</t>
  </si>
  <si>
    <t>161303</t>
  </si>
  <si>
    <t xml:space="preserve"> Sáng T2: Tiết 1-4 , Địa điểm: D9-405, Tuần: 2-9,11-19
</t>
  </si>
  <si>
    <t>1,211,214,2-9,11-19,D9-405</t>
  </si>
  <si>
    <t>trung.trinhthanh@hust.edu.vn</t>
  </si>
  <si>
    <t>0773321666</t>
  </si>
  <si>
    <t>88ooqxq</t>
  </si>
  <si>
    <t>161297</t>
  </si>
  <si>
    <t>Nguyễn Hồng Diễm</t>
  </si>
  <si>
    <t>*Việt Nhật K67-10S, *Việt Nhật K67-10S</t>
  </si>
  <si>
    <t xml:space="preserve"> Sáng T3: Tiết 5-6 , Địa điểm: C7-114, Tuần: 2-9,11-19
 Sáng T5: Tiết 5-6 , Địa điểm: C7-114, Tuần: 2-9,11-19
</t>
  </si>
  <si>
    <t>2,515,516,2-9,11-19,C7-114;1,315,316,2-9,11-19,C7-114</t>
  </si>
  <si>
    <t>diemnh@soict.hust.edu.vn</t>
  </si>
  <si>
    <t>Mở(*Việt Nhật K67-10S)</t>
  </si>
  <si>
    <t>161305</t>
  </si>
  <si>
    <t>135</t>
  </si>
  <si>
    <t xml:space="preserve"> Sáng T2: Tiết 5-6 , Địa điểm: D3-5-201, Tuần: 2-9,11-19
</t>
  </si>
  <si>
    <t>1,215,216,2-9,11-19,D3-5-201</t>
  </si>
  <si>
    <t>hai.nguyennhat@hust.edu.vn</t>
  </si>
  <si>
    <t>0914727982</t>
  </si>
  <si>
    <t>Online Team - join bằng mã truy cập</t>
  </si>
  <si>
    <t>bfnrd7z</t>
  </si>
  <si>
    <t>161300</t>
  </si>
  <si>
    <t>*Việt Nhật K67-13S, *Việt Nhật K67-13S</t>
  </si>
  <si>
    <t xml:space="preserve"> Sáng T3: Tiết 5-6 , Địa điểm: D9-405, Tuần: 2-9,11-19
 Sáng T5: Tiết 5-6 , Địa điểm: D9-405, Tuần: 2-9,11-19
</t>
  </si>
  <si>
    <t>2,515,516,2-9,11-19,D9-405;1,315,316,2-9,11-19,D9-405</t>
  </si>
  <si>
    <t>Mở(*Việt Nhật K67-13S)</t>
  </si>
  <si>
    <t>161308</t>
  </si>
  <si>
    <t>*ICT K67-2S, *ICT K67-2S</t>
  </si>
  <si>
    <t xml:space="preserve"> Sáng T6: Tiết 5-6 , Địa điểm: B1-204, Tuần: 2-9,11-19
 Chiều T6: Tiết 1-2 , Địa điểm: B1-204, Tuần: 2-9,11-19
</t>
  </si>
  <si>
    <t>2,621,622,2-9,11-19,B1-204;1,615,616,2-9,11-19,B1-204</t>
  </si>
  <si>
    <t>Mở(*ICT K67-2S)</t>
  </si>
  <si>
    <t>djcg4b5</t>
  </si>
  <si>
    <t>161301</t>
  </si>
  <si>
    <t xml:space="preserve"> Sáng T2: Tiết 2-4 , Địa điểm: D9-502, Tuần: 2-9,11-19
</t>
  </si>
  <si>
    <t>1,212,214,2-9,11-19,D9-502</t>
  </si>
  <si>
    <t>https://teams.microsoft.com/l/team/19%3AJTqdXFJ7Z3PEUsLu2vvcV6JoDk2z0wL7Xy2RS49neLE1%40thread.tacv2/conversations?groupId=82cee6ec-df39-4cb7-a1e2-23d082ffaba3&amp;tenantId=06f1b89f-07e8-464f-b408-ec1b45703f31</t>
  </si>
  <si>
    <t>sv78ui7</t>
  </si>
  <si>
    <t>161309</t>
  </si>
  <si>
    <t>*ICT K67-3C, *ICT K67-3C</t>
  </si>
  <si>
    <t xml:space="preserve"> Chiều T6: Tiết 3-6 , Địa điểm: B1-204, Tuần: 2-9,11-19
</t>
  </si>
  <si>
    <t>1,623,626,2-9,11-19,B1-204</t>
  </si>
  <si>
    <t>Mở(*ICT K67-3C)</t>
  </si>
  <si>
    <t>161318</t>
  </si>
  <si>
    <t>*Việt Nhật K68 -1S, *Việt Nhật K68 -1S</t>
  </si>
  <si>
    <t xml:space="preserve"> Sáng T4: Tiết 4-6 , Địa điểm: D9-401, Tuần: 2-9,11-19
</t>
  </si>
  <si>
    <t>1,414,416,2-9,11-19,D9-401</t>
  </si>
  <si>
    <t>Mở(*Việt Nhật K68 -1S)</t>
  </si>
  <si>
    <t>161317</t>
  </si>
  <si>
    <t>*Việt Nhật K68 + Việt Pháp K68-3S, *Việt Nhật K68 + Việt Pháp K68-3S</t>
  </si>
  <si>
    <t xml:space="preserve"> Sáng T6: Tiết 1-4 , Địa điểm: D9-401, Tuần: 2-9,11-19
</t>
  </si>
  <si>
    <t>1,611,614,2-9,11-19,D9-401</t>
  </si>
  <si>
    <t>Mở(*Việt Nhật K68 + Việt Pháp K68-3S)</t>
  </si>
  <si>
    <t>b4pcmq3</t>
  </si>
  <si>
    <t>161316</t>
  </si>
  <si>
    <t>*Việt Nhật K68-2C, *Việt Nhật K68-2C</t>
  </si>
  <si>
    <t xml:space="preserve"> Chiều T4: Tiết 3-6 , Địa điểm: D7-201, Tuần: 2-9,11-19
</t>
  </si>
  <si>
    <t>1,423,426,2-9,11-19,D9-305</t>
  </si>
  <si>
    <t>Mở(*Việt Nhật K68-2C)</t>
  </si>
  <si>
    <t>2b4kdqo</t>
  </si>
  <si>
    <t>161312</t>
  </si>
  <si>
    <t>*Việt Nhật K68-2S, (Blend)-*Việt Nhật K68-2S</t>
  </si>
  <si>
    <t xml:space="preserve"> Sáng T2: Tiết 1-3 , Địa điểm: D9-401, Tuần: 2,4,6,8,11,13,15,17,19
</t>
  </si>
  <si>
    <t>1,211,213,2-9,11-19,D9-401</t>
  </si>
  <si>
    <t>Mở((Blend)-*Việt Nhật K68-2S)</t>
  </si>
  <si>
    <t>https://lms.hust.edu.vn/course/view.php?id=3554</t>
  </si>
  <si>
    <t>ugbs3kw</t>
  </si>
  <si>
    <t>161313</t>
  </si>
  <si>
    <t>*Việt Nhật K68-1S, *Việt Nhật K68-1S</t>
  </si>
  <si>
    <t xml:space="preserve"> Sáng T5: Tiết 1-4 , Địa điểm: D9-401, Tuần: 2-9,11-19
</t>
  </si>
  <si>
    <t>1,511,514,2-9,11-19,D9-401</t>
  </si>
  <si>
    <t>Mở(*Việt Nhật K68-1S)</t>
  </si>
  <si>
    <t>u9uwm70</t>
  </si>
  <si>
    <t>161319</t>
  </si>
  <si>
    <t>*Việt Nhật K68 -2S, *Việt Nhật K68 -2S</t>
  </si>
  <si>
    <t xml:space="preserve"> Sáng T2: Tiết 1-3 , Địa điểm: D9-501, Tuần: 2-9,11-19
</t>
  </si>
  <si>
    <t>1,214,216,2-9,11-19,D9-401</t>
  </si>
  <si>
    <t>Mở(*Việt Nhật K68 -2S)</t>
  </si>
  <si>
    <t>161349</t>
  </si>
  <si>
    <t>Dương Thị Thuỳ Mai</t>
  </si>
  <si>
    <t>*ICT K68-2C, *ICT K68-2C</t>
  </si>
  <si>
    <t xml:space="preserve"> Chiều T4: Tiết 3-6 , Địa điểm: D9-402, Tuần: 2-9,11-19
</t>
  </si>
  <si>
    <t>1,423,426,2-9,11-19,D9-402</t>
  </si>
  <si>
    <t>mai.duongthithuy@hust.edu.vn</t>
  </si>
  <si>
    <t>0913058805</t>
  </si>
  <si>
    <t>Mở(*ICT K68-2C)</t>
  </si>
  <si>
    <t>161350</t>
  </si>
  <si>
    <t>*ICT K68C, *ICT K68C</t>
  </si>
  <si>
    <t xml:space="preserve"> Chiều T6: Tiết 4-6 , Địa điểm: D9-306, Tuần: 2-9,11-19
</t>
  </si>
  <si>
    <t>1,624,626,2-9,11-19,D9-306</t>
  </si>
  <si>
    <t>Mở(*ICT K68C)</t>
  </si>
  <si>
    <t>1kb2cp9</t>
  </si>
  <si>
    <t>161353</t>
  </si>
  <si>
    <t>*ICT K68-2S, *ICT K68-2S</t>
  </si>
  <si>
    <t xml:space="preserve"> Sáng T3: Tiết 1-4 , Địa điểm: B1-208, Tuần: 2-9,11-19
</t>
  </si>
  <si>
    <t>1,311,314,2-9,11-19,B1-208</t>
  </si>
  <si>
    <t>Mở(*ICT K68-2S)</t>
  </si>
  <si>
    <t>xzybyqv</t>
  </si>
  <si>
    <t>161342</t>
  </si>
  <si>
    <t>*Việt Nhật K68-10S, *Việt Nhật K68-10S</t>
  </si>
  <si>
    <t xml:space="preserve"> Sáng T3: Tiết 5-6 , Địa điểm: D9-504, Tuần: 2-9,11-19
 Sáng T6: Tiết 5-6 , Địa điểm: C7-219, Tuần: 2-9,11-19
</t>
  </si>
  <si>
    <t>2,615,616,2-9,11-19,C7-219;1,315,316,2-9,11-19,D9-504</t>
  </si>
  <si>
    <t>Mở(*Việt Nhật K68-10S)</t>
  </si>
  <si>
    <t>161341</t>
  </si>
  <si>
    <t>*Việt Nhật K68-9S, *Việt Nhật K68-9S</t>
  </si>
  <si>
    <t xml:space="preserve"> Sáng T3: Tiết 5-6 , Địa điểm: D9-503, Tuần: 2-9,11-19
 Sáng T6: Tiết 5-6 , Địa điểm: C7-217, Tuần: 2-9,11-19
</t>
  </si>
  <si>
    <t>2,615,616,2-9,11-19,C7-217;1,315,316,2-9,11-19,D9-503</t>
  </si>
  <si>
    <t>Mở(*Việt Nhật K68-9S)</t>
  </si>
  <si>
    <t>161346</t>
  </si>
  <si>
    <t xml:space="preserve"> Chiều T3: Tiết 2-4 , Địa điểm: B1-402, Tuần: 2-9,11-19
</t>
  </si>
  <si>
    <t>1,322,324,2-9,11-19,D9-403</t>
  </si>
  <si>
    <t>161354</t>
  </si>
  <si>
    <t>*ICT K68-3C, *ICT K68-3C</t>
  </si>
  <si>
    <t xml:space="preserve"> Chiều T4: Tiết 3-6 , Địa điểm: B1-208, Tuần: 2-9,11-19
</t>
  </si>
  <si>
    <t>1,423,426,2-9,11-19,B1-208</t>
  </si>
  <si>
    <t>Mở(*ICT K68-3C)</t>
  </si>
  <si>
    <t>https://teams.microsoft.com/l/team/19%3AxiKn8-SNtJKAUdEu1AiPftVGBdmiuUccFIown797DO41%40thread.tacv2/conversations?groupId=1481cd78-a8b1-4818-ac7c-0fca8492e9d8&amp;tenantId=06f1b89f-07e8-464f-b408-ec1b45703f31</t>
  </si>
  <si>
    <t>o8uu8mt</t>
  </si>
  <si>
    <t>161348</t>
  </si>
  <si>
    <t>Phạm Hùng Vượng</t>
  </si>
  <si>
    <t>*ICT K68-1C, *ICT K68-1C</t>
  </si>
  <si>
    <t xml:space="preserve"> Chiều T2: Tiết 1-4 , Địa điểm: D9-402, Tuần: 2-9,11-19
</t>
  </si>
  <si>
    <t>1,221,224,2-9,11-19,D9-402</t>
  </si>
  <si>
    <t>vuong.phamhung@hust.edu.vn</t>
  </si>
  <si>
    <t>0936386293</t>
  </si>
  <si>
    <t>Mở(*ICT K68-1C)</t>
  </si>
  <si>
    <t>161347</t>
  </si>
  <si>
    <t xml:space="preserve"> Chiều T3: Tiết 2-4 , Địa điểm: D9-402, Tuần: 2-9,11-19
</t>
  </si>
  <si>
    <t>1,322,324,2-9,11-19,D9-402</t>
  </si>
  <si>
    <t>161355</t>
  </si>
  <si>
    <t xml:space="preserve"> Chiều T5: Tiết 4-6 , Địa điểm: D9-401, Tuần: 2-9,11-19
</t>
  </si>
  <si>
    <t>1,524,526,2-9,11-19,D9-401</t>
  </si>
  <si>
    <t>anh.buithimai@hust.edu.vnTuan.NguyenQuoc@hust.edu.vn</t>
  </si>
  <si>
    <t>09767077720397775933</t>
  </si>
  <si>
    <t>83eknwb</t>
  </si>
  <si>
    <t>161340</t>
  </si>
  <si>
    <t>Jingu Anna</t>
  </si>
  <si>
    <t>*Việt Nhật K68-8S, *Việt Nhật K68-8S</t>
  </si>
  <si>
    <t xml:space="preserve"> Sáng T3: Tiết 5-6 , Địa điểm: D9-502, Tuần: 2-9,11-19
 Sáng T6: Tiết 5-6 , Địa điểm: C7-114, Tuần: 2-9,11-19
</t>
  </si>
  <si>
    <t>2,615,616,2-9,11-19,C7-114;1,315,316,2-9,11-19,D9-502</t>
  </si>
  <si>
    <t>jingu.anna@sun-asterisk.com</t>
  </si>
  <si>
    <t>Mở(*Việt Nhật K68-8S)</t>
  </si>
  <si>
    <t>161352</t>
  </si>
  <si>
    <t>*ICT K68-1S, *ICT K68-1S</t>
  </si>
  <si>
    <t xml:space="preserve"> Sáng T4: Tiết 1-4 , Địa điểm: B1-208, Tuần: 2-9,11-19
</t>
  </si>
  <si>
    <t>1,411,414,2-9,11-19,B1-208</t>
  </si>
  <si>
    <t>Mở(*ICT K68-1S)</t>
  </si>
  <si>
    <t>8d4ws68</t>
  </si>
  <si>
    <t>161351</t>
  </si>
  <si>
    <t xml:space="preserve"> Chiều T3: Tiết 5-6 , Địa điểm: D9-401, Tuần: 2-9,11-19
</t>
  </si>
  <si>
    <t>1,325,326,2-9,11-19,D9-401</t>
  </si>
  <si>
    <t>fy1qzqa</t>
  </si>
  <si>
    <t>161358</t>
  </si>
  <si>
    <t>*Việt Nhật K69-1S, *Việt Nhật K69-1S</t>
  </si>
  <si>
    <t xml:space="preserve"> Sáng T2: Tiết 3-4 , Địa điểm: D9-402, Tuần: 2-9,11-19
 Sáng T4: Tiết 3-4 , Địa điểm: D9-402, Tuần: 2-9,11-19
 Sáng T5: Tiết 3-4 , Địa điểm: D9-406, Tuần: 2-9,11-19
</t>
  </si>
  <si>
    <t>3,513,514,2-9,11-19,D9-406;2,413,414,2-9,11-19,D9-402;1,213,214,2-9,11-19,D9-402</t>
  </si>
  <si>
    <t>Mở(*Việt Nhật K69-1S)</t>
  </si>
  <si>
    <t>161359</t>
  </si>
  <si>
    <t>*Việt Nhật K69-2S, *Việt Nhật K69-2S</t>
  </si>
  <si>
    <t xml:space="preserve"> Sáng T2: Tiết 3-4 , Địa điểm: C7-114, Tuần: 2-9,11-19
 Sáng T4: Tiết 3-4 , Địa điểm: C7-114, Tuần: 2-9,11-19
 Sáng T5: Tiết 3-4 , Địa điểm: D9-407, Tuần: 2-9,11-19
</t>
  </si>
  <si>
    <t>3,513,514,2-9,11-19,D9-407;2,413,414,2-9,11-19,C7-114;1,213,214,2-9,11-19,C7-114</t>
  </si>
  <si>
    <t>Mở(*Việt Nhật K69-2S)</t>
  </si>
  <si>
    <t>161356</t>
  </si>
  <si>
    <t>126</t>
  </si>
  <si>
    <t xml:space="preserve"> Chiều T5: Tiết 1-3 , Địa điểm: D9-401, Tuần: 2-9,11-19
</t>
  </si>
  <si>
    <t>1,521,523,2-9,11-19,D9-401</t>
  </si>
  <si>
    <t>161326</t>
  </si>
  <si>
    <t xml:space="preserve"> Chiều T4: Tiết 3-6 , Địa điểm: B1-204, Tuần: 2-9,11-19
</t>
  </si>
  <si>
    <t>1,423,426,2-9,11-19,B1-204</t>
  </si>
  <si>
    <t>161322</t>
  </si>
  <si>
    <t xml:space="preserve"> Chiều T6: Tiết 1-2 , Địa điểm: D9-501, Tuần: 2-9,11-19
</t>
  </si>
  <si>
    <t>1,621,622,2-9,11-19,D9-501</t>
  </si>
  <si>
    <t>fa9f7vk</t>
  </si>
  <si>
    <t>161710</t>
  </si>
  <si>
    <t>IT4831E</t>
  </si>
  <si>
    <t>Phòng chống tấn công mạng</t>
  </si>
  <si>
    <t>**CTTT-An toàn KG-K67S, **CTTT-An toàn KG-K67S</t>
  </si>
  <si>
    <t xml:space="preserve"> Sáng T5: Tiết 4-6 , Địa điểm: C7-234, Tuần: 2-9,11-19
</t>
  </si>
  <si>
    <t>1,514,516,2-9,11-19,C7-234</t>
  </si>
  <si>
    <t>Mở(**CTTT-An toàn KG-K67S)</t>
  </si>
  <si>
    <t>161330</t>
  </si>
  <si>
    <t>Lê Thị Giang</t>
  </si>
  <si>
    <t>*Việt Nhật K68-5S, *Việt Nhật K68-5S</t>
  </si>
  <si>
    <t xml:space="preserve"> Sáng T5: Tiết 5-6 , Địa điểm: B1-202, Tuần: 2-9,11-19
 Chiều T5: Tiết 1-2 , Địa điểm: B1-202, Tuần: 2-9,11-19
</t>
  </si>
  <si>
    <t>2,521,522,2-9,11-19,B1-203;1,515,516,2-9,11-19,B1-203</t>
  </si>
  <si>
    <t>le.thi.giang@sun-asterisk.com</t>
  </si>
  <si>
    <t>Mở(*Việt Nhật K68-5S)</t>
  </si>
  <si>
    <t>161338</t>
  </si>
  <si>
    <t>Ngô Lan Anh</t>
  </si>
  <si>
    <t>*Việt Nhật K68-6S, *Việt Nhật K68-6S</t>
  </si>
  <si>
    <t xml:space="preserve"> Sáng T3: Tiết 5-6 , Địa điểm: D9-406, Tuần: 2-9,11-19
 Sáng T6: Tiết 5-6 , Địa điểm: D9-406, Tuần: 2-9,11-19
</t>
  </si>
  <si>
    <t>2,615,616,2-9,11-19,D9-406;1,315,316,2-9,11-19,D9-406</t>
  </si>
  <si>
    <t>invited.lecturer30.soict@hust.edu.vn</t>
  </si>
  <si>
    <t>Mở(*Việt Nhật K68-6S)</t>
  </si>
  <si>
    <t>161339</t>
  </si>
  <si>
    <t>Nguyễn Thị Hương Ninh</t>
  </si>
  <si>
    <t xml:space="preserve"> Sáng T3: Tiết 5-6 , Địa điểm: D9-407, Tuần: 2-9,11-19
 Sáng T6: Tiết 5-6 , Địa điểm: D9-407, Tuần: 2-9,11-19
</t>
  </si>
  <si>
    <t>2,615,616,2-9,11-19,D9-407;1,315,316,2-9,11-19,D9-407</t>
  </si>
  <si>
    <t>invited.lecturer28.soict@hust.edu.vn</t>
  </si>
  <si>
    <t>161705</t>
  </si>
  <si>
    <t>**CTTT-Data Science &amp; AI-K67S, **CTTT-Data Science &amp; AI-K67S</t>
  </si>
  <si>
    <t xml:space="preserve"> Sáng T2: Tiết 5-6 , Địa điểm: D5-503, Tuần: 2-9,11-19
 Sáng T5: Tiết 2-3 , Địa điểm: D5-503, Tuần: 2-9,11-19
</t>
  </si>
  <si>
    <t>2,512,513,2-9,11-19,D9-105;1,215,216,2-9,11-19,D9-105</t>
  </si>
  <si>
    <t>D5-503, D5-503</t>
  </si>
  <si>
    <t>Mở(**CTTT-Data Science &amp; AI-K67S)</t>
  </si>
  <si>
    <t>a8rawne</t>
  </si>
  <si>
    <t>161321</t>
  </si>
  <si>
    <t xml:space="preserve"> Sáng T5: Tiết 5-6 , Địa điểm: D9-401, Tuần: 2-9,11-19
</t>
  </si>
  <si>
    <t>1,515,516,2-9,11-19,D9-401</t>
  </si>
  <si>
    <t>9pm81ea</t>
  </si>
  <si>
    <t>161702</t>
  </si>
  <si>
    <t>**CTTT-Data Science &amp; AI K67 + An toàn KG K68-K67,K68S, **CTTT-Data Science &amp; AI K67 + An toàn KG K68-K67,K68S</t>
  </si>
  <si>
    <t>82</t>
  </si>
  <si>
    <t xml:space="preserve"> Sáng T4: Tiết 4-6 , Địa điểm: D7-201, Tuần: 2-9,11-19
</t>
  </si>
  <si>
    <t>1,414,416,2-9,11-19,D7-201</t>
  </si>
  <si>
    <t>Nguyễn Xuân Thành</t>
  </si>
  <si>
    <t>Mở(**CTTT-Data Science &amp; AI K67 + An toàn KG K68-K67,K68S)</t>
  </si>
  <si>
    <t>dhdz3f6</t>
  </si>
  <si>
    <t>161704</t>
  </si>
  <si>
    <t>IT4063E</t>
  </si>
  <si>
    <t>Introduction to Business Analytics</t>
  </si>
  <si>
    <t xml:space="preserve"> Sáng T5: Tiết 4-6 , Địa điểm: D5-503, Tuần: 2-9,11-19
</t>
  </si>
  <si>
    <t>1,514,516,2-9,11-19,D9-105</t>
  </si>
  <si>
    <t>D5-503</t>
  </si>
  <si>
    <t>bkj274n</t>
  </si>
  <si>
    <t>161327</t>
  </si>
  <si>
    <t xml:space="preserve"> Chiều T4: Tiết 3-6 , Địa điểm: B1-202, Tuần: 2-9,11-19
</t>
  </si>
  <si>
    <t>1,423,426,2-9,11-19,B1-203</t>
  </si>
  <si>
    <t>161701</t>
  </si>
  <si>
    <t xml:space="preserve"> Sáng T4: Tiết 1-3 , Địa điểm: D7-201, Tuần: 2-9,11-19
</t>
  </si>
  <si>
    <t>1,411,413,2-9,11-19,D7-201</t>
  </si>
  <si>
    <t>Mai Việt Bảo</t>
  </si>
  <si>
    <t>314674t</t>
  </si>
  <si>
    <t>161333</t>
  </si>
  <si>
    <t xml:space="preserve"> Sáng T3: Tiết 3-4 , Địa điểm: D9-406, Tuần: 2-9,11-19
 Sáng T6: Tiết 3-4 , Địa điểm: D9-406, Tuần: 2-9,11-19
</t>
  </si>
  <si>
    <t>2,613,614,2-9,11-19,D9-406;1,313,314,2-9,11-19,D9-406</t>
  </si>
  <si>
    <t>161335</t>
  </si>
  <si>
    <t>*Việt Nhật K68-3S, *Việt Nhật K68-3S</t>
  </si>
  <si>
    <t xml:space="preserve"> Sáng T3: Tiết 3-4 , Địa điểm: D9-502, Tuần: 2-9,11-19
 Sáng T6: Tiết 3-4 , Địa điểm: C7-114, Tuần: 2-9,11-19
</t>
  </si>
  <si>
    <t>2,613,614,2-9,11-19,C7-114;1,313,314,2-9,11-19,D9-502</t>
  </si>
  <si>
    <t>Mở(*Việt Nhật K68-3S)</t>
  </si>
  <si>
    <t>161709</t>
  </si>
  <si>
    <t>IT4630E</t>
  </si>
  <si>
    <t>Phân tích mã độc</t>
  </si>
  <si>
    <t xml:space="preserve"> Sáng T5: Tiết 1-3 , Địa điểm: C7-234, Tuần: 2-9,11-19
</t>
  </si>
  <si>
    <t>1,511,513,2-9,11-19,C7-234</t>
  </si>
  <si>
    <t>161703</t>
  </si>
  <si>
    <t xml:space="preserve"> Sáng T2: Tiết 1-4 , Địa điểm: D5-503, Tuần: 2-9,11-19
</t>
  </si>
  <si>
    <t>1,211,214,2-9,11-19,D9-105</t>
  </si>
  <si>
    <t>trung.tranviet@hust.edu.vn</t>
  </si>
  <si>
    <t>0985062706</t>
  </si>
  <si>
    <t>f7jmjnt</t>
  </si>
  <si>
    <t>161337</t>
  </si>
  <si>
    <t xml:space="preserve"> Sáng T3: Tiết 5-6 , Địa điểm: D9-507, Tuần: 2-9,11-19
 Sáng T6: Tiết 5-6 , Địa điểm: D9-405, Tuần: 2-9,11-19
</t>
  </si>
  <si>
    <t>2,613,614,2-9,11-19,C7-219;1,313,314,2-9,11-19,D9-504</t>
  </si>
  <si>
    <t>161324</t>
  </si>
  <si>
    <t>*Việt Nhật K68 -2S, *Việt Nhật K68 -1C</t>
  </si>
  <si>
    <t xml:space="preserve"> Chiều T7: Tiết 1-3 , Địa điểm: D3-101, Tuần: 5,8,12,14,17
</t>
  </si>
  <si>
    <t>1,414,416,2-9,11-19,D9-501</t>
  </si>
  <si>
    <t>Mở(*Việt Nhật K68 -1C)</t>
  </si>
  <si>
    <t>161323</t>
  </si>
  <si>
    <t>*Việt Nhật K68 -1S, *Việt Nhật K68 + Việt Pháp K69-S</t>
  </si>
  <si>
    <t>334</t>
  </si>
  <si>
    <t>360</t>
  </si>
  <si>
    <t xml:space="preserve"> Sáng T2: Tiết 4-6 , Địa điểm: B1-405, Tuần: 2,3,5,6,8,9,11,12,14,15,17,18
</t>
  </si>
  <si>
    <t>1,211,213,2-9,11-19,D9-501</t>
  </si>
  <si>
    <t>Mở(*Việt Nhật K68 + Việt Pháp K69-S)</t>
  </si>
  <si>
    <t>161329</t>
  </si>
  <si>
    <t>*Việt Nhật K68-4C, *Việt Nhật K68-4C</t>
  </si>
  <si>
    <t xml:space="preserve"> Chiều T5: Tiết 3-6 , Địa điểm: B1-202, Tuần: 2-9,11-19
</t>
  </si>
  <si>
    <t>1,523,526,2-9,11-19,B1-203</t>
  </si>
  <si>
    <t>Mở(*Việt Nhật K68-4C)</t>
  </si>
  <si>
    <t>161708</t>
  </si>
  <si>
    <t xml:space="preserve"> Sáng T2: Tiết 4-6 , Địa điểm: C7-234, Tuần: 2-9,11-19
</t>
  </si>
  <si>
    <t>1,214,216,2-9,11-19,C7-234</t>
  </si>
  <si>
    <t>pp2w9ya</t>
  </si>
  <si>
    <t>161706</t>
  </si>
  <si>
    <t xml:space="preserve"> Sáng T4: Tiết 5-6 , Địa điểm: C7-234, Tuần: 2-9,11-19
</t>
  </si>
  <si>
    <t>1,415,416,2-9,11-19,C7-234</t>
  </si>
  <si>
    <t>https://teams.microsoft.com/l/team/19%3AjRjZKiMWwqIs8iT6RFOZPo0nGtdSkT2PixpQY04cQmM1%40thread.tacv2/conversations?groupId=4331a039-1baa-459c-a893-5a5cdfaf0765&amp;tenantId=06f1b89f-07e8-464f-b408-ec1b45703f31</t>
  </si>
  <si>
    <t>ct2krvc</t>
  </si>
  <si>
    <t>161707</t>
  </si>
  <si>
    <t>IT4450E</t>
  </si>
  <si>
    <t>Điều tra số</t>
  </si>
  <si>
    <t>Lê Văn Đồng (0.3) - Trần Quang Đức (0.7)</t>
  </si>
  <si>
    <t xml:space="preserve"> Sáng T2: Tiết 1-3 , Địa điểm: C7-234, Tuần: 2-9,11-19
</t>
  </si>
  <si>
    <t>1,211,213,2-9,11-19,C7-234</t>
  </si>
  <si>
    <t>Dong.LeVan1@hust.edu.vnduc.tranquang@hust.edu.vn</t>
  </si>
  <si>
    <t>03543893680916192156</t>
  </si>
  <si>
    <t>qn3xqp5</t>
  </si>
  <si>
    <t>161325</t>
  </si>
  <si>
    <t>*Việt Nhật K68 + Việt Pháp K69-3S, *Việt Nhật K68 -2C</t>
  </si>
  <si>
    <t xml:space="preserve"> Chiều T7: Tiết 4-6 , Địa điểm: D3-101, Tuần: 5,8,12,14,17
</t>
  </si>
  <si>
    <t>1,214,216,2-9,11-19,D9-501</t>
  </si>
  <si>
    <t>Lê Văn Thành An; Phạm Tùng Lâm</t>
  </si>
  <si>
    <t>Mở(*Việt Nhật K68 -2C)</t>
  </si>
  <si>
    <t>161334</t>
  </si>
  <si>
    <t xml:space="preserve"> Sáng T3: Tiết 3-4 , Địa điểm: D9-407, Tuần: 2-9,11-19
 Sáng T6: Tiết 3-4 , Địa điểm: D9-407, Tuần: 2-9,11-19
</t>
  </si>
  <si>
    <t>2,613,614,2-9,11-19,D9-407;1,313,314,2-9,11-19,D9-407</t>
  </si>
  <si>
    <t>161320</t>
  </si>
  <si>
    <t xml:space="preserve"> Sáng T5: Tiết 4-6 , Địa điểm: D9-306, Tuần: 2-9,11-19
</t>
  </si>
  <si>
    <t>1,514,516,2-9,11-19,D9-306</t>
  </si>
  <si>
    <t>162604</t>
  </si>
  <si>
    <t>KT ôtô - CKĐL - Hàng không-K69C, KT ôtô - CKĐL - Hàng không-K69C</t>
  </si>
  <si>
    <t xml:space="preserve"> Chiều T2: Tiết 3-6 , Địa điểm: GD-B1, Tuần: 2-9,11-19
</t>
  </si>
  <si>
    <t>1,223,226,2-9,11-19,GD-B1</t>
  </si>
  <si>
    <t>Mở(KT ôtô - CKĐL - Hàng không-K69C)</t>
  </si>
  <si>
    <t>3ccqbnj</t>
  </si>
  <si>
    <t>162603</t>
  </si>
  <si>
    <t>KT ôtô - CKĐL - Hàng không-K69S, KT ôtô - CKĐL - Hàng không-K69S</t>
  </si>
  <si>
    <t xml:space="preserve"> Sáng T2: Tiết 1-4 , Địa điểm: GD-B1, Tuần: 2-9,11-19
</t>
  </si>
  <si>
    <t>1,211,214,2-9,11-19,GD-B1</t>
  </si>
  <si>
    <t>Mở(KT ôtô - CKĐL - Hàng không-K69S)</t>
  </si>
  <si>
    <t>161738</t>
  </si>
  <si>
    <t>**CTTT-Cơ điện tử-K68S, **CTTT-Cơ điện tử-K68S</t>
  </si>
  <si>
    <t xml:space="preserve"> Sáng T3: Tiết 4-6 , Địa điểm: D8-304, Tuần: 2-9,11-19
</t>
  </si>
  <si>
    <t>1,314,316,2-9,11-19,D8-304</t>
  </si>
  <si>
    <t>D8-304</t>
  </si>
  <si>
    <t>Mở(**CTTT-Cơ điện tử-K68S)</t>
  </si>
  <si>
    <t>0e1h9fs</t>
  </si>
  <si>
    <t>161737</t>
  </si>
  <si>
    <t xml:space="preserve"> Sáng T3: Tiết 1-3 , Địa điểm: D8-302, Tuần: 2-9,11-19
</t>
  </si>
  <si>
    <t>1,311,313,2-9,11-19,D8-302</t>
  </si>
  <si>
    <t>IT4142E-BS2025.1IT</t>
  </si>
  <si>
    <t>9</t>
  </si>
  <si>
    <t>IT3180-BS2025.1IT</t>
  </si>
  <si>
    <t>NHẬP MÔN CÔNG NGHỆ PHẦN MỀM</t>
  </si>
  <si>
    <t xml:space="preserve"> Tối T3: Tiết 1-3 , Địa điểm: C7-217, Tuần: 18,25/11
 Tối T5: Tiết 1-3 , Địa điểm: C7-217, Tuần: 20,27/11
</t>
  </si>
  <si>
    <t>IT3011-BS2025.1IT</t>
  </si>
  <si>
    <t>Nguyễn Khánh Phương (0.5) - Đỗ Quốc Huy (0.5)</t>
  </si>
  <si>
    <t xml:space="preserve"> Sáng T6: Tiết 3-5 , Địa điểm: B1-404, Tuần: 10/10, 24/10
 Sáng T7: Tiết 4-6 , Địa điểm: B1-406, Tuần: 1/11
 Sáng T2: Tiết 1-3 , Địa điểm: B1-406, Tuần: 17/11
</t>
  </si>
  <si>
    <t>B1-404, B1-406, B1-406</t>
  </si>
  <si>
    <t>phuong.nguyenkhanh@hust.edu.vnhuy.doquoc@hust.edu.vn</t>
  </si>
  <si>
    <t>09414710230936356172</t>
  </si>
  <si>
    <t>IT3120-BS2025.1IT</t>
  </si>
  <si>
    <t xml:space="preserve"> Tối T6: Tiết 1-3 , Địa điểm: B1-404, Tuần: 14, 21/11; 5,12,19,26/12
 Tối T4: Tiết 1-3 , Địa điểm: B1-504, Tuần: 7,14,21,28/1
</t>
  </si>
  <si>
    <t>B1-404, B1-504</t>
  </si>
  <si>
    <t>IT4785-BS2025.1IT</t>
  </si>
  <si>
    <t>Nguyễn Thanh Hùng</t>
  </si>
  <si>
    <t>Học phần bổ sung, &lt;p&gt;Ghép với lớp học phần cao học&amp;nbsp; IT4785-1-25-2 (25.1B01)&lt;/p&gt;</t>
  </si>
  <si>
    <t xml:space="preserve"> Tối T5: Tiết 1-4 , Địa điểm: C7-217, Tuần: Từ 20/11 đến 18/12
</t>
  </si>
  <si>
    <t>C7-217</t>
  </si>
  <si>
    <t>hung.nguyenthanh2@hust.edu.vn</t>
  </si>
  <si>
    <t>0938669118</t>
  </si>
  <si>
    <t>Mở(&lt;p&gt;Ghép với lớp học phần cao học&amp;nbsp; IT4785-1-25-2 (25.1B01)&lt;/p&gt;)</t>
  </si>
  <si>
    <t>IT4501-BS2025.1IT</t>
  </si>
  <si>
    <t>Đảm bảo chất lượng phần mềm</t>
  </si>
  <si>
    <t>IT4788-BS2025.1IT</t>
  </si>
  <si>
    <t>IT6490-1-25-2 (25.1B01)</t>
  </si>
  <si>
    <t>IT6490</t>
  </si>
  <si>
    <t>Các phương pháp Agile</t>
  </si>
  <si>
    <t xml:space="preserve"> Tối T6: Tiết 1-4 , Địa điểm: C7-213, Tuần: Thứ 6: 14/11;Thứ 7:15/11(online); Thứ 2: 17/11; Thứ 3: 18/11; Thứ 6: 21/11; Thứ 7: 22/11
</t>
  </si>
  <si>
    <t>IT5408-1-25-2 (25.1B01)</t>
  </si>
  <si>
    <t>IT5408</t>
  </si>
  <si>
    <t>Tính toán hiệu năng cao</t>
  </si>
  <si>
    <t>Nguyễn Quốc Tuấn (0.5) - Vũ Văn Thiệu (0.5)</t>
  </si>
  <si>
    <t>78</t>
  </si>
  <si>
    <t xml:space="preserve"> Chiều T7: Tiết 2-5 , Địa điểm: C7-215, Tuần: 29/11, 6/12, 13/12, 20/12, 27/12, 3/1, 10/1, 17/1, 24/1
</t>
  </si>
  <si>
    <t>C7-215</t>
  </si>
  <si>
    <t>Tuan.NguyenQuoc@hust.edu.vnthieu.vuvan@hust.edu.vn</t>
  </si>
  <si>
    <t>03977759330982928307</t>
  </si>
  <si>
    <t>IT5208-1-25-2 (25.1B01)</t>
  </si>
  <si>
    <t>IT5208</t>
  </si>
  <si>
    <t>Thống kê ứng dụng</t>
  </si>
  <si>
    <t xml:space="preserve"> Chiều T7: Tiết 2-6 , Địa điểm: B1-404, Tuần: 8/11, 15/11, 22/11, 29/11, 6/12, 13/12, 20/12, 27/12, 3/1
</t>
  </si>
  <si>
    <t>IT4651-1-25-2 (25.1B01)</t>
  </si>
  <si>
    <t>IT5425-1-25-2 (25.1B01)</t>
  </si>
  <si>
    <t xml:space="preserve"> Sáng T7: Tiết 2-6 , Địa điểm: B1 - 403, Tuần: 24/1
 Sáng CN: Tiết 2-6 , Địa điểm: B1 - 403, Tuần: 21/12, 28/12, 4/1, 11/1, 18/1, 25/1
</t>
  </si>
  <si>
    <t>B1 - 403, B1 - 403</t>
  </si>
  <si>
    <t>IT4831-1-25-2 (25.1B01)</t>
  </si>
  <si>
    <t>IT4831</t>
  </si>
  <si>
    <t>Tống Văn Vạn (2.5) - Nguyễn Đức Toàn (2.5)</t>
  </si>
  <si>
    <t>IT5425E-1-25-2 (25.1B01)</t>
  </si>
  <si>
    <t>IT5425E</t>
  </si>
  <si>
    <t>Data management and Visualization</t>
  </si>
  <si>
    <t xml:space="preserve"> Tối T2: Tiết 1-4 , Địa điểm: C7-223, Tuần: Tối : 7/11, 10/11, 17/11, 21/11, 24/11, 1/12, 8/12
 Sáng T7: Tiết 3-6 , Địa điểm: C7-223, Tuần: 29/11, 6/12, 13/12
</t>
  </si>
  <si>
    <t>IT4785-1-25-2 (25.1B01)</t>
  </si>
  <si>
    <t>IT5440-1-25-2 (25.1B01)</t>
  </si>
  <si>
    <t>IT5440</t>
  </si>
  <si>
    <t>Nguyên lý và kỹ thuật phân tích chương trình</t>
  </si>
  <si>
    <t>Huỳnh Quyết Thắng</t>
  </si>
  <si>
    <t xml:space="preserve"> Tối T2: Tiết 1-1 , Địa điểm: C7-215, Tuần: Tiết 13-16 (tối): Thứ 3: 4/11; Thứ 4: 5/11; Thứ 5: 6/11; Thứ 3: 11/11; Thứ 4: 12/11; Thứ 5: 13/11;
</t>
  </si>
  <si>
    <t>thang.huynhquyet@hust.edu.vn</t>
  </si>
  <si>
    <t>0913536752</t>
  </si>
  <si>
    <t>IT6481-1-25-2 (25.1B01)</t>
  </si>
  <si>
    <t>IT6481</t>
  </si>
  <si>
    <t>Kiểm chứng và thẩm định phần mềm</t>
  </si>
  <si>
    <t xml:space="preserve"> Chiều CN: Tiết 2-6 , Địa điểm: B1-404, Tuần: 9/11, 16/11, 23/11, 30/11, 7/12, 14/12, 21/12, 28/12, 4/1
</t>
  </si>
  <si>
    <t>IT4210-1-25-2 (25.1B01)</t>
  </si>
  <si>
    <t>IT5404-1-25-2 (25.1B01)</t>
  </si>
  <si>
    <t>IT5404</t>
  </si>
  <si>
    <t>Điện toán đám mây</t>
  </si>
  <si>
    <t>Đỗ Bá Lâm (0.5) - Nguyễn Hữu Đức (0.5)</t>
  </si>
  <si>
    <t xml:space="preserve">  T5: Tiết 1-1 , Địa điểm: C7-223, Tuần: Tiết 13-16 : 13/11, 20/11, 27/11, 4/12, 11/12, 18/12, 25/12, 8/1, 15/1, 22/1 , 29/1
</t>
  </si>
  <si>
    <t>lam.doba@hust.edu.vnduc.nguyenhuu@hust.edu.vn</t>
  </si>
  <si>
    <t>09646664750975651915</t>
  </si>
  <si>
    <t>IT6016-1-25-2 (25.1B01)</t>
  </si>
  <si>
    <t>IT6016</t>
  </si>
  <si>
    <t>Công nghệ và nền tảng chuỗi khối</t>
  </si>
  <si>
    <t xml:space="preserve">  T4: Tiết 1-1 , Địa điểm: B1-403, Tuần: Tối thứ 4: 26/11, 3/12, 10/12, 17/12, 24/12
  T7: Tiết 1-1 , Địa điểm: B1-403, Tuần: Tối thứ 7: 20, 27/12
</t>
  </si>
  <si>
    <t>B1-403, B1-403</t>
  </si>
  <si>
    <t>IT6340-1-25-2 (25.1B01)</t>
  </si>
  <si>
    <t>IT6340</t>
  </si>
  <si>
    <t>Hệ trợ giúp quyết định tiên tiến</t>
  </si>
  <si>
    <t xml:space="preserve">  T4: Tiết 1-1 , Địa điểm: B1-404, Tuần: Tiết 13-15: 19/11, 26/11, 03/12, 10/12, 17/12, 24/12, 07/01, 14/01
</t>
  </si>
  <si>
    <t>IT6013-1-25-2 (25.1B01)</t>
  </si>
  <si>
    <t>IT6013</t>
  </si>
  <si>
    <t>Các công nghệ truyền thông tiên tiến</t>
  </si>
  <si>
    <t>Trịnh Văn Chiến (0.5) - Phạm Huy Hoàng (0.5)</t>
  </si>
  <si>
    <t xml:space="preserve">  T7: Tiết 1-1 , Địa điểm: B1-404, Tuần: Thầy Chiến: sáng thứ 7 (8-12h): 8/11, 15/11;
  CN: Tiết 1-1 , Địa điểm: B1-403, Tuần: chủ nhật (12h30-16h30) 23/11, 30/11
</t>
  </si>
  <si>
    <t>B1-404, B1-403</t>
  </si>
  <si>
    <t>chien.trinhvan@hust.edu.vnhoang.phamhuy@hust.edu.vn</t>
  </si>
  <si>
    <t>08546909170919742368</t>
  </si>
  <si>
    <t>IT3190-BS2025.1IT</t>
  </si>
  <si>
    <t>NHẬP MÔN HỌC MÁY VÀ KHAI PHÁ DỮ LIỆU</t>
  </si>
  <si>
    <t xml:space="preserve"> Sáng T7: Tiết 4-6 , Địa điểm: C7-213, Tuần: Ngày 11/10,18/10, 25/10, 8/11
</t>
  </si>
  <si>
    <t>IT4015-BS2025.1IT</t>
  </si>
  <si>
    <t>Nhập môn An toàn thông tin</t>
  </si>
  <si>
    <t>Trịnh Văn Chiến (0.25) - Lê Xuân Thành (0.25) - Bùi Trọng Tùng (0.5)</t>
  </si>
  <si>
    <t xml:space="preserve"> Sáng T3: Tiết 3-6 , Địa điểm: B1-404, Tuần: Ngày 28/10/2025, 04/11/2025
 Sáng T3: Tiết 3-6 , Địa điểm: B1-404, Tuần: Ngày 25/11/2025
 Chiều T3: Tiết 2-5 , Địa điểm: B1-504, Tuần: Ngày 02/12/2025
</t>
  </si>
  <si>
    <t>B1-404, B1-404, B1-504</t>
  </si>
  <si>
    <t>chien.trinhvan@hust.edu.vnthanh.lexuan@hust.edu.vntung.buitrong@hust.edu.vn</t>
  </si>
  <si>
    <t>085469091709116505350984383051</t>
  </si>
  <si>
    <t>IT4931-BS2025.1IT</t>
  </si>
  <si>
    <t>Lưu trữ và xử lý dữ liệu lớn - BS2025.1IT</t>
  </si>
  <si>
    <t>IT3040-BS2025.1IT</t>
  </si>
  <si>
    <t xml:space="preserve">, </t>
  </si>
  <si>
    <t>IT3070-BS2025.1IT</t>
  </si>
  <si>
    <t>IT4930-BS2025.1IT</t>
  </si>
  <si>
    <t>IT4611-BS2025.1IT</t>
  </si>
  <si>
    <t>Đỗ Tiến Dũng (0.5) - Trần Hải Anh (0.5)</t>
  </si>
  <si>
    <t xml:space="preserve"> Sáng T7: Tiết 4-6 , Địa điểm: C7-212, Tuần: Ngày 11/10 ; 15/11
 Sáng T6: Tiết 4-6 , Địa điểm: C7-231, Tuần: Ngày 17/10;  24/10
</t>
  </si>
  <si>
    <t>C7-212, C7-231</t>
  </si>
  <si>
    <t>dung.dotien@hust.edu.vnanh.tranhai@hust.edu.vn</t>
  </si>
  <si>
    <t>09197907970915825046</t>
  </si>
  <si>
    <t>IT6575-1-25 (25.1A01)</t>
  </si>
  <si>
    <t>IT6575</t>
  </si>
  <si>
    <t>Nguyên lý và mô thức phát triển hệ phân tán</t>
  </si>
  <si>
    <t>https://teams.microsoft.com/l/channel/19%3AMdhbyua9ot1ITO46XIEP-mnFgYCoV7sEC5cfmKNgwI81%40thread.tacv2/General?groupId=a1b5faf3-6381-4793-bc2d-bc774f2fcf16&amp;tenantId=06f1b89f-07e8-464f-b408-ec1b45703f31</t>
  </si>
  <si>
    <t>cefe12b</t>
  </si>
  <si>
    <t>IT3160-BS2025.1IT</t>
  </si>
  <si>
    <t xml:space="preserve"> Chiều T7: Tiết 2-5 , Địa điểm: C7-217, Tuần: Ngày 11/10, 25/10, 8/11, 22/11
</t>
  </si>
  <si>
    <t>u48mr6i</t>
  </si>
  <si>
    <t>IT3170-BS2025.1IT</t>
  </si>
  <si>
    <t>LT+TN</t>
  </si>
  <si>
    <t xml:space="preserve"> Chiều T7: Tiết 2-4 , Địa điểm: B1-406, Tuần: Ngày 11/10,18/10, 1/11, 15/11
</t>
  </si>
  <si>
    <t>B1-406</t>
  </si>
  <si>
    <t>IT3320E-BS2025.1IT</t>
  </si>
  <si>
    <t xml:space="preserve"> Sáng T4: Tiết 5-6 , Địa điểm: B1-406, Tuần: Ngày 8, 15, 22, 29/10
</t>
  </si>
  <si>
    <t>IT3090-BS2025.1IT</t>
  </si>
  <si>
    <t xml:space="preserve"> Tối T4: Tiết 1-3 , Địa điểm: B1-404, Tuần: Ngày 8/10, 15/10, 22/10, 29/10
</t>
  </si>
  <si>
    <t>IT4653-1-25 (25.1A01)</t>
  </si>
  <si>
    <t>IT4931-1-25 (25.1A01)_1A1</t>
  </si>
  <si>
    <t>14</t>
  </si>
  <si>
    <t>IT4235-1-25 (25.1A01)</t>
  </si>
  <si>
    <t>IT4235</t>
  </si>
  <si>
    <t>Thị giác máy tính</t>
  </si>
  <si>
    <t>IT3080 -BS2025.1IT</t>
  </si>
  <si>
    <t>Mạng máy tính- BS2025.1IT</t>
  </si>
  <si>
    <t>IT4172-BS2025.1IT</t>
  </si>
  <si>
    <t>Xử lý tín hiệu - BS2025.1IT</t>
  </si>
  <si>
    <t>IT4593-BS2025.1IT</t>
  </si>
  <si>
    <t>Nhập môn kỹ thuật truyền thông - BS2025.1IT</t>
  </si>
  <si>
    <t>IT4060-BS2025.1IT</t>
  </si>
  <si>
    <t>Lập trình mạng- BS2025.1IT</t>
  </si>
  <si>
    <t>IT3100-BS2025.1IT</t>
  </si>
  <si>
    <t>Lập trình hướng đối tượng- BS2025.1IT</t>
  </si>
  <si>
    <t>IT4130E-BS2025.1IT</t>
  </si>
  <si>
    <t>IT4130E</t>
  </si>
  <si>
    <t>Parallel and Distributed Programming- BS2025.1IT</t>
  </si>
  <si>
    <t>Trần Hải Anh, Vũ Văn Thiệu</t>
  </si>
  <si>
    <t>IT4409-BS2025.1IT</t>
  </si>
  <si>
    <t>Công nghệ Web và dịch vụ trực tuyến- BS2025.1IT</t>
  </si>
  <si>
    <t>IT6820-1-25 (25.1A01)</t>
  </si>
  <si>
    <t>IT6820</t>
  </si>
  <si>
    <t>Kiến trúc máy tính tiên tiến</t>
  </si>
  <si>
    <t>tvswb3x</t>
  </si>
  <si>
    <t>IT4653-BS2025.1IT</t>
  </si>
  <si>
    <t>Học sâu và ứng dụng- BS2025.1IT</t>
  </si>
  <si>
    <t>IT3190E-BS2025.1IT</t>
  </si>
  <si>
    <t>IT3190E</t>
  </si>
  <si>
    <t>Machine Learning- BS2025.1IT</t>
  </si>
  <si>
    <t>IT4033E-BS2025.1IT</t>
  </si>
  <si>
    <t>IT4033E</t>
  </si>
  <si>
    <t>Mathematical Modelling- BS2025.1IT</t>
  </si>
  <si>
    <t>IT4341-BS2025.1IT</t>
  </si>
  <si>
    <t>Hệ trợ giúp quyết định- BS2025.1IT</t>
  </si>
  <si>
    <t>IT4490-BS2025.1IT</t>
  </si>
  <si>
    <t>Thiết kế và xây dựng phần mềm- BS2025.1IT</t>
  </si>
  <si>
    <t>IT4063E-1-25 (25.1A01)</t>
  </si>
  <si>
    <t>uhudtpb</t>
  </si>
  <si>
    <t>IT7715-1-25 (BK01)</t>
  </si>
  <si>
    <t>IT7715</t>
  </si>
  <si>
    <t>Các xu hướng nghiên cứu mới về Kỹ thuật máy tính</t>
  </si>
  <si>
    <t>Nguyễn Linh Giang (0.5) - Nguyễn Đình Thuận (0.5)</t>
  </si>
  <si>
    <t>, Học phần tiến sĩ</t>
  </si>
  <si>
    <t>TS</t>
  </si>
  <si>
    <t>giang.nguyenlinh@hust.edu.vnthuan.nguyendinh@hust.edu.vn</t>
  </si>
  <si>
    <t>09127256720966614396</t>
  </si>
  <si>
    <t>Mở(Học phần tiến sĩ)</t>
  </si>
  <si>
    <t>IT5310-1-25 (25.1A01)</t>
  </si>
  <si>
    <t>IT5310</t>
  </si>
  <si>
    <t>Các công nghệ truyền thông cho IoT</t>
  </si>
  <si>
    <t>https://teams.microsoft.com/l/team/19%3AmhOx7qfwpaxu4ksuIozYFlK5mxvRtE498nN_0KFnF2E1%40thread.tacv2/conversations?groupId=54695d09-1c35-43e8-805b-3348d64ccce8&amp;tenantId=06f1b89f-07e8-464f-b408-ec1b45703f31</t>
  </si>
  <si>
    <t>w3ewjim</t>
  </si>
  <si>
    <t>IT7890-1-25 (BK01)</t>
  </si>
  <si>
    <t>IT7890</t>
  </si>
  <si>
    <t>Những chủ đề tiên tiến trong An toàn an ninh không gian số</t>
  </si>
  <si>
    <t>IT7795-1-25 (BK01)</t>
  </si>
  <si>
    <t>IT7795</t>
  </si>
  <si>
    <t>Mô phỏng song song và phân tán</t>
  </si>
  <si>
    <t>IT7785-1-25 (BK01)</t>
  </si>
  <si>
    <t>IT7785</t>
  </si>
  <si>
    <t>Những chủ đề tiên tiến về Học máy và Phân tích dữ liệu</t>
  </si>
  <si>
    <t>IT7755-1-25 (BK01)</t>
  </si>
  <si>
    <t>IT7755</t>
  </si>
  <si>
    <t>Những chủ đề tiên tiến trong Công nghệ Mạng thế hệ sau</t>
  </si>
  <si>
    <t>IT7131-1-25 (BK01)</t>
  </si>
  <si>
    <t>IT7131</t>
  </si>
  <si>
    <t>Các chủ đề nâng cao trong lý thuyết hệ điều hành</t>
  </si>
  <si>
    <t>IT7121-1-25 (BK01)</t>
  </si>
  <si>
    <t>IT7121</t>
  </si>
  <si>
    <t>Lập trình song song cho các hệ thống đa lõi</t>
  </si>
  <si>
    <t>IT4818-1-25 (25.1A01)</t>
  </si>
  <si>
    <t>IT4818</t>
  </si>
  <si>
    <t>Phân tích nghiệp vụ thông minh</t>
  </si>
  <si>
    <t>x51n323</t>
  </si>
  <si>
    <t>IT5305E-1-25 (C06.25.1A01)</t>
  </si>
  <si>
    <t>Khởi nghiệp số với Khoa học dữ liệu</t>
  </si>
  <si>
    <t>hai.tranhoang@hust.edu.vn</t>
  </si>
  <si>
    <t>0983020981</t>
  </si>
  <si>
    <t>IT5315E-1-25 (C06.25.1A01)</t>
  </si>
  <si>
    <t>IT5315E</t>
  </si>
  <si>
    <t>Kinh doanh thông minh</t>
  </si>
  <si>
    <t>IT5419-1-25 (25.1A01)</t>
  </si>
  <si>
    <t>IT5419</t>
  </si>
  <si>
    <t>Tích hợp hệ thống thông tin</t>
  </si>
  <si>
    <t>64</t>
  </si>
  <si>
    <t>IT6460-1-25 (25.1A01)</t>
  </si>
  <si>
    <t>IT6460</t>
  </si>
  <si>
    <t>Quản trị dự án CNTT và quản lý thay đổi-1-18 (BK01)</t>
  </si>
  <si>
    <t>IT5427-1-25 (25.1A01)</t>
  </si>
  <si>
    <t>IT4772-1-25 (25.1A01)</t>
  </si>
  <si>
    <t>Xử lý ngôn ngữ tự nhiên</t>
  </si>
  <si>
    <t>IT6390E-1-25 (25.1A01)</t>
  </si>
  <si>
    <t>IT6390E</t>
  </si>
  <si>
    <t>Web ngữ nghĩa</t>
  </si>
  <si>
    <t>Cao Tuấn Dũng</t>
  </si>
  <si>
    <t>IT6690-1-25 (25.1A01)</t>
  </si>
  <si>
    <t>IT6690</t>
  </si>
  <si>
    <t>Thiết kế và phân tích thuật toán</t>
  </si>
  <si>
    <t>IT5422E-1-25 (25.1A01)</t>
  </si>
  <si>
    <t>IT5422E</t>
  </si>
  <si>
    <t>Seminar 2</t>
  </si>
  <si>
    <t>Nguyễn Thanh Phương</t>
  </si>
  <si>
    <t>thanhphuong.nguyen@univaq.it</t>
  </si>
  <si>
    <t>IT4033E-1-25 (25.1A01)</t>
  </si>
  <si>
    <t>Mô hình hóa toán học</t>
  </si>
  <si>
    <t>Nguyễn Hùng Sơn</t>
  </si>
  <si>
    <t>hungson@gmail.com</t>
  </si>
  <si>
    <t>IT4025-1-25 (25.1A01)_191</t>
  </si>
  <si>
    <t>IT4409-1-25 (25.1A01)_1AF</t>
  </si>
  <si>
    <t>IT4263-1-25 (25.1A01)_1A8</t>
  </si>
  <si>
    <t>162320</t>
  </si>
  <si>
    <t xml:space="preserve">KT máy tính-mô đun 2,3-K67S, </t>
  </si>
  <si>
    <t xml:space="preserve"> Sáng T2: Tiết 5-6 , Địa điểm: TC-209, Tuần: 2-9,11-19
</t>
  </si>
  <si>
    <t>1,215,216,2-9,11-19,TC-209</t>
  </si>
  <si>
    <t>Hình thức thi</t>
  </si>
  <si>
    <t>Xếp phòng</t>
  </si>
  <si>
    <t>Điều phối viên</t>
  </si>
  <si>
    <t>Nguyễn Phi Lê, Trịnh Thị Thùy Linh, Natsumi Matsugahira</t>
  </si>
  <si>
    <t>Nguyễn Thị Nhung</t>
  </si>
  <si>
    <t>chuyenr kipes 3</t>
  </si>
  <si>
    <t>Kíp</t>
  </si>
  <si>
    <t>KÍp2</t>
  </si>
  <si>
    <t>số sv</t>
  </si>
  <si>
    <t>Course thi cuối kỳ</t>
  </si>
  <si>
    <t>Giáo viên</t>
  </si>
  <si>
    <t>Đề trước 24h</t>
  </si>
  <si>
    <t>https://soict.daotao.ai/courses/course-v1:SoICT+FinalExam-2025-1+IT4409/course/</t>
  </si>
  <si>
    <t>OK</t>
  </si>
  <si>
    <t>Gộp IT3180</t>
  </si>
  <si>
    <t>https://soict.daotao.ai/courses/course-v1:SoICT+FinalExam-2025-1+IT3180/course/</t>
  </si>
  <si>
    <t>https://soict.daotao.ai/courses/course-v1:SoICT+FinalExam-2025-1+IT4930/course/</t>
  </si>
  <si>
    <t>https://soict.daotao.ai/courses/course-v1:SoICT+FinalExam-2025-1+IT4441/course/</t>
  </si>
  <si>
    <t>gộp IT4441</t>
  </si>
  <si>
    <t>https://soict.daotao.ai/courses/course-v1:SoICT+FinalExam-2025-1+IT3030E/course/</t>
  </si>
  <si>
    <t>https://soict.daotao.ai/courses/course-v1:SoICT+FinalExam-2025-1+IT3283E/course/</t>
  </si>
  <si>
    <t>https://soict.daotao.ai/courses/course-v1:SoICT+FinalExam-2025-1+IT3030/course/</t>
  </si>
  <si>
    <t>https://soict.daotao.ai/courses/course-v1:SoICT+FinalExam-2025-1+IT3034/course/</t>
  </si>
  <si>
    <t>https://soict.daotao.ai/courses/course-v1:SoICT+FinalExam-2025-1+IT4772/course/</t>
  </si>
  <si>
    <t>https://soict.daotao.ai/courses/course-v1:SoICT+FinalExam-2025-1+IT4043E/course/</t>
  </si>
  <si>
    <t>https://soict.daotao.ai/courses/course-v1:SoICT+FinalExam-2025-1+IT4172/course/</t>
  </si>
  <si>
    <t>https://soict.daotao.ai/courses/course-v1:SoICT+FinalExam-2025-1+IT3120E/course/</t>
  </si>
  <si>
    <t>https://soict.daotao.ai/courses/course-v1:SoICT+FinalExam-2025-1+IT5425/course/</t>
  </si>
  <si>
    <t>https://soict.daotao.ai/courses/course-v1:SoICT+FinalExam-2025-1+IT4681/course/</t>
  </si>
  <si>
    <t>https://soict.daotao.ai/courses/course-v1:SoICT+FinalExam-2025-1+IT4735/course/</t>
  </si>
  <si>
    <t>https://soict.daotao.ai/courses/course-v1:SoICT+FinalExam-2025-1+IT4735E/course/</t>
  </si>
  <si>
    <t>https://soict.daotao.ai/courses/course-v1:SoICT+FinalExam-2025-1+IT1110E/course/</t>
  </si>
  <si>
    <t>https://soict.daotao.ai/courses/course-v1:SoICT+FinalExam-2025-1+IT3190/course/</t>
  </si>
  <si>
    <t>https://soict.daotao.ai/courses/course-v1:SoICT+FinalExam-2025-1+IT4931/course/</t>
  </si>
  <si>
    <t>https://soict.daotao.ai/courses/course-v1:SoICT+FinalExam-2025-1+IT4263/course/</t>
  </si>
  <si>
    <t>https://soict.daotao.ai/courses/course-v1:SoICT+FinalExam-2025-1+IT4663/course/</t>
  </si>
  <si>
    <t>hoang.taduy@hust.edu.vn</t>
  </si>
  <si>
    <t>https://soict.daotao.ai/courses/course-v1:SoICT+FinalExam-2025-1+IT4015E/course/</t>
  </si>
  <si>
    <t>https://soict.daotao.ai/courses/course-v1:SoICT+FinalExam-2025-1+IT4015/course/</t>
  </si>
  <si>
    <t>https://soict.daotao.ai/courses/course-v1:SoICT+FinalExam-2025-1+IT3100/course/</t>
  </si>
  <si>
    <t>https://soict.daotao.ai/courses/course-v1:SoICT+FinalExam-2025-1+IT5411/course/</t>
  </si>
  <si>
    <t>https://soict.daotao.ai/courses/course-v1:SoICT+FinalExam-2025-1+IT3170/course/</t>
  </si>
  <si>
    <t>https://soict.daotao.ai/courses/course-v1:SoICT+FinalExam-2025-1+IT3170E/course/</t>
  </si>
  <si>
    <t>https://soict.daotao.ai/courses/course-v1:SoICT+FinalExam-2025-1+IT4508E/course/</t>
  </si>
  <si>
    <t>https://soict.daotao.ai/courses/course-v1:SoICT+FinalExam-2025-1+IT4785E/course/</t>
  </si>
  <si>
    <t>https://soict.daotao.ai/courses/course-v1:SoICT+FinalExam-2025-1+IT3292E/course/</t>
  </si>
  <si>
    <t>https://soict.daotao.ai/courses/course-v1:SoICT+FinalExam-2025-1+IT4788/course/</t>
  </si>
  <si>
    <t>https://soict.daotao.ai/courses/course-v1:SoICT+FinalExam-2025-1+IT4142E/course/</t>
  </si>
  <si>
    <t>Moodle cá nhân trong mạng nội bộ</t>
  </si>
  <si>
    <t>https://studio.daotao.ai/course/course-v1:SoICT+FinalExam-2025-1+IT5412</t>
  </si>
  <si>
    <t>https://studio.daotao.ai/course/course-v1:SoICT+FinalExam-2025-1+IT3280E</t>
  </si>
  <si>
    <t>https://studio.daotao.ai/course/course-v1:SoICT+FinalExam-2025-1+IT3160E</t>
  </si>
  <si>
    <t>https://studio.daotao.ai/course/course-v1:SoICT+FinalExam-2025-1+IT3210</t>
  </si>
  <si>
    <t>https://soict.daotao.ai/courses/course-v1:SoICT+FinalExam-2025-1+IT3080Ea/course/</t>
  </si>
  <si>
    <t>https://studio.daotao.ai/course/course-v1:SoICT+FinalExam-2025-1+IT4210</t>
  </si>
  <si>
    <t>https://studio.daotao.ai/course/course-v1:SoICT+FinalExam-2025-1+IT4651</t>
  </si>
  <si>
    <t>hoangph@soict.hust.edu.vn</t>
  </si>
  <si>
    <t>https://studio.daotao.ai/course/course-v1:SoICT+FinalExam-2025-1+IT4651E</t>
  </si>
  <si>
    <t>https://studio.daotao.ai/course/course-v1:SoICT+FinalExam-2025-1+IT3080</t>
  </si>
  <si>
    <t>https://soict.daotao.ai/courses/course-v1:SoICT+FinalExam-2025-1+IT3320E/course/</t>
  </si>
  <si>
    <t>https://soict.daotao.ai/courses/course-v1:SoICT+FinalExam-2025-1+IT3420/course/</t>
  </si>
  <si>
    <t>https://soict.daotao.ai/courses/course-v1:SoICT+FinalExam-2025-1+IT3160/course/</t>
  </si>
  <si>
    <t>https://soict.daotao.ai/courses/course-v1:SoICT+FinalExam-2025-1+IT4785/course/</t>
  </si>
  <si>
    <t>https://soict.daotao.ai/courses/course-v1:SoICT+FinalExam-2025-1+IT3323/course/</t>
  </si>
  <si>
    <t>https://soict.daotao.ai/courses/course-v1:SoICT+FinalExam-2025-1+IT4490/course/</t>
  </si>
  <si>
    <t>https://soict.daotao.ai/courses/course-v1:SoICT+FinalExam-2025-1+IT2000/course/</t>
  </si>
  <si>
    <t>https://soict.daotao.ai/courses/course-v1:SoICT+FinalExam-2025-1+IT3011E/course/</t>
  </si>
  <si>
    <t>https://soict.daotao.ai/courses/course-v1:SoICT+FinalExam-2025-1+IT3011Q/course/</t>
  </si>
  <si>
    <t>https://soict.daotao.ai/courses/course-v1:SoICT+FinalExam-2025-1+IT3011/course/</t>
  </si>
  <si>
    <t>https://soict.daotao.ai/courses/course-v1:SoICT+FinalExam-2025-1+IT4653/course/</t>
  </si>
  <si>
    <t>https://soict.daotao.ai/courses/course-v1:SoICT+FinalExam-2025-1+IT4815E/course/</t>
  </si>
  <si>
    <t>https://soict.daotao.ai/courses/course-v1:SoICT+FinalExam-2025-1+IT5409/course/</t>
  </si>
  <si>
    <t>https://soict.daotao.ai/courses/course-v1:SoICT+FinalExam-2025-1+IT3020E/course/</t>
  </si>
  <si>
    <t>https://soict.daotao.ai/courses/course-v1:SoICT+FinalExam-2025-1+IT4593/course/</t>
  </si>
  <si>
    <t>https://soict.daotao.ai/courses/course-v1:SoICT+FinalExam-2025-1+IT4613/course/</t>
  </si>
  <si>
    <t>https://soict.daotao.ai/courses/course-v1:SoICT+FinalExam-2025-1+IT4593E/course/</t>
  </si>
  <si>
    <t>https://soict.daotao.ai/courses/course-v1:SoICT+FinalExam-2025-1+IT4244/course/</t>
  </si>
  <si>
    <t>https://soict.daotao.ai/courses/course-v1:SoICT+FinalExam-2025-1+IT3070/course/</t>
  </si>
  <si>
    <t>https://soict.daotao.ai/courses/course-v1:SoICT+FinalExam-2025-1+IT3100E/course/</t>
  </si>
  <si>
    <t>https://soict.daotao.ai/courses/course-v1:SoICT+FinalExam-2025-1+IT4010E/course/</t>
  </si>
  <si>
    <t>https://soict.daotao.ai/courses/course-v1:SoICT+FinalExam-2025-1+IT4868E/course/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</si>
</sst>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[$-1010000]d/m/yyyy;@"/>
  </numFmts>
  <fonts count="59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2.5"/>
      <color theme="1"/>
      <name val="Times New Roman"/>
      <family val="1"/>
    </font>
    <font>
      <sz val="12.5"/>
      <color theme="1"/>
      <name val="Times New Roman"/>
      <family val="1"/>
    </font>
    <font>
      <b/>
      <sz val="11"/>
      <color theme="1"/>
      <name val="Aptos Narrow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sz val="12.5"/>
      <color rgb="FFFF0000"/>
      <name val="Times New Roman"/>
      <family val="1"/>
    </font>
    <font>
      <sz val="8"/>
      <name val="Arial"/>
      <family val="2"/>
      <scheme val="minor"/>
    </font>
    <font>
      <sz val="10"/>
      <color rgb="FFFF0000"/>
      <name val="Arial"/>
      <family val="2"/>
      <scheme val="minor"/>
    </font>
    <font>
      <sz val="12"/>
      <color rgb="FF000000"/>
      <name val="Times New Roman"/>
      <family val="1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u/>
      <sz val="10"/>
      <color theme="10"/>
      <name val="Arial"/>
      <family val="2"/>
      <scheme val="minor"/>
    </font>
    <font>
      <b/>
      <sz val="12"/>
      <name val="Arial"/>
      <family val="2"/>
    </font>
    <font>
      <sz val="1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i/>
      <sz val="10"/>
      <color rgb="FF000000"/>
      <name val="Arial"/>
      <family val="2"/>
      <scheme val="minor"/>
    </font>
    <font>
      <sz val="36"/>
      <color theme="1"/>
      <name val="Arial"/>
      <family val="2"/>
    </font>
    <font>
      <b/>
      <sz val="28"/>
      <color rgb="FF000000"/>
      <name val="Arial"/>
    </font>
    <font>
      <sz val="28"/>
      <color theme="1"/>
      <name val="Arial"/>
      <family val="2"/>
    </font>
    <font>
      <sz val="11"/>
      <color theme="1"/>
      <name val="Times New Roman"/>
    </font>
    <font>
      <sz val="12"/>
      <color theme="1"/>
      <name val="Times New Roman"/>
    </font>
    <font>
      <sz val="11"/>
      <color theme="9" tint="-0.249977111117893"/>
      <name val="Times New Roman"/>
      <family val="1"/>
    </font>
    <font>
      <sz val="11"/>
      <color theme="6" tint="-0.249977111117893"/>
      <name val="Times New Roman"/>
      <family val="1"/>
    </font>
    <font>
      <sz val="11"/>
      <color rgb="FF0070C0"/>
      <name val="Times New Roman"/>
      <family val="1"/>
    </font>
    <font>
      <u/>
      <sz val="10"/>
      <color theme="10"/>
      <name val="Arial"/>
      <scheme val="minor"/>
    </font>
    <font>
      <b/>
      <sz val="12"/>
      <color theme="1"/>
      <name val="Arial"/>
      <scheme val="minor"/>
    </font>
    <font>
      <b/>
      <sz val="12.5"/>
      <color theme="1"/>
      <name val="Arial"/>
      <scheme val="minor"/>
    </font>
    <font>
      <b/>
      <sz val="12"/>
      <color rgb="FF000000"/>
      <name val="Arial"/>
      <scheme val="minor"/>
    </font>
    <font>
      <b/>
      <sz val="10"/>
      <color rgb="FF000000"/>
      <name val="Arial"/>
      <scheme val="minor"/>
    </font>
    <font>
      <sz val="12"/>
      <color theme="1"/>
      <name val="Arial"/>
      <scheme val="minor"/>
    </font>
    <font>
      <sz val="12"/>
      <color rgb="FF000000"/>
      <name val="Arial"/>
      <scheme val="minor"/>
    </font>
    <font>
      <sz val="12.5"/>
      <color theme="1"/>
      <name val="Arial"/>
      <scheme val="minor"/>
    </font>
    <font>
      <sz val="11"/>
      <color rgb="FFE2E5E9"/>
      <name val="Arial"/>
      <scheme val="minor"/>
    </font>
    <font>
      <b/>
      <sz val="10"/>
      <color theme="1"/>
      <name val="Arial"/>
      <scheme val="minor"/>
    </font>
    <font>
      <sz val="10"/>
      <name val="Arial"/>
      <scheme val="minor"/>
    </font>
    <font>
      <sz val="10"/>
      <color theme="1"/>
      <name val="Arial"/>
      <scheme val="minor"/>
    </font>
    <font>
      <sz val="11"/>
      <color rgb="FF000000"/>
      <name val="Times New Roman"/>
    </font>
    <font>
      <sz val="10"/>
      <color rgb="FF00B0F0"/>
      <name val="Arial"/>
      <scheme val="minor"/>
    </font>
    <font>
      <sz val="12"/>
      <color rgb="FF00B0F0"/>
      <name val="Arial"/>
      <scheme val="minor"/>
    </font>
    <font>
      <u/>
      <sz val="10"/>
      <color rgb="FF00B0F0"/>
      <name val="Arial"/>
      <scheme val="minor"/>
    </font>
    <font>
      <sz val="10"/>
      <color rgb="FF00B050"/>
      <name val="Arial"/>
      <scheme val="minor"/>
    </font>
    <font>
      <sz val="12"/>
      <color rgb="FF00B050"/>
      <name val="Arial"/>
      <scheme val="minor"/>
    </font>
    <font>
      <u/>
      <sz val="10"/>
      <color rgb="FF00B050"/>
      <name val="Arial"/>
      <scheme val="minor"/>
    </font>
    <font>
      <i/>
      <sz val="10"/>
      <color theme="5" tint="-0.249977111117893"/>
      <name val="Arial"/>
      <family val="2"/>
      <scheme val="minor"/>
    </font>
    <font>
      <i/>
      <sz val="12.5"/>
      <color theme="1"/>
      <name val="Times New Roman"/>
      <family val="1"/>
    </font>
    <font>
      <i/>
      <sz val="10"/>
      <color theme="1"/>
      <name val="Arial"/>
      <family val="2"/>
    </font>
    <font>
      <u/>
      <sz val="10"/>
      <color rgb="FF00B05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0" borderId="5"/>
    <xf numFmtId="0" fontId="20" fillId="0" borderId="0" applyNumberFormat="0" applyFill="0" applyBorder="0" applyAlignment="0" applyProtection="0"/>
    <xf numFmtId="0" fontId="22" fillId="0" borderId="5"/>
  </cellStyleXfs>
  <cellXfs count="306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4" fillId="0" borderId="5" xfId="1"/>
    <xf numFmtId="0" fontId="6" fillId="0" borderId="7" xfId="1" applyFont="1" applyBorder="1" applyAlignment="1">
      <alignment horizontal="center" vertical="center" shrinkToFit="1"/>
    </xf>
    <xf numFmtId="164" fontId="6" fillId="0" borderId="7" xfId="1" applyNumberFormat="1" applyFont="1" applyBorder="1" applyAlignment="1">
      <alignment horizontal="center" vertical="center" shrinkToFit="1"/>
    </xf>
    <xf numFmtId="0" fontId="7" fillId="0" borderId="7" xfId="1" applyFont="1" applyBorder="1" applyAlignment="1">
      <alignment shrinkToFit="1"/>
    </xf>
    <xf numFmtId="0" fontId="7" fillId="0" borderId="7" xfId="1" applyFont="1" applyBorder="1" applyAlignment="1">
      <alignment horizontal="center" shrinkToFit="1"/>
    </xf>
    <xf numFmtId="164" fontId="7" fillId="0" borderId="7" xfId="1" applyNumberFormat="1" applyFont="1" applyBorder="1" applyAlignment="1">
      <alignment horizontal="center" shrinkToFit="1"/>
    </xf>
    <xf numFmtId="0" fontId="8" fillId="4" borderId="7" xfId="0" applyFont="1" applyFill="1" applyBorder="1"/>
    <xf numFmtId="0" fontId="8" fillId="4" borderId="7" xfId="0" applyFont="1" applyFill="1" applyBorder="1" applyAlignment="1">
      <alignment shrinkToFit="1"/>
    </xf>
    <xf numFmtId="0" fontId="8" fillId="4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 shrinkToFit="1"/>
    </xf>
    <xf numFmtId="165" fontId="8" fillId="4" borderId="7" xfId="0" applyNumberFormat="1" applyFont="1" applyFill="1" applyBorder="1" applyAlignment="1">
      <alignment horizontal="center"/>
    </xf>
    <xf numFmtId="0" fontId="0" fillId="4" borderId="7" xfId="0" applyFill="1" applyBorder="1"/>
    <xf numFmtId="0" fontId="0" fillId="4" borderId="7" xfId="0" applyFill="1" applyBorder="1" applyAlignment="1">
      <alignment shrinkToFit="1"/>
    </xf>
    <xf numFmtId="0" fontId="0" fillId="4" borderId="7" xfId="0" applyFill="1" applyBorder="1" applyAlignment="1">
      <alignment horizontal="center"/>
    </xf>
    <xf numFmtId="0" fontId="0" fillId="4" borderId="7" xfId="0" applyFill="1" applyBorder="1" applyAlignment="1">
      <alignment horizontal="center" shrinkToFit="1"/>
    </xf>
    <xf numFmtId="165" fontId="0" fillId="4" borderId="7" xfId="0" applyNumberFormat="1" applyFill="1" applyBorder="1" applyAlignment="1">
      <alignment horizontal="center" shrinkToFit="1"/>
    </xf>
    <xf numFmtId="0" fontId="0" fillId="4" borderId="7" xfId="0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165" fontId="0" fillId="4" borderId="0" xfId="0" applyNumberFormat="1" applyFill="1" applyAlignment="1">
      <alignment horizontal="center"/>
    </xf>
    <xf numFmtId="0" fontId="7" fillId="3" borderId="7" xfId="1" applyFont="1" applyFill="1" applyBorder="1" applyAlignment="1">
      <alignment shrinkToFit="1"/>
    </xf>
    <xf numFmtId="0" fontId="1" fillId="6" borderId="1" xfId="0" applyFont="1" applyFill="1" applyBorder="1"/>
    <xf numFmtId="0" fontId="0" fillId="3" borderId="0" xfId="0" applyFill="1"/>
    <xf numFmtId="0" fontId="11" fillId="0" borderId="7" xfId="1" applyFont="1" applyBorder="1" applyAlignment="1">
      <alignment shrinkToFit="1"/>
    </xf>
    <xf numFmtId="0" fontId="11" fillId="0" borderId="7" xfId="1" applyFont="1" applyBorder="1" applyAlignment="1">
      <alignment horizontal="center" shrinkToFit="1"/>
    </xf>
    <xf numFmtId="164" fontId="11" fillId="0" borderId="7" xfId="1" applyNumberFormat="1" applyFont="1" applyBorder="1" applyAlignment="1">
      <alignment horizontal="center" shrinkToFit="1"/>
    </xf>
    <xf numFmtId="0" fontId="5" fillId="0" borderId="5" xfId="1" applyFont="1"/>
    <xf numFmtId="0" fontId="1" fillId="0" borderId="2" xfId="0" applyFont="1" applyBorder="1"/>
    <xf numFmtId="0" fontId="0" fillId="0" borderId="5" xfId="0" applyBorder="1"/>
    <xf numFmtId="0" fontId="2" fillId="2" borderId="7" xfId="0" applyFont="1" applyFill="1" applyBorder="1" applyAlignment="1">
      <alignment horizontal="center" vertical="center"/>
    </xf>
    <xf numFmtId="0" fontId="1" fillId="2" borderId="7" xfId="0" applyFont="1" applyFill="1" applyBorder="1"/>
    <xf numFmtId="0" fontId="1" fillId="0" borderId="6" xfId="0" applyFont="1" applyBorder="1"/>
    <xf numFmtId="0" fontId="2" fillId="0" borderId="5" xfId="0" applyFont="1" applyBorder="1"/>
    <xf numFmtId="0" fontId="0" fillId="8" borderId="7" xfId="0" applyFill="1" applyBorder="1"/>
    <xf numFmtId="0" fontId="7" fillId="0" borderId="11" xfId="1" applyFont="1" applyBorder="1" applyAlignment="1">
      <alignment shrinkToFit="1"/>
    </xf>
    <xf numFmtId="0" fontId="7" fillId="0" borderId="12" xfId="1" applyFont="1" applyBorder="1" applyAlignment="1">
      <alignment shrinkToFit="1"/>
    </xf>
    <xf numFmtId="0" fontId="1" fillId="0" borderId="4" xfId="0" applyFont="1" applyBorder="1"/>
    <xf numFmtId="0" fontId="2" fillId="2" borderId="13" xfId="0" applyFont="1" applyFill="1" applyBorder="1" applyAlignment="1">
      <alignment horizontal="center" vertical="center"/>
    </xf>
    <xf numFmtId="0" fontId="0" fillId="0" borderId="1" xfId="0" applyBorder="1"/>
    <xf numFmtId="0" fontId="2" fillId="0" borderId="13" xfId="0" applyFont="1" applyBorder="1" applyAlignment="1">
      <alignment horizontal="center" vertical="center"/>
    </xf>
    <xf numFmtId="0" fontId="1" fillId="2" borderId="2" xfId="0" applyFont="1" applyFill="1" applyBorder="1"/>
    <xf numFmtId="0" fontId="0" fillId="0" borderId="2" xfId="0" applyBorder="1"/>
    <xf numFmtId="0" fontId="0" fillId="0" borderId="4" xfId="0" applyBorder="1"/>
    <xf numFmtId="0" fontId="13" fillId="4" borderId="7" xfId="0" applyFont="1" applyFill="1" applyBorder="1"/>
    <xf numFmtId="0" fontId="13" fillId="4" borderId="7" xfId="0" applyFont="1" applyFill="1" applyBorder="1" applyAlignment="1">
      <alignment shrinkToFit="1"/>
    </xf>
    <xf numFmtId="0" fontId="13" fillId="4" borderId="7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 shrinkToFit="1"/>
    </xf>
    <xf numFmtId="165" fontId="13" fillId="4" borderId="7" xfId="0" applyNumberFormat="1" applyFont="1" applyFill="1" applyBorder="1" applyAlignment="1">
      <alignment horizontal="center" shrinkToFit="1"/>
    </xf>
    <xf numFmtId="0" fontId="13" fillId="0" borderId="0" xfId="0" applyFont="1"/>
    <xf numFmtId="0" fontId="14" fillId="0" borderId="1" xfId="0" applyFont="1" applyBorder="1"/>
    <xf numFmtId="0" fontId="0" fillId="0" borderId="3" xfId="0" applyBorder="1" applyAlignment="1">
      <alignment horizontal="center"/>
    </xf>
    <xf numFmtId="0" fontId="14" fillId="0" borderId="2" xfId="0" applyFont="1" applyBorder="1"/>
    <xf numFmtId="0" fontId="14" fillId="0" borderId="13" xfId="0" applyFont="1" applyBorder="1"/>
    <xf numFmtId="0" fontId="0" fillId="10" borderId="1" xfId="0" applyFill="1" applyBorder="1"/>
    <xf numFmtId="0" fontId="0" fillId="10" borderId="2" xfId="0" applyFill="1" applyBorder="1"/>
    <xf numFmtId="0" fontId="0" fillId="11" borderId="1" xfId="0" applyFill="1" applyBorder="1"/>
    <xf numFmtId="0" fontId="6" fillId="0" borderId="5" xfId="1" applyFont="1" applyAlignment="1">
      <alignment horizontal="center" vertical="center" shrinkToFit="1"/>
    </xf>
    <xf numFmtId="0" fontId="7" fillId="0" borderId="5" xfId="1" applyFont="1" applyAlignment="1">
      <alignment horizontal="center" shrinkToFit="1"/>
    </xf>
    <xf numFmtId="0" fontId="11" fillId="0" borderId="5" xfId="1" applyFont="1" applyAlignment="1">
      <alignment horizontal="center" shrinkToFit="1"/>
    </xf>
    <xf numFmtId="0" fontId="0" fillId="9" borderId="7" xfId="0" applyFill="1" applyBorder="1"/>
    <xf numFmtId="0" fontId="15" fillId="9" borderId="7" xfId="0" applyFont="1" applyFill="1" applyBorder="1"/>
    <xf numFmtId="0" fontId="0" fillId="8" borderId="11" xfId="0" applyFill="1" applyBorder="1"/>
    <xf numFmtId="0" fontId="1" fillId="3" borderId="4" xfId="0" applyFont="1" applyFill="1" applyBorder="1"/>
    <xf numFmtId="0" fontId="0" fillId="12" borderId="7" xfId="0" applyFill="1" applyBorder="1" applyAlignment="1">
      <alignment horizontal="center" shrinkToFit="1"/>
    </xf>
    <xf numFmtId="0" fontId="0" fillId="8" borderId="16" xfId="0" applyFill="1" applyBorder="1"/>
    <xf numFmtId="0" fontId="17" fillId="12" borderId="7" xfId="0" applyFont="1" applyFill="1" applyBorder="1" applyAlignment="1">
      <alignment horizontal="center" shrinkToFit="1"/>
    </xf>
    <xf numFmtId="0" fontId="18" fillId="4" borderId="0" xfId="0" applyFont="1" applyFill="1"/>
    <xf numFmtId="0" fontId="0" fillId="11" borderId="7" xfId="0" applyFill="1" applyBorder="1" applyAlignment="1">
      <alignment horizontal="center" shrinkToFit="1"/>
    </xf>
    <xf numFmtId="165" fontId="0" fillId="11" borderId="7" xfId="0" applyNumberFormat="1" applyFill="1" applyBorder="1" applyAlignment="1">
      <alignment horizontal="center" shrinkToFit="1"/>
    </xf>
    <xf numFmtId="0" fontId="1" fillId="2" borderId="14" xfId="0" applyFont="1" applyFill="1" applyBorder="1"/>
    <xf numFmtId="0" fontId="7" fillId="3" borderId="12" xfId="1" applyFont="1" applyFill="1" applyBorder="1" applyAlignment="1">
      <alignment shrinkToFit="1"/>
    </xf>
    <xf numFmtId="0" fontId="0" fillId="0" borderId="7" xfId="0" applyBorder="1"/>
    <xf numFmtId="0" fontId="0" fillId="3" borderId="7" xfId="0" applyFill="1" applyBorder="1"/>
    <xf numFmtId="0" fontId="1" fillId="2" borderId="13" xfId="0" applyFont="1" applyFill="1" applyBorder="1"/>
    <xf numFmtId="0" fontId="0" fillId="9" borderId="16" xfId="0" applyFill="1" applyBorder="1"/>
    <xf numFmtId="0" fontId="0" fillId="8" borderId="18" xfId="0" applyFill="1" applyBorder="1"/>
    <xf numFmtId="0" fontId="0" fillId="9" borderId="15" xfId="0" applyFill="1" applyBorder="1"/>
    <xf numFmtId="0" fontId="0" fillId="8" borderId="15" xfId="0" applyFill="1" applyBorder="1"/>
    <xf numFmtId="0" fontId="0" fillId="8" borderId="19" xfId="0" applyFill="1" applyBorder="1"/>
    <xf numFmtId="0" fontId="1" fillId="2" borderId="12" xfId="0" applyFont="1" applyFill="1" applyBorder="1"/>
    <xf numFmtId="0" fontId="1" fillId="6" borderId="12" xfId="0" applyFont="1" applyFill="1" applyBorder="1"/>
    <xf numFmtId="0" fontId="19" fillId="13" borderId="1" xfId="0" applyFont="1" applyFill="1" applyBorder="1"/>
    <xf numFmtId="165" fontId="0" fillId="12" borderId="7" xfId="0" applyNumberFormat="1" applyFill="1" applyBorder="1" applyAlignment="1">
      <alignment horizontal="center" shrinkToFit="1"/>
    </xf>
    <xf numFmtId="0" fontId="2" fillId="2" borderId="12" xfId="0" applyFont="1" applyFill="1" applyBorder="1" applyAlignment="1">
      <alignment horizontal="center" vertical="center"/>
    </xf>
    <xf numFmtId="0" fontId="13" fillId="12" borderId="7" xfId="0" applyFont="1" applyFill="1" applyBorder="1"/>
    <xf numFmtId="0" fontId="13" fillId="12" borderId="7" xfId="0" applyFont="1" applyFill="1" applyBorder="1" applyAlignment="1">
      <alignment shrinkToFit="1"/>
    </xf>
    <xf numFmtId="0" fontId="13" fillId="12" borderId="7" xfId="0" applyFont="1" applyFill="1" applyBorder="1" applyAlignment="1">
      <alignment horizontal="center" shrinkToFit="1"/>
    </xf>
    <xf numFmtId="0" fontId="13" fillId="12" borderId="0" xfId="0" applyFont="1" applyFill="1"/>
    <xf numFmtId="165" fontId="13" fillId="12" borderId="7" xfId="0" applyNumberFormat="1" applyFont="1" applyFill="1" applyBorder="1" applyAlignment="1">
      <alignment horizontal="center" shrinkToFit="1"/>
    </xf>
    <xf numFmtId="0" fontId="13" fillId="12" borderId="7" xfId="0" applyFont="1" applyFill="1" applyBorder="1" applyAlignment="1">
      <alignment horizontal="center"/>
    </xf>
    <xf numFmtId="0" fontId="18" fillId="3" borderId="7" xfId="0" applyFont="1" applyFill="1" applyBorder="1" applyAlignment="1">
      <alignment horizontal="center" shrinkToFit="1"/>
    </xf>
    <xf numFmtId="0" fontId="13" fillId="3" borderId="7" xfId="0" applyFont="1" applyFill="1" applyBorder="1" applyAlignment="1">
      <alignment horizontal="center" shrinkToFit="1"/>
    </xf>
    <xf numFmtId="0" fontId="0" fillId="3" borderId="0" xfId="0" applyFill="1" applyAlignment="1">
      <alignment horizontal="center" shrinkToFit="1"/>
    </xf>
    <xf numFmtId="0" fontId="6" fillId="0" borderId="7" xfId="0" applyFont="1" applyBorder="1" applyAlignment="1">
      <alignment horizontal="center" vertical="center" shrinkToFit="1"/>
    </xf>
    <xf numFmtId="164" fontId="6" fillId="0" borderId="7" xfId="0" applyNumberFormat="1" applyFont="1" applyBorder="1" applyAlignment="1">
      <alignment horizontal="center" vertical="center" shrinkToFit="1"/>
    </xf>
    <xf numFmtId="0" fontId="7" fillId="0" borderId="7" xfId="0" applyFont="1" applyBorder="1" applyAlignment="1">
      <alignment shrinkToFit="1"/>
    </xf>
    <xf numFmtId="0" fontId="7" fillId="0" borderId="7" xfId="0" applyFont="1" applyBorder="1" applyAlignment="1">
      <alignment horizontal="center" shrinkToFit="1"/>
    </xf>
    <xf numFmtId="164" fontId="7" fillId="0" borderId="7" xfId="0" applyNumberFormat="1" applyFont="1" applyBorder="1" applyAlignment="1">
      <alignment horizontal="center" shrinkToFit="1"/>
    </xf>
    <xf numFmtId="0" fontId="21" fillId="0" borderId="1" xfId="0" applyFont="1" applyBorder="1" applyAlignment="1">
      <alignment horizontal="center" vertical="center" wrapText="1"/>
    </xf>
    <xf numFmtId="0" fontId="1" fillId="11" borderId="1" xfId="0" applyFont="1" applyFill="1" applyBorder="1"/>
    <xf numFmtId="0" fontId="1" fillId="14" borderId="1" xfId="0" applyFont="1" applyFill="1" applyBorder="1"/>
    <xf numFmtId="0" fontId="0" fillId="14" borderId="1" xfId="0" applyFill="1" applyBorder="1"/>
    <xf numFmtId="0" fontId="0" fillId="14" borderId="1" xfId="0" quotePrefix="1" applyFill="1" applyBorder="1"/>
    <xf numFmtId="0" fontId="0" fillId="3" borderId="1" xfId="0" applyFill="1" applyBorder="1"/>
    <xf numFmtId="0" fontId="2" fillId="0" borderId="8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6" fillId="0" borderId="0" xfId="0" applyFont="1"/>
    <xf numFmtId="0" fontId="25" fillId="0" borderId="0" xfId="0" applyFont="1"/>
    <xf numFmtId="0" fontId="24" fillId="0" borderId="0" xfId="0" applyFont="1" applyAlignment="1">
      <alignment horizontal="center"/>
    </xf>
    <xf numFmtId="0" fontId="23" fillId="0" borderId="7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0" fillId="8" borderId="1" xfId="0" applyFill="1" applyBorder="1"/>
    <xf numFmtId="0" fontId="7" fillId="3" borderId="11" xfId="1" applyFont="1" applyFill="1" applyBorder="1" applyAlignment="1">
      <alignment shrinkToFit="1"/>
    </xf>
    <xf numFmtId="0" fontId="24" fillId="0" borderId="7" xfId="1" applyFont="1" applyBorder="1" applyAlignment="1">
      <alignment shrinkToFit="1"/>
    </xf>
    <xf numFmtId="0" fontId="0" fillId="8" borderId="7" xfId="0" applyFill="1" applyBorder="1" applyAlignment="1">
      <alignment horizontal="center"/>
    </xf>
    <xf numFmtId="0" fontId="24" fillId="0" borderId="7" xfId="1" applyFont="1" applyBorder="1" applyAlignment="1">
      <alignment horizontal="center" shrinkToFit="1"/>
    </xf>
    <xf numFmtId="0" fontId="7" fillId="0" borderId="12" xfId="0" applyFont="1" applyBorder="1" applyAlignment="1">
      <alignment shrinkToFit="1"/>
    </xf>
    <xf numFmtId="0" fontId="0" fillId="0" borderId="0" xfId="0" pivotButton="1"/>
    <xf numFmtId="0" fontId="0" fillId="0" borderId="0" xfId="0" applyAlignment="1">
      <alignment horizontal="left"/>
    </xf>
    <xf numFmtId="0" fontId="24" fillId="3" borderId="7" xfId="1" applyFont="1" applyFill="1" applyBorder="1" applyAlignment="1">
      <alignment shrinkToFit="1"/>
    </xf>
    <xf numFmtId="0" fontId="15" fillId="15" borderId="7" xfId="0" applyFont="1" applyFill="1" applyBorder="1"/>
    <xf numFmtId="0" fontId="0" fillId="11" borderId="2" xfId="0" applyFill="1" applyBorder="1"/>
    <xf numFmtId="0" fontId="1" fillId="3" borderId="4" xfId="0" applyFont="1" applyFill="1" applyBorder="1" applyAlignment="1">
      <alignment horizontal="center"/>
    </xf>
    <xf numFmtId="0" fontId="24" fillId="0" borderId="11" xfId="1" applyFont="1" applyBorder="1" applyAlignment="1">
      <alignment shrinkToFit="1"/>
    </xf>
    <xf numFmtId="0" fontId="24" fillId="0" borderId="12" xfId="1" applyFont="1" applyBorder="1" applyAlignment="1">
      <alignment shrinkToFi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31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0" fontId="34" fillId="0" borderId="0" xfId="0" applyFont="1"/>
    <xf numFmtId="0" fontId="34" fillId="0" borderId="0" xfId="0" applyFont="1" applyAlignment="1">
      <alignment horizontal="center"/>
    </xf>
    <xf numFmtId="20" fontId="33" fillId="0" borderId="0" xfId="0" applyNumberFormat="1" applyFont="1"/>
    <xf numFmtId="0" fontId="33" fillId="0" borderId="0" xfId="0" applyFont="1" applyAlignment="1">
      <alignment horizontal="center"/>
    </xf>
    <xf numFmtId="0" fontId="35" fillId="0" borderId="0" xfId="0" applyFont="1"/>
    <xf numFmtId="0" fontId="35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0" fillId="17" borderId="7" xfId="0" applyFill="1" applyBorder="1"/>
    <xf numFmtId="0" fontId="1" fillId="17" borderId="1" xfId="0" applyFont="1" applyFill="1" applyBorder="1"/>
    <xf numFmtId="0" fontId="1" fillId="17" borderId="13" xfId="0" applyFont="1" applyFill="1" applyBorder="1"/>
    <xf numFmtId="0" fontId="0" fillId="17" borderId="1" xfId="0" applyFill="1" applyBorder="1"/>
    <xf numFmtId="0" fontId="0" fillId="17" borderId="15" xfId="0" applyFill="1" applyBorder="1"/>
    <xf numFmtId="0" fontId="36" fillId="0" borderId="5" xfId="2" applyFont="1" applyBorder="1"/>
    <xf numFmtId="0" fontId="37" fillId="0" borderId="1" xfId="0" applyFont="1" applyBorder="1" applyAlignment="1">
      <alignment horizontal="center" vertical="center" shrinkToFit="1"/>
    </xf>
    <xf numFmtId="0" fontId="38" fillId="0" borderId="7" xfId="0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/>
    </xf>
    <xf numFmtId="0" fontId="39" fillId="0" borderId="1" xfId="0" applyFont="1" applyBorder="1"/>
    <xf numFmtId="164" fontId="38" fillId="0" borderId="7" xfId="0" applyNumberFormat="1" applyFont="1" applyBorder="1" applyAlignment="1">
      <alignment horizontal="center" vertical="center" shrinkToFit="1"/>
    </xf>
    <xf numFmtId="0" fontId="39" fillId="0" borderId="2" xfId="0" applyFont="1" applyBorder="1"/>
    <xf numFmtId="0" fontId="40" fillId="0" borderId="6" xfId="0" applyFont="1" applyBorder="1"/>
    <xf numFmtId="0" fontId="40" fillId="0" borderId="6" xfId="0" applyFont="1" applyBorder="1" applyAlignment="1">
      <alignment horizontal="center"/>
    </xf>
    <xf numFmtId="0" fontId="41" fillId="0" borderId="4" xfId="0" applyFont="1" applyBorder="1" applyAlignment="1">
      <alignment shrinkToFit="1"/>
    </xf>
    <xf numFmtId="0" fontId="42" fillId="0" borderId="1" xfId="0" applyFont="1" applyBorder="1"/>
    <xf numFmtId="0" fontId="42" fillId="0" borderId="1" xfId="0" applyFont="1" applyBorder="1" applyAlignment="1">
      <alignment horizontal="center"/>
    </xf>
    <xf numFmtId="14" fontId="42" fillId="0" borderId="1" xfId="0" applyNumberFormat="1" applyFont="1" applyBorder="1"/>
    <xf numFmtId="0" fontId="42" fillId="0" borderId="2" xfId="0" applyFont="1" applyBorder="1"/>
    <xf numFmtId="0" fontId="36" fillId="0" borderId="0" xfId="2" applyFont="1"/>
    <xf numFmtId="0" fontId="0" fillId="0" borderId="0" xfId="0" applyAlignment="1">
      <alignment horizontal="center"/>
    </xf>
    <xf numFmtId="0" fontId="36" fillId="16" borderId="5" xfId="2" applyFont="1" applyFill="1" applyBorder="1" applyAlignment="1">
      <alignment wrapText="1"/>
    </xf>
    <xf numFmtId="0" fontId="43" fillId="0" borderId="7" xfId="0" applyFont="1" applyBorder="1" applyAlignment="1">
      <alignment shrinkToFit="1"/>
    </xf>
    <xf numFmtId="0" fontId="43" fillId="0" borderId="7" xfId="0" applyFont="1" applyBorder="1" applyAlignment="1">
      <alignment horizontal="center" shrinkToFit="1"/>
    </xf>
    <xf numFmtId="14" fontId="42" fillId="0" borderId="13" xfId="0" applyNumberFormat="1" applyFont="1" applyBorder="1"/>
    <xf numFmtId="0" fontId="42" fillId="0" borderId="13" xfId="0" applyFont="1" applyBorder="1"/>
    <xf numFmtId="0" fontId="38" fillId="0" borderId="12" xfId="0" applyFont="1" applyBorder="1" applyAlignment="1">
      <alignment horizontal="center" vertical="center" shrinkToFit="1"/>
    </xf>
    <xf numFmtId="0" fontId="43" fillId="0" borderId="12" xfId="0" applyFont="1" applyBorder="1" applyAlignment="1">
      <alignment shrinkToFit="1"/>
    </xf>
    <xf numFmtId="164" fontId="43" fillId="0" borderId="7" xfId="0" applyNumberFormat="1" applyFont="1" applyBorder="1" applyAlignment="1">
      <alignment horizontal="center" shrinkToFit="1"/>
    </xf>
    <xf numFmtId="0" fontId="44" fillId="0" borderId="0" xfId="0" applyFont="1"/>
    <xf numFmtId="0" fontId="45" fillId="0" borderId="0" xfId="0" applyFont="1"/>
    <xf numFmtId="0" fontId="47" fillId="0" borderId="1" xfId="0" applyFont="1" applyBorder="1"/>
    <xf numFmtId="0" fontId="45" fillId="2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3" fillId="0" borderId="7" xfId="1" applyFont="1" applyBorder="1" applyAlignment="1">
      <alignment shrinkToFit="1"/>
    </xf>
    <xf numFmtId="0" fontId="43" fillId="7" borderId="7" xfId="1" applyFont="1" applyFill="1" applyBorder="1" applyAlignment="1">
      <alignment shrinkToFit="1"/>
    </xf>
    <xf numFmtId="0" fontId="47" fillId="0" borderId="2" xfId="0" applyFont="1" applyBorder="1"/>
    <xf numFmtId="0" fontId="43" fillId="0" borderId="1" xfId="1" applyFont="1" applyBorder="1" applyAlignment="1">
      <alignment shrinkToFit="1"/>
    </xf>
    <xf numFmtId="0" fontId="43" fillId="0" borderId="12" xfId="1" applyFont="1" applyBorder="1" applyAlignment="1">
      <alignment shrinkToFit="1"/>
    </xf>
    <xf numFmtId="0" fontId="47" fillId="2" borderId="1" xfId="0" applyFont="1" applyFill="1" applyBorder="1"/>
    <xf numFmtId="0" fontId="47" fillId="0" borderId="14" xfId="0" applyFont="1" applyBorder="1"/>
    <xf numFmtId="0" fontId="43" fillId="0" borderId="15" xfId="1" applyFont="1" applyBorder="1" applyAlignment="1">
      <alignment shrinkToFit="1"/>
    </xf>
    <xf numFmtId="0" fontId="47" fillId="3" borderId="1" xfId="0" applyFont="1" applyFill="1" applyBorder="1"/>
    <xf numFmtId="0" fontId="43" fillId="3" borderId="7" xfId="1" applyFont="1" applyFill="1" applyBorder="1" applyAlignment="1">
      <alignment shrinkToFit="1"/>
    </xf>
    <xf numFmtId="0" fontId="47" fillId="6" borderId="1" xfId="0" applyFont="1" applyFill="1" applyBorder="1"/>
    <xf numFmtId="0" fontId="43" fillId="8" borderId="7" xfId="1" applyFont="1" applyFill="1" applyBorder="1" applyAlignment="1">
      <alignment shrinkToFit="1"/>
    </xf>
    <xf numFmtId="0" fontId="45" fillId="0" borderId="5" xfId="0" applyFont="1" applyBorder="1"/>
    <xf numFmtId="0" fontId="0" fillId="9" borderId="1" xfId="0" applyFill="1" applyBorder="1"/>
    <xf numFmtId="0" fontId="25" fillId="0" borderId="5" xfId="0" applyFont="1" applyBorder="1"/>
    <xf numFmtId="0" fontId="25" fillId="0" borderId="5" xfId="0" applyFont="1" applyBorder="1" applyAlignment="1">
      <alignment horizontal="center" vertical="center"/>
    </xf>
    <xf numFmtId="0" fontId="48" fillId="0" borderId="5" xfId="0" applyFont="1" applyBorder="1"/>
    <xf numFmtId="0" fontId="49" fillId="0" borderId="1" xfId="0" applyFont="1" applyBorder="1" applyAlignment="1">
      <alignment horizontal="center"/>
    </xf>
    <xf numFmtId="0" fontId="50" fillId="0" borderId="4" xfId="0" applyFont="1" applyBorder="1" applyAlignment="1">
      <alignment shrinkToFit="1"/>
    </xf>
    <xf numFmtId="0" fontId="50" fillId="0" borderId="1" xfId="0" applyFont="1" applyBorder="1"/>
    <xf numFmtId="0" fontId="50" fillId="0" borderId="1" xfId="0" applyFont="1" applyBorder="1" applyAlignment="1">
      <alignment horizontal="center"/>
    </xf>
    <xf numFmtId="14" fontId="50" fillId="0" borderId="1" xfId="0" applyNumberFormat="1" applyFont="1" applyBorder="1"/>
    <xf numFmtId="0" fontId="50" fillId="0" borderId="2" xfId="0" applyFont="1" applyBorder="1"/>
    <xf numFmtId="0" fontId="51" fillId="0" borderId="5" xfId="2" applyFont="1" applyBorder="1"/>
    <xf numFmtId="0" fontId="51" fillId="0" borderId="0" xfId="2" applyFont="1"/>
    <xf numFmtId="0" fontId="49" fillId="0" borderId="0" xfId="0" applyFont="1" applyAlignment="1">
      <alignment horizontal="center"/>
    </xf>
    <xf numFmtId="0" fontId="49" fillId="0" borderId="0" xfId="0" applyFont="1"/>
    <xf numFmtId="0" fontId="41" fillId="0" borderId="7" xfId="0" applyFont="1" applyBorder="1" applyAlignment="1">
      <alignment shrinkToFit="1"/>
    </xf>
    <xf numFmtId="0" fontId="41" fillId="7" borderId="7" xfId="0" applyFont="1" applyFill="1" applyBorder="1" applyAlignment="1">
      <alignment shrinkToFit="1"/>
    </xf>
    <xf numFmtId="0" fontId="42" fillId="0" borderId="7" xfId="0" applyFont="1" applyBorder="1"/>
    <xf numFmtId="0" fontId="42" fillId="0" borderId="7" xfId="0" applyFont="1" applyBorder="1" applyAlignment="1">
      <alignment horizontal="center"/>
    </xf>
    <xf numFmtId="0" fontId="42" fillId="0" borderId="5" xfId="0" applyFont="1" applyBorder="1"/>
    <xf numFmtId="0" fontId="42" fillId="7" borderId="5" xfId="0" applyFont="1" applyFill="1" applyBorder="1"/>
    <xf numFmtId="0" fontId="1" fillId="17" borderId="36" xfId="0" applyFont="1" applyFill="1" applyBorder="1" applyAlignment="1">
      <alignment horizontal="left"/>
    </xf>
    <xf numFmtId="0" fontId="1" fillId="17" borderId="17" xfId="0" applyFont="1" applyFill="1" applyBorder="1" applyAlignment="1">
      <alignment horizontal="left"/>
    </xf>
    <xf numFmtId="0" fontId="40" fillId="0" borderId="0" xfId="0" applyFont="1"/>
    <xf numFmtId="0" fontId="52" fillId="0" borderId="1" xfId="0" applyFont="1" applyBorder="1" applyAlignment="1">
      <alignment horizontal="center"/>
    </xf>
    <xf numFmtId="0" fontId="53" fillId="0" borderId="4" xfId="0" applyFont="1" applyBorder="1" applyAlignment="1">
      <alignment shrinkToFit="1"/>
    </xf>
    <xf numFmtId="0" fontId="53" fillId="0" borderId="1" xfId="0" applyFont="1" applyBorder="1"/>
    <xf numFmtId="0" fontId="53" fillId="0" borderId="1" xfId="0" applyFont="1" applyBorder="1" applyAlignment="1">
      <alignment horizontal="center"/>
    </xf>
    <xf numFmtId="14" fontId="53" fillId="0" borderId="1" xfId="0" applyNumberFormat="1" applyFont="1" applyBorder="1"/>
    <xf numFmtId="0" fontId="53" fillId="0" borderId="2" xfId="0" applyFont="1" applyBorder="1"/>
    <xf numFmtId="0" fontId="54" fillId="0" borderId="5" xfId="2" applyFont="1" applyBorder="1"/>
    <xf numFmtId="0" fontId="54" fillId="0" borderId="0" xfId="2" applyFont="1"/>
    <xf numFmtId="0" fontId="52" fillId="0" borderId="0" xfId="0" applyFont="1" applyAlignment="1">
      <alignment horizontal="center"/>
    </xf>
    <xf numFmtId="0" fontId="52" fillId="0" borderId="0" xfId="0" applyFont="1"/>
    <xf numFmtId="0" fontId="52" fillId="0" borderId="5" xfId="2" applyFont="1" applyBorder="1"/>
    <xf numFmtId="0" fontId="55" fillId="8" borderId="7" xfId="0" applyFont="1" applyFill="1" applyBorder="1"/>
    <xf numFmtId="0" fontId="56" fillId="0" borderId="11" xfId="1" applyFont="1" applyBorder="1" applyAlignment="1">
      <alignment shrinkToFit="1"/>
    </xf>
    <xf numFmtId="0" fontId="56" fillId="3" borderId="11" xfId="1" applyFont="1" applyFill="1" applyBorder="1" applyAlignment="1">
      <alignment shrinkToFit="1"/>
    </xf>
    <xf numFmtId="0" fontId="56" fillId="0" borderId="1" xfId="1" applyFont="1" applyBorder="1" applyAlignment="1">
      <alignment shrinkToFit="1"/>
    </xf>
    <xf numFmtId="0" fontId="56" fillId="0" borderId="20" xfId="1" applyFont="1" applyBorder="1" applyAlignment="1">
      <alignment shrinkToFit="1"/>
    </xf>
    <xf numFmtId="0" fontId="56" fillId="0" borderId="7" xfId="1" applyFont="1" applyBorder="1" applyAlignment="1">
      <alignment shrinkToFit="1"/>
    </xf>
    <xf numFmtId="0" fontId="57" fillId="2" borderId="1" xfId="0" applyFont="1" applyFill="1" applyBorder="1"/>
    <xf numFmtId="0" fontId="56" fillId="3" borderId="1" xfId="1" applyFont="1" applyFill="1" applyBorder="1" applyAlignment="1">
      <alignment shrinkToFit="1"/>
    </xf>
    <xf numFmtId="0" fontId="53" fillId="3" borderId="4" xfId="0" applyFont="1" applyFill="1" applyBorder="1" applyAlignment="1">
      <alignment shrinkToFit="1"/>
    </xf>
    <xf numFmtId="0" fontId="53" fillId="3" borderId="1" xfId="0" applyFont="1" applyFill="1" applyBorder="1"/>
    <xf numFmtId="0" fontId="58" fillId="0" borderId="5" xfId="2" applyFont="1" applyBorder="1"/>
    <xf numFmtId="0" fontId="58" fillId="0" borderId="0" xfId="2" applyFont="1"/>
    <xf numFmtId="0" fontId="0" fillId="3" borderId="5" xfId="0" applyFill="1" applyBorder="1"/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28" fillId="3" borderId="31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8" fillId="3" borderId="32" xfId="0" applyFont="1" applyFill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/>
    </xf>
    <xf numFmtId="0" fontId="28" fillId="3" borderId="33" xfId="0" applyFont="1" applyFill="1" applyBorder="1" applyAlignment="1">
      <alignment horizontal="center" vertical="center"/>
    </xf>
    <xf numFmtId="0" fontId="28" fillId="3" borderId="34" xfId="0" applyFont="1" applyFill="1" applyBorder="1" applyAlignment="1">
      <alignment horizontal="center" vertical="center"/>
    </xf>
    <xf numFmtId="0" fontId="28" fillId="3" borderId="29" xfId="0" applyFont="1" applyFill="1" applyBorder="1" applyAlignment="1">
      <alignment horizontal="center" vertical="center"/>
    </xf>
    <xf numFmtId="0" fontId="28" fillId="3" borderId="30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0" fillId="3" borderId="10" xfId="0" applyFont="1" applyFill="1" applyBorder="1" applyAlignment="1">
      <alignment horizontal="center" vertical="center"/>
    </xf>
    <xf numFmtId="0" fontId="30" fillId="3" borderId="35" xfId="0" applyFont="1" applyFill="1" applyBorder="1" applyAlignment="1">
      <alignment horizontal="center" vertical="center"/>
    </xf>
    <xf numFmtId="0" fontId="30" fillId="3" borderId="33" xfId="0" applyFont="1" applyFill="1" applyBorder="1" applyAlignment="1">
      <alignment horizontal="center" vertical="center"/>
    </xf>
    <xf numFmtId="0" fontId="30" fillId="3" borderId="28" xfId="0" applyFont="1" applyFill="1" applyBorder="1" applyAlignment="1">
      <alignment horizontal="center" vertical="center"/>
    </xf>
    <xf numFmtId="0" fontId="30" fillId="3" borderId="30" xfId="0" applyFont="1" applyFill="1" applyBorder="1" applyAlignment="1">
      <alignment horizontal="center" vertical="center"/>
    </xf>
    <xf numFmtId="0" fontId="0" fillId="8" borderId="21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5" fillId="2" borderId="2" xfId="0" applyFont="1" applyFill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 applyAlignment="1"/>
    <xf numFmtId="0" fontId="3" fillId="0" borderId="4" xfId="0" applyFont="1" applyBorder="1" applyAlignment="1"/>
    <xf numFmtId="0" fontId="46" fillId="0" borderId="3" xfId="0" applyFont="1" applyBorder="1" applyAlignment="1"/>
    <xf numFmtId="0" fontId="46" fillId="0" borderId="4" xfId="0" applyFont="1" applyBorder="1" applyAlignment="1"/>
  </cellXfs>
  <cellStyles count="4">
    <cellStyle name="Hyperlink" xfId="2" xr:uid="{00000000-000B-0000-0000-000008000000}"/>
    <cellStyle name="Normal" xfId="0" builtinId="0"/>
    <cellStyle name="Normal 2" xfId="1" xr:uid="{62C98A6B-28BA-414B-9E1C-0D466211B108}"/>
    <cellStyle name="Normal 7" xfId="3" xr:uid="{69CC589F-88FC-49CA-ACE9-844E4355CD6F}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numFmt numFmtId="166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numFmt numFmtId="0" formatCode="General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scheme val="minor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1010000]d/m/yy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family val="1"/>
        <scheme val="none"/>
      </font>
      <alignment horizontal="general" vertical="bottom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.5"/>
        <color theme="1"/>
        <name val="Times New Roman"/>
        <family val="1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  <alignment horizontal="center" vertical="bottom" textRotation="0" indent="0" justifyLastLine="0" shrinkToFit="0" readingOrder="0"/>
    </dxf>
    <dxf>
      <font>
        <name val="Times New Roman"/>
      </font>
    </dxf>
    <dxf>
      <font>
        <name val="Times New Roman"/>
      </font>
      <alignment horizontal="center" vertical="center"/>
    </dxf>
    <dxf>
      <font>
        <name val="Times New Roman"/>
      </font>
      <alignment horizontal="center" vertical="center"/>
    </dxf>
    <dxf>
      <font>
        <name val="Times New Roman"/>
      </font>
      <alignment horizontal="center" vertical="center"/>
    </dxf>
    <dxf>
      <font>
        <name val="Times New Roman"/>
      </font>
      <alignment horizontal="center" vertical="center"/>
    </dxf>
    <dxf>
      <font>
        <name val="Times New Roman"/>
      </font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</font>
      <alignment horizontal="center" vertical="bottom" textRotation="0" wrapText="0" indent="0" justifyLastLine="0" shrinkToFit="0" readingOrder="0"/>
    </dxf>
    <dxf>
      <font>
        <name val="Times New Roman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Xem1" id="{7FE04BA3-E764-4FF4-941E-1DF6409BCE73}">
    <nsvFilter filterId="{84BAB4FF-0126-8249-8EEC-56492117596B}" ref="A1:L74" tableId="3">
      <sortRules>
        <sortRule colId="5" id="{6B9C9C20-86F7-5748-BD36-C2E3E8E6ACC2}">
          <sortCondition ref="F1:F74"/>
        </sortRule>
      </sortRules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en Thi Thanh Nga" refreshedDate="46028.67700891204" createdVersion="8" refreshedVersion="8" minRefreshableVersion="3" recordCount="419" xr:uid="{26312046-97CC-954E-8583-1D4732CB5798}">
  <cacheSource type="worksheet">
    <worksheetSource name="tbl_Lichthi"/>
  </cacheSource>
  <cacheFields count="16">
    <cacheField name="Trường/Khoa" numFmtId="0">
      <sharedItems/>
    </cacheField>
    <cacheField name="Mã lớp thi" numFmtId="0">
      <sharedItems containsSemiMixedTypes="0" containsString="0" containsNumber="1" containsInteger="1" minValue="189921" maxValue="190600"/>
    </cacheField>
    <cacheField name="Mã lớp" numFmtId="0">
      <sharedItems containsSemiMixedTypes="0" containsString="0" containsNumber="1" containsInteger="1" minValue="161112" maxValue="165690"/>
    </cacheField>
    <cacheField name="Mã học phần" numFmtId="0">
      <sharedItems count="73">
        <s v="IT1108"/>
        <s v="IT1110E"/>
        <s v="IT1110Q"/>
        <s v="IT1130"/>
        <s v="IT1140"/>
        <s v="IT2000"/>
        <s v="IT3011"/>
        <s v="IT3011E"/>
        <s v="IT3011Q"/>
        <s v="IT3030"/>
        <s v="IT3030E"/>
        <s v="IT3034"/>
        <s v="IT3070"/>
        <s v="IT3080E"/>
        <s v="IT3100"/>
        <s v="IT3100E"/>
        <s v="IT3120"/>
        <s v="IT3120E"/>
        <s v="IT3160"/>
        <s v="IT3160E"/>
        <s v="IT3170"/>
        <s v="IT3180"/>
        <s v="IT3190"/>
        <s v="IT3320E"/>
        <s v="IT4010E"/>
        <s v="IT4043E"/>
        <s v="IT4142E"/>
        <s v="IT4172"/>
        <s v="IT4210"/>
        <s v="IT4244"/>
        <s v="IT4263"/>
        <s v="IT4409"/>
        <s v="IT4441"/>
        <s v="IT4490"/>
        <s v="IT4508E"/>
        <s v="IT4593"/>
        <s v="IT4613"/>
        <s v="IT4651"/>
        <s v="IT4653"/>
        <s v="IT4663"/>
        <s v="IT4681"/>
        <s v="IT4735"/>
        <s v="IT4772"/>
        <s v="IT4785"/>
        <s v="IT4785E"/>
        <s v="IT4788"/>
        <s v="IT4815E"/>
        <s v="IT4868E"/>
        <s v="IT4930"/>
        <s v="IT4931"/>
        <s v="IT5409"/>
        <s v="IT5411"/>
        <s v="IT5412"/>
        <s v="IT5425"/>
        <s v="IT3323"/>
        <s v="IT4735E"/>
        <s v="IT4651E"/>
        <s v="IT4441E"/>
        <s v="IT4015E"/>
        <s v="IT4082"/>
        <s v="IT4015"/>
        <s v="IT3080"/>
        <s v="IT3292E"/>
        <s v="IT4082E"/>
        <s v="IT4593E"/>
        <s v="IT3420"/>
        <s v="IT3230"/>
        <s v="IT3020E"/>
        <s v="IT3170E"/>
        <s v="IT3283E"/>
        <s v="IT3280E"/>
        <s v="IT3210"/>
        <s v="IT3220"/>
      </sharedItems>
    </cacheField>
    <cacheField name="Tên học phần" numFmtId="0">
      <sharedItems/>
    </cacheField>
    <cacheField name="Ghi chú" numFmtId="0">
      <sharedItems/>
    </cacheField>
    <cacheField name="Nhóm" numFmtId="0">
      <sharedItems/>
    </cacheField>
    <cacheField name="Đợt" numFmtId="0">
      <sharedItems/>
    </cacheField>
    <cacheField name="Tuần" numFmtId="0">
      <sharedItems count="3">
        <s v="T21"/>
        <s v="T22"/>
        <s v="T20"/>
      </sharedItems>
    </cacheField>
    <cacheField name="Thứ " numFmtId="0">
      <sharedItems/>
    </cacheField>
    <cacheField name="Ngày thi" numFmtId="0">
      <sharedItems containsSemiMixedTypes="0" containsNonDate="0" containsDate="1" containsString="0" minDate="2026-01-19T00:00:00" maxDate="2026-02-09T00:00:00"/>
    </cacheField>
    <cacheField name="Kíp thi" numFmtId="0">
      <sharedItems count="10">
        <s v="Kíp 1"/>
        <s v="Kíp 2"/>
        <s v="Kíp 1-5"/>
        <s v="Kíp 3"/>
        <s v="Kíp 4"/>
        <s v="Kíp 5"/>
        <s v="Kíp 3,5"/>
        <s v="Kíp 3,4"/>
        <s v="Kíp 1,2"/>
        <s v="Kíp 4,5"/>
      </sharedItems>
    </cacheField>
    <cacheField name="SL" numFmtId="0">
      <sharedItems containsSemiMixedTypes="0" containsString="0" containsNumber="1" containsInteger="1" minValue="1" maxValue="71"/>
    </cacheField>
    <cacheField name="Phòng thi" numFmtId="0">
      <sharedItems/>
    </cacheField>
    <cacheField name="Mã lớp thi2" numFmtId="0">
      <sharedItems containsSemiMixedTypes="0" containsString="0" containsNumber="1" containsInteger="1" minValue="189921" maxValue="190600"/>
    </cacheField>
    <cacheField name="Giảng viê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9">
  <r>
    <s v="Trường Công nghệ thông tin và Truyền thông"/>
    <n v="189921"/>
    <n v="164907"/>
    <x v="0"/>
    <s v="Nhập môn lập trình"/>
    <s v="**Tài năng KHMT-K70C"/>
    <s v="CTTN-KHMT-K70"/>
    <s v="AB"/>
    <x v="0"/>
    <s v="Thứ hai"/>
    <d v="2026-01-26T00:00:00"/>
    <x v="0"/>
    <n v="50"/>
    <s v="Phòng máy_Trung tâm máy tính"/>
    <n v="189921"/>
    <s v="Nguyễn Văn Sơn"/>
  </r>
  <r>
    <s v="Trường Công nghệ thông tin và Truyền thông"/>
    <n v="189924"/>
    <n v="165278"/>
    <x v="0"/>
    <s v="Nhập môn lập trình"/>
    <s v="KH máy tính 01,02,03,04-K70C"/>
    <s v="Khoa học máy tính 04-K70"/>
    <s v="AB"/>
    <x v="0"/>
    <s v="Thứ hai"/>
    <d v="2026-01-26T00:00:00"/>
    <x v="0"/>
    <n v="40"/>
    <s v="Phòng máy_Trung tâm máy tính"/>
    <n v="189924"/>
    <s v="Nguyễn Duy Hiệp"/>
  </r>
  <r>
    <s v="Trường Công nghệ thông tin và Truyền thông"/>
    <n v="189922"/>
    <n v="165278"/>
    <x v="0"/>
    <s v="Nhập môn lập trình"/>
    <s v="KH máy tính 01,02,03,04-K70C"/>
    <s v="TC"/>
    <s v="AB"/>
    <x v="0"/>
    <s v="Thứ hai"/>
    <d v="2026-01-26T00:00:00"/>
    <x v="1"/>
    <n v="20"/>
    <s v="Phòng máy_Trung tâm máy tính"/>
    <n v="189922"/>
    <s v="Nguyễn Duy Hiệp"/>
  </r>
  <r>
    <s v="Trường Công nghệ thông tin và Truyền thông"/>
    <n v="189926"/>
    <n v="165278"/>
    <x v="0"/>
    <s v="Nhập môn lập trình"/>
    <s v="KH máy tính 01,02,03,04-K70C"/>
    <s v="Khoa học máy tính 02-K70"/>
    <s v="AB"/>
    <x v="0"/>
    <s v="Thứ hai"/>
    <d v="2026-01-26T00:00:00"/>
    <x v="0"/>
    <n v="42"/>
    <s v="Phòng máy_Trung tâm máy tính"/>
    <n v="189926"/>
    <s v="Nguyễn Duy Hiệp"/>
  </r>
  <r>
    <s v="Trường Công nghệ thông tin và Truyền thông"/>
    <n v="189923"/>
    <n v="165278"/>
    <x v="0"/>
    <s v="Nhập môn lập trình"/>
    <s v="KH máy tính 01,02,03,04-K70C"/>
    <s v="Khoa học máy tính 03-K70"/>
    <s v="AB"/>
    <x v="0"/>
    <s v="Thứ hai"/>
    <d v="2026-01-26T00:00:00"/>
    <x v="0"/>
    <n v="42"/>
    <s v="Phòng máy_Trung tâm máy tính"/>
    <n v="189923"/>
    <s v="Nguyễn Duy Hiệp"/>
  </r>
  <r>
    <s v="Trường Công nghệ thông tin và Truyền thông"/>
    <n v="189925"/>
    <n v="165278"/>
    <x v="0"/>
    <s v="Nhập môn lập trình"/>
    <s v="KH máy tính 01,02,03,04-K70C"/>
    <s v="Khoa học máy tính 01-K70"/>
    <s v="AB"/>
    <x v="0"/>
    <s v="Thứ hai"/>
    <d v="2026-01-26T00:00:00"/>
    <x v="0"/>
    <n v="40"/>
    <s v="Phòng máy_Trung tâm máy tính"/>
    <n v="189925"/>
    <s v="Nguyễn Duy Hiệp"/>
  </r>
  <r>
    <s v="Trường Công nghệ thông tin và Truyền thông"/>
    <n v="189929"/>
    <n v="165286"/>
    <x v="0"/>
    <s v="Nhập môn lập trình"/>
    <s v="KH máy tính 05,06,07 - KT máy tính 05-K70S"/>
    <s v="Khoa học máy tính 07-K70"/>
    <s v="AB"/>
    <x v="0"/>
    <s v="Thứ hai"/>
    <d v="2026-01-26T00:00:00"/>
    <x v="0"/>
    <n v="40"/>
    <s v="Phòng máy_Trung tâm máy tính"/>
    <n v="189929"/>
    <s v="Đoàn Phong Tùng"/>
  </r>
  <r>
    <s v="Trường Công nghệ thông tin và Truyền thông"/>
    <n v="189928"/>
    <n v="165286"/>
    <x v="0"/>
    <s v="Nhập môn lập trình"/>
    <s v="KH máy tính 05,06,07 - KT máy tính 05-K70S"/>
    <s v="TC"/>
    <s v="AB"/>
    <x v="0"/>
    <s v="Thứ hai"/>
    <d v="2026-01-26T00:00:00"/>
    <x v="1"/>
    <n v="12"/>
    <s v="Phòng máy_Trung tâm máy tính"/>
    <n v="189928"/>
    <s v="Đoàn Phong Tùng"/>
  </r>
  <r>
    <s v="Trường Công nghệ thông tin và Truyền thông"/>
    <n v="189927"/>
    <n v="165286"/>
    <x v="0"/>
    <s v="Nhập môn lập trình"/>
    <s v="KH máy tính 05,06,07 - KT máy tính 05-K70S"/>
    <s v="Khoa học máy tính 05-K70"/>
    <s v="AB"/>
    <x v="0"/>
    <s v="Thứ hai"/>
    <d v="2026-01-26T00:00:00"/>
    <x v="0"/>
    <n v="41"/>
    <s v="Phòng máy_Trung tâm máy tính"/>
    <n v="189927"/>
    <s v="Đoàn Phong Tùng"/>
  </r>
  <r>
    <s v="Trường Công nghệ thông tin và Truyền thông"/>
    <n v="189931"/>
    <n v="165286"/>
    <x v="0"/>
    <s v="Nhập môn lập trình"/>
    <s v="KH máy tính 05,06,07 - KT máy tính 05-K70S"/>
    <s v="Kỹ thuật máy tính 05-K70"/>
    <s v="AB"/>
    <x v="0"/>
    <s v="Thứ hai"/>
    <d v="2026-01-26T00:00:00"/>
    <x v="0"/>
    <n v="44"/>
    <s v="Phòng máy_Trung tâm máy tính"/>
    <n v="189931"/>
    <s v="Đoàn Phong Tùng"/>
  </r>
  <r>
    <s v="Trường Công nghệ thông tin và Truyền thông"/>
    <n v="189930"/>
    <n v="165286"/>
    <x v="0"/>
    <s v="Nhập môn lập trình"/>
    <s v="KH máy tính 05,06,07 - KT máy tính 05-K70S"/>
    <s v="Khoa học máy tính 06-K70"/>
    <s v="AB"/>
    <x v="0"/>
    <s v="Thứ hai"/>
    <d v="2026-01-26T00:00:00"/>
    <x v="0"/>
    <n v="41"/>
    <s v="Phòng máy_Trung tâm máy tính"/>
    <n v="189930"/>
    <s v="Đoàn Phong Tùng"/>
  </r>
  <r>
    <s v="Trường Công nghệ thông tin và Truyền thông"/>
    <n v="189935"/>
    <n v="165293"/>
    <x v="0"/>
    <s v="Nhập môn lập trình"/>
    <s v="KT máy tính 01,02,03,04-K70S"/>
    <s v="Kỹ thuật máy tính 01-K70"/>
    <s v="AB"/>
    <x v="0"/>
    <s v="Thứ hai"/>
    <d v="2026-01-26T00:00:00"/>
    <x v="1"/>
    <n v="44"/>
    <s v="Phòng máy_Trung tâm máy tính"/>
    <n v="189935"/>
    <s v="Ngô Thành Trung"/>
  </r>
  <r>
    <s v="Trường Công nghệ thông tin và Truyền thông"/>
    <n v="189934"/>
    <n v="165293"/>
    <x v="0"/>
    <s v="Nhập môn lập trình"/>
    <s v="KT máy tính 01,02,03,04-K70S"/>
    <s v="Kỹ thuật máy tính 04-K70"/>
    <s v="AB"/>
    <x v="0"/>
    <s v="Thứ hai"/>
    <d v="2026-01-26T00:00:00"/>
    <x v="1"/>
    <n v="47"/>
    <s v="Phòng máy_Trung tâm máy tính"/>
    <n v="189934"/>
    <s v="Ngô Thành Trung"/>
  </r>
  <r>
    <s v="Trường Công nghệ thông tin và Truyền thông"/>
    <n v="189933"/>
    <n v="165293"/>
    <x v="0"/>
    <s v="Nhập môn lập trình"/>
    <s v="KT máy tính 01,02,03,04-K70S"/>
    <s v="TC"/>
    <s v="AB"/>
    <x v="0"/>
    <s v="Thứ hai"/>
    <d v="2026-01-26T00:00:00"/>
    <x v="1"/>
    <n v="7"/>
    <s v="Phòng máy_Trung tâm máy tính"/>
    <n v="189933"/>
    <s v="Ngô Thành Trung"/>
  </r>
  <r>
    <s v="Trường Công nghệ thông tin và Truyền thông"/>
    <n v="189936"/>
    <n v="165293"/>
    <x v="0"/>
    <s v="Nhập môn lập trình"/>
    <s v="KT máy tính 01,02,03,04-K70S"/>
    <s v="Kỹ thuật máy tính 02-K70"/>
    <s v="AB"/>
    <x v="0"/>
    <s v="Thứ hai"/>
    <d v="2026-01-26T00:00:00"/>
    <x v="1"/>
    <n v="44"/>
    <s v="Phòng máy_Trung tâm máy tính"/>
    <n v="189936"/>
    <s v="Ngô Thành Trung"/>
  </r>
  <r>
    <s v="Trường Công nghệ thông tin và Truyền thông"/>
    <n v="189932"/>
    <n v="165293"/>
    <x v="0"/>
    <s v="Nhập môn lập trình"/>
    <s v="KT máy tính 01,02,03,04-K70S"/>
    <s v="Kỹ thuật máy tính 03-K70"/>
    <s v="AB"/>
    <x v="0"/>
    <s v="Thứ hai"/>
    <d v="2026-01-26T00:00:00"/>
    <x v="1"/>
    <n v="44"/>
    <s v="Phòng máy_Trung tâm máy tính"/>
    <n v="189932"/>
    <s v="Ngô Thành Trung"/>
  </r>
  <r>
    <s v="Trường Công nghệ thông tin và Truyền thông"/>
    <n v="189941"/>
    <n v="164951"/>
    <x v="1"/>
    <s v="Nhập môn lập trình"/>
    <s v="**CTTT KHDL 01,02-K70C"/>
    <s v="TC"/>
    <s v="AB"/>
    <x v="0"/>
    <s v="Thứ hai"/>
    <d v="2026-01-26T00:00:00"/>
    <x v="1"/>
    <n v="3"/>
    <s v="Phòng máy_Trung tâm máy tính"/>
    <n v="189941"/>
    <s v="Đàm Quang Tuấn"/>
  </r>
  <r>
    <s v="Trường Công nghệ thông tin và Truyền thông"/>
    <n v="189940"/>
    <n v="164951"/>
    <x v="1"/>
    <s v="Nhập môn lập trình"/>
    <s v="**CTTT KHDL 01,02-K70C"/>
    <s v="CTTT Data Science &amp; AI 01-K70"/>
    <s v="AB"/>
    <x v="0"/>
    <s v="Thứ hai"/>
    <d v="2026-01-26T00:00:00"/>
    <x v="1"/>
    <n v="40"/>
    <s v="Phòng máy_Trung tâm máy tính"/>
    <n v="189940"/>
    <s v="Đàm Quang Tuấn"/>
  </r>
  <r>
    <s v="Trường Công nghệ thông tin và Truyền thông"/>
    <n v="189939"/>
    <n v="164951"/>
    <x v="1"/>
    <s v="Nhập môn lập trình"/>
    <s v="**CTTT KHDL 01,02-K70C"/>
    <s v="CTTT Data Science &amp; AI 02-K70"/>
    <s v="AB"/>
    <x v="0"/>
    <s v="Thứ hai"/>
    <d v="2026-01-26T00:00:00"/>
    <x v="1"/>
    <n v="36"/>
    <s v="Phòng máy_Trung tâm máy tính"/>
    <n v="189939"/>
    <s v="Đàm Quang Tuấn"/>
  </r>
  <r>
    <s v="Trường Công nghệ thông tin và Truyền thông"/>
    <n v="189944"/>
    <n v="164952"/>
    <x v="1"/>
    <s v="Nhập môn lập trình"/>
    <s v="**CTTT KHDL 03, ATKG-K70S"/>
    <s v="CTTT An toàn không gian số 01-K70"/>
    <s v="AB"/>
    <x v="0"/>
    <s v="Thứ hai"/>
    <d v="2026-01-26T00:00:00"/>
    <x v="1"/>
    <n v="45"/>
    <s v="Phòng máy_Trung tâm máy tính"/>
    <n v="189944"/>
    <s v="Vũ Văn Thiệu"/>
  </r>
  <r>
    <s v="Trường Công nghệ thông tin và Truyền thông"/>
    <n v="189942"/>
    <n v="164952"/>
    <x v="1"/>
    <s v="Nhập môn lập trình"/>
    <s v="**CTTT KHDL 03, ATKG-K70S"/>
    <s v="TC"/>
    <s v="AB"/>
    <x v="0"/>
    <s v="Thứ hai"/>
    <d v="2026-01-26T00:00:00"/>
    <x v="1"/>
    <n v="5"/>
    <s v="Phòng máy_Trung tâm máy tính"/>
    <n v="189942"/>
    <s v="Vũ Văn Thiệu"/>
  </r>
  <r>
    <s v="Trường Công nghệ thông tin và Truyền thông"/>
    <n v="189943"/>
    <n v="164952"/>
    <x v="1"/>
    <s v="Nhập môn lập trình"/>
    <s v="**CTTT KHDL 03, ATKG-K70S"/>
    <s v="CTTT Data Science &amp; AI 03-K70"/>
    <s v="AB"/>
    <x v="0"/>
    <s v="Thứ hai"/>
    <d v="2026-01-26T00:00:00"/>
    <x v="1"/>
    <n v="40"/>
    <s v="Phòng máy_Trung tâm máy tính"/>
    <n v="189943"/>
    <s v="Vũ Văn Thiệu"/>
  </r>
  <r>
    <s v="Trường Công nghệ thông tin và Truyền thông"/>
    <n v="189946"/>
    <n v="161112"/>
    <x v="2"/>
    <s v="Tin học đại cương"/>
    <s v="[SIE]-ME-NUT-K69C"/>
    <s v="Nhóm 1"/>
    <s v="AB"/>
    <x v="1"/>
    <s v="Chủ nhật"/>
    <d v="2026-02-08T00:00:00"/>
    <x v="2"/>
    <n v="50"/>
    <s v="Phòng máy_Trung tâm máy tính"/>
    <n v="189946"/>
    <s v="Trương Thị Diệu Linh"/>
  </r>
  <r>
    <s v="Trường Công nghệ thông tin và Truyền thông"/>
    <n v="189947"/>
    <n v="161112"/>
    <x v="2"/>
    <s v="Tin học đại cương"/>
    <s v="[SIE]-ME-NUT-K69C"/>
    <s v="Nhóm 2"/>
    <s v="AB"/>
    <x v="1"/>
    <s v="Chủ nhật"/>
    <d v="2026-02-08T00:00:00"/>
    <x v="2"/>
    <n v="50"/>
    <s v="Phòng máy_Trung tâm máy tính"/>
    <n v="189947"/>
    <s v="Trương Thị Diệu Linh"/>
  </r>
  <r>
    <s v="Trường Công nghệ thông tin và Truyền thông"/>
    <n v="189945"/>
    <n v="161112"/>
    <x v="2"/>
    <s v="Tin học đại cương"/>
    <s v="[SIE]-ME-NUT-K69C"/>
    <s v="Nhóm 3"/>
    <s v="AB"/>
    <x v="1"/>
    <s v="Chủ nhật"/>
    <d v="2026-02-08T00:00:00"/>
    <x v="2"/>
    <n v="50"/>
    <s v="Phòng máy_Trung tâm máy tính"/>
    <n v="189945"/>
    <s v="Trương Thị Diệu Linh"/>
  </r>
  <r>
    <s v="Trường Công nghệ thông tin và Truyền thông"/>
    <n v="189951"/>
    <n v="162080"/>
    <x v="3"/>
    <s v="Tin học đại cương"/>
    <s v="Ngoại ngữ-K69S"/>
    <s v="Nhóm 4"/>
    <s v="AB"/>
    <x v="1"/>
    <s v="Thứ bảy"/>
    <d v="2026-02-07T00:00:00"/>
    <x v="3"/>
    <n v="54"/>
    <s v="Phòng máy_Trung tâm máy tính"/>
    <n v="189951"/>
    <s v="Bành Thị Quỳnh Mai"/>
  </r>
  <r>
    <s v="Trường Công nghệ thông tin và Truyền thông"/>
    <n v="189949"/>
    <n v="162080"/>
    <x v="3"/>
    <s v="Tin học đại cương"/>
    <s v="Ngoại ngữ-K69S"/>
    <s v="Nhóm 2"/>
    <s v="AB"/>
    <x v="1"/>
    <s v="Thứ bảy"/>
    <d v="2026-02-07T00:00:00"/>
    <x v="3"/>
    <n v="55"/>
    <s v="Phòng máy_Trung tâm máy tính"/>
    <n v="189949"/>
    <s v="Bành Thị Quỳnh Mai"/>
  </r>
  <r>
    <s v="Trường Công nghệ thông tin và Truyền thông"/>
    <n v="189950"/>
    <n v="162080"/>
    <x v="3"/>
    <s v="Tin học đại cương"/>
    <s v="Ngoại ngữ-K69S"/>
    <s v="Nhóm 1"/>
    <s v="AB"/>
    <x v="1"/>
    <s v="Thứ bảy"/>
    <d v="2026-02-07T00:00:00"/>
    <x v="3"/>
    <n v="55"/>
    <s v="Phòng máy_Trung tâm máy tính"/>
    <n v="189950"/>
    <s v="Bành Thị Quỳnh Mai"/>
  </r>
  <r>
    <s v="Trường Công nghệ thông tin và Truyền thông"/>
    <n v="189948"/>
    <n v="162080"/>
    <x v="3"/>
    <s v="Tin học đại cương"/>
    <s v="Ngoại ngữ-K69S"/>
    <s v="Nhóm 3"/>
    <s v="AB"/>
    <x v="1"/>
    <s v="Thứ bảy"/>
    <d v="2026-02-07T00:00:00"/>
    <x v="3"/>
    <n v="55"/>
    <s v="Phòng máy_Trung tâm máy tính"/>
    <n v="189948"/>
    <s v="Bành Thị Quỳnh Mai"/>
  </r>
  <r>
    <s v="Trường Công nghệ thông tin và Truyền thông"/>
    <n v="189953"/>
    <n v="162081"/>
    <x v="3"/>
    <s v="Tin học đại cương"/>
    <s v="Ngoại ngữ-K69S"/>
    <s v="Nhóm 1"/>
    <s v="AB"/>
    <x v="1"/>
    <s v="Thứ bảy"/>
    <d v="2026-02-07T00:00:00"/>
    <x v="3"/>
    <n v="51"/>
    <s v="Phòng máy_Trung tâm máy tính"/>
    <n v="189953"/>
    <s v="Ngô Quỳnh Thu"/>
  </r>
  <r>
    <s v="Trường Công nghệ thông tin và Truyền thông"/>
    <n v="189952"/>
    <n v="162081"/>
    <x v="3"/>
    <s v="Tin học đại cương"/>
    <s v="Ngoại ngữ-K69S"/>
    <s v="Nhóm 2"/>
    <s v="AB"/>
    <x v="1"/>
    <s v="Thứ bảy"/>
    <d v="2026-02-07T00:00:00"/>
    <x v="3"/>
    <n v="51"/>
    <s v="Phòng máy_Trung tâm máy tính"/>
    <n v="189952"/>
    <s v="Ngô Quỳnh Thu"/>
  </r>
  <r>
    <s v="Trường Công nghệ thông tin và Truyền thông"/>
    <n v="189954"/>
    <n v="162081"/>
    <x v="3"/>
    <s v="Tin học đại cương"/>
    <s v="Ngoại ngữ-K69S"/>
    <s v="Nhóm 3"/>
    <s v="AB"/>
    <x v="1"/>
    <s v="Thứ bảy"/>
    <d v="2026-02-07T00:00:00"/>
    <x v="3"/>
    <n v="50"/>
    <s v="Phòng máy_Trung tâm máy tính"/>
    <n v="189954"/>
    <s v="Ngô Quỳnh Thu"/>
  </r>
  <r>
    <s v="Trường Công nghệ thông tin và Truyền thông"/>
    <n v="189959"/>
    <n v="162603"/>
    <x v="4"/>
    <s v="Tin học đại cương"/>
    <s v="KT ôtô - CKĐL - Hàng không-K69S"/>
    <s v="Nhóm 4"/>
    <s v="AB"/>
    <x v="1"/>
    <s v="Chủ nhật"/>
    <d v="2026-02-08T00:00:00"/>
    <x v="2"/>
    <n v="50"/>
    <s v="Phòng máy_Trung tâm máy tính"/>
    <n v="189959"/>
    <s v="Vũ Đức Vượng"/>
  </r>
  <r>
    <s v="Trường Công nghệ thông tin và Truyền thông"/>
    <n v="189955"/>
    <n v="162603"/>
    <x v="4"/>
    <s v="Tin học đại cương"/>
    <s v="KT ôtô - CKĐL - Hàng không-K69S"/>
    <s v="Nhóm 5"/>
    <s v="AB"/>
    <x v="1"/>
    <s v="Chủ nhật"/>
    <d v="2026-02-08T00:00:00"/>
    <x v="2"/>
    <n v="49"/>
    <s v="Phòng máy_Trung tâm máy tính"/>
    <n v="189955"/>
    <s v="Vũ Đức Vượng"/>
  </r>
  <r>
    <s v="Trường Công nghệ thông tin và Truyền thông"/>
    <n v="189958"/>
    <n v="162603"/>
    <x v="4"/>
    <s v="Tin học đại cương"/>
    <s v="KT ôtô - CKĐL - Hàng không-K69S"/>
    <s v="Nhóm 2"/>
    <s v="AB"/>
    <x v="1"/>
    <s v="Chủ nhật"/>
    <d v="2026-02-08T00:00:00"/>
    <x v="2"/>
    <n v="50"/>
    <s v="Phòng máy_Trung tâm máy tính"/>
    <n v="189958"/>
    <s v="Vũ Đức Vượng"/>
  </r>
  <r>
    <s v="Trường Công nghệ thông tin và Truyền thông"/>
    <n v="189957"/>
    <n v="162603"/>
    <x v="4"/>
    <s v="Tin học đại cương"/>
    <s v="KT ôtô - CKĐL - Hàng không-K69S"/>
    <s v="Nhóm 1"/>
    <s v="AB"/>
    <x v="1"/>
    <s v="Chủ nhật"/>
    <d v="2026-02-08T00:00:00"/>
    <x v="2"/>
    <n v="50"/>
    <s v="Phòng máy_Trung tâm máy tính"/>
    <n v="189957"/>
    <s v="Vũ Đức Vượng"/>
  </r>
  <r>
    <s v="Trường Công nghệ thông tin và Truyền thông"/>
    <n v="189956"/>
    <n v="162603"/>
    <x v="4"/>
    <s v="Tin học đại cương"/>
    <s v="KT ôtô - CKĐL - Hàng không-K69S"/>
    <s v="Nhóm 3"/>
    <s v="AB"/>
    <x v="1"/>
    <s v="Chủ nhật"/>
    <d v="2026-02-08T00:00:00"/>
    <x v="2"/>
    <n v="50"/>
    <s v="Phòng máy_Trung tâm máy tính"/>
    <n v="189956"/>
    <s v="Vũ Đức Vượng"/>
  </r>
  <r>
    <s v="Trường Công nghệ thông tin và Truyền thông"/>
    <n v="189961"/>
    <n v="162604"/>
    <x v="4"/>
    <s v="Tin học đại cương"/>
    <s v="KT ôtô - CKĐL - Hàng không-K69C"/>
    <s v="Nhóm 4"/>
    <s v="AB"/>
    <x v="1"/>
    <s v="Chủ nhật"/>
    <d v="2026-02-08T00:00:00"/>
    <x v="2"/>
    <n v="50"/>
    <s v="Phòng máy_Trung tâm máy tính"/>
    <n v="189961"/>
    <s v="Đinh Thị Hà Ly"/>
  </r>
  <r>
    <s v="Trường Công nghệ thông tin và Truyền thông"/>
    <n v="189962"/>
    <n v="162604"/>
    <x v="4"/>
    <s v="Tin học đại cương"/>
    <s v="KT ôtô - CKĐL - Hàng không-K69C"/>
    <s v="Nhóm 5"/>
    <s v="AB"/>
    <x v="1"/>
    <s v="Chủ nhật"/>
    <d v="2026-02-08T00:00:00"/>
    <x v="2"/>
    <n v="49"/>
    <s v="Phòng máy_Trung tâm máy tính"/>
    <n v="189962"/>
    <s v="Đinh Thị Hà Ly"/>
  </r>
  <r>
    <s v="Trường Công nghệ thông tin và Truyền thông"/>
    <n v="189964"/>
    <n v="162604"/>
    <x v="4"/>
    <s v="Tin học đại cương"/>
    <s v="KT ôtô - CKĐL - Hàng không-K69C"/>
    <s v="Nhóm 1"/>
    <s v="AB"/>
    <x v="1"/>
    <s v="Chủ nhật"/>
    <d v="2026-02-08T00:00:00"/>
    <x v="2"/>
    <n v="50"/>
    <s v="Phòng máy_Trung tâm máy tính"/>
    <n v="189964"/>
    <s v="Đinh Thị Hà Ly"/>
  </r>
  <r>
    <s v="Trường Công nghệ thông tin và Truyền thông"/>
    <n v="189960"/>
    <n v="162604"/>
    <x v="4"/>
    <s v="Tin học đại cương"/>
    <s v="KT ôtô - CKĐL - Hàng không-K69C"/>
    <s v="Nhóm 2"/>
    <s v="AB"/>
    <x v="1"/>
    <s v="Chủ nhật"/>
    <d v="2026-02-08T00:00:00"/>
    <x v="2"/>
    <n v="50"/>
    <s v="Phòng máy_Trung tâm máy tính"/>
    <n v="189960"/>
    <s v="Đinh Thị Hà Ly"/>
  </r>
  <r>
    <s v="Trường Công nghệ thông tin và Truyền thông"/>
    <n v="189963"/>
    <n v="162604"/>
    <x v="4"/>
    <s v="Tin học đại cương"/>
    <s v="KT ôtô - CKĐL - Hàng không-K69C"/>
    <s v="Nhóm 3"/>
    <s v="AB"/>
    <x v="1"/>
    <s v="Chủ nhật"/>
    <d v="2026-02-08T00:00:00"/>
    <x v="2"/>
    <n v="50"/>
    <s v="Phòng máy_Trung tâm máy tính"/>
    <n v="189963"/>
    <s v="Đinh Thị Hà Ly"/>
  </r>
  <r>
    <s v="Trường Công nghệ thông tin và Truyền thông"/>
    <n v="189969"/>
    <n v="162755"/>
    <x v="4"/>
    <s v="Tin học đại cương"/>
    <s v="Nhiệt-K69C"/>
    <s v="Nhóm 1"/>
    <s v="AB"/>
    <x v="1"/>
    <s v="Chủ nhật"/>
    <d v="2026-02-08T00:00:00"/>
    <x v="2"/>
    <n v="50"/>
    <s v="Phòng máy_Trung tâm máy tính"/>
    <n v="189969"/>
    <s v="Ngô Thành Trung"/>
  </r>
  <r>
    <s v="Trường Công nghệ thông tin và Truyền thông"/>
    <n v="189967"/>
    <n v="162755"/>
    <x v="4"/>
    <s v="Tin học đại cương"/>
    <s v="Nhiệt-K69C"/>
    <s v="Nhóm 2"/>
    <s v="AB"/>
    <x v="1"/>
    <s v="Chủ nhật"/>
    <d v="2026-02-08T00:00:00"/>
    <x v="2"/>
    <n v="50"/>
    <s v="Phòng máy_Trung tâm máy tính"/>
    <n v="189967"/>
    <s v="Ngô Thành Trung"/>
  </r>
  <r>
    <s v="Trường Công nghệ thông tin và Truyền thông"/>
    <n v="189968"/>
    <n v="162755"/>
    <x v="4"/>
    <s v="Tin học đại cương"/>
    <s v="Nhiệt-K69C"/>
    <s v="Nhóm 4"/>
    <s v="AB"/>
    <x v="1"/>
    <s v="Chủ nhật"/>
    <d v="2026-02-08T00:00:00"/>
    <x v="2"/>
    <n v="50"/>
    <s v="Phòng máy_Trung tâm máy tính"/>
    <n v="189968"/>
    <s v="Ngô Thành Trung"/>
  </r>
  <r>
    <s v="Trường Công nghệ thông tin và Truyền thông"/>
    <n v="189966"/>
    <n v="162755"/>
    <x v="4"/>
    <s v="Tin học đại cương"/>
    <s v="Nhiệt-K69C"/>
    <s v="Nhóm 3"/>
    <s v="AB"/>
    <x v="1"/>
    <s v="Chủ nhật"/>
    <d v="2026-02-08T00:00:00"/>
    <x v="2"/>
    <n v="50"/>
    <s v="Phòng máy_Trung tâm máy tính"/>
    <n v="189966"/>
    <s v="Ngô Thành Trung"/>
  </r>
  <r>
    <s v="Trường Công nghệ thông tin và Truyền thông"/>
    <n v="189965"/>
    <n v="162755"/>
    <x v="4"/>
    <s v="Tin học đại cương"/>
    <s v="Nhiệt-K69C"/>
    <s v="Nhóm 5"/>
    <s v="AB"/>
    <x v="1"/>
    <s v="Chủ nhật"/>
    <d v="2026-02-08T00:00:00"/>
    <x v="2"/>
    <n v="50"/>
    <s v="Phòng máy_Trung tâm máy tính"/>
    <n v="189965"/>
    <s v="Ngô Thành Trung"/>
  </r>
  <r>
    <s v="Trường Công nghệ thông tin và Truyền thông"/>
    <n v="189975"/>
    <n v="163217"/>
    <x v="4"/>
    <s v="Tin học đại cương"/>
    <s v="KT Hóa học - Hóa học-K69S"/>
    <s v="Nhóm 6"/>
    <s v="AB"/>
    <x v="1"/>
    <s v="Chủ nhật"/>
    <d v="2026-02-08T00:00:00"/>
    <x v="2"/>
    <n v="48"/>
    <s v="Phòng máy_Trung tâm máy tính"/>
    <n v="189975"/>
    <s v="Đỗ Tuấn Anh"/>
  </r>
  <r>
    <s v="Trường Công nghệ thông tin và Truyền thông"/>
    <n v="189971"/>
    <n v="163217"/>
    <x v="4"/>
    <s v="Tin học đại cương"/>
    <s v="KT Hóa học - Hóa học-K69S"/>
    <s v="Nhóm 3"/>
    <s v="AB"/>
    <x v="1"/>
    <s v="Chủ nhật"/>
    <d v="2026-02-08T00:00:00"/>
    <x v="2"/>
    <n v="48"/>
    <s v="Phòng máy_Trung tâm máy tính"/>
    <n v="189971"/>
    <s v="Đỗ Tuấn Anh"/>
  </r>
  <r>
    <s v="Trường Công nghệ thông tin và Truyền thông"/>
    <n v="189972"/>
    <n v="163217"/>
    <x v="4"/>
    <s v="Tin học đại cương"/>
    <s v="KT Hóa học - Hóa học-K69S"/>
    <s v="Nhóm 4"/>
    <s v="AB"/>
    <x v="1"/>
    <s v="Chủ nhật"/>
    <d v="2026-02-08T00:00:00"/>
    <x v="2"/>
    <n v="48"/>
    <s v="Phòng máy_Trung tâm máy tính"/>
    <n v="189972"/>
    <s v="Đỗ Tuấn Anh"/>
  </r>
  <r>
    <s v="Trường Công nghệ thông tin và Truyền thông"/>
    <n v="189973"/>
    <n v="163217"/>
    <x v="4"/>
    <s v="Tin học đại cương"/>
    <s v="KT Hóa học - Hóa học-K69S"/>
    <s v="Nhóm 1"/>
    <s v="AB"/>
    <x v="1"/>
    <s v="Chủ nhật"/>
    <d v="2026-02-08T00:00:00"/>
    <x v="2"/>
    <n v="49"/>
    <s v="Phòng máy_Trung tâm máy tính"/>
    <n v="189973"/>
    <s v="Đỗ Tuấn Anh"/>
  </r>
  <r>
    <s v="Trường Công nghệ thông tin và Truyền thông"/>
    <n v="189974"/>
    <n v="163217"/>
    <x v="4"/>
    <s v="Tin học đại cương"/>
    <s v="KT Hóa học - Hóa học-K69S"/>
    <s v="Nhóm 5"/>
    <s v="AB"/>
    <x v="1"/>
    <s v="Chủ nhật"/>
    <d v="2026-02-08T00:00:00"/>
    <x v="2"/>
    <n v="48"/>
    <s v="Phòng máy_Trung tâm máy tính"/>
    <n v="189974"/>
    <s v="Đỗ Tuấn Anh"/>
  </r>
  <r>
    <s v="Trường Công nghệ thông tin và Truyền thông"/>
    <n v="189970"/>
    <n v="163217"/>
    <x v="4"/>
    <s v="Tin học đại cương"/>
    <s v="KT Hóa học - Hóa học-K69S"/>
    <s v="Nhóm 2"/>
    <s v="AB"/>
    <x v="1"/>
    <s v="Chủ nhật"/>
    <d v="2026-02-08T00:00:00"/>
    <x v="2"/>
    <n v="49"/>
    <s v="Phòng máy_Trung tâm máy tính"/>
    <n v="189970"/>
    <s v="Đỗ Tuấn Anh"/>
  </r>
  <r>
    <s v="Trường Công nghệ thông tin và Truyền thông"/>
    <n v="189980"/>
    <n v="163218"/>
    <x v="4"/>
    <s v="Tin học đại cương"/>
    <s v="KT Hóa học - Hóa học-K69S"/>
    <s v="Nhóm 4"/>
    <s v="AB"/>
    <x v="1"/>
    <s v="Chủ nhật"/>
    <d v="2026-02-08T00:00:00"/>
    <x v="2"/>
    <n v="50"/>
    <s v="Phòng máy_Trung tâm máy tính"/>
    <n v="189980"/>
    <s v="Đinh Thị Hà Ly"/>
  </r>
  <r>
    <s v="Trường Công nghệ thông tin và Truyền thông"/>
    <n v="189977"/>
    <n v="163218"/>
    <x v="4"/>
    <s v="Tin học đại cương"/>
    <s v="KT Hóa học - Hóa học-K69S"/>
    <s v="Nhóm 2"/>
    <s v="AB"/>
    <x v="1"/>
    <s v="Chủ nhật"/>
    <d v="2026-02-08T00:00:00"/>
    <x v="2"/>
    <n v="50"/>
    <s v="Phòng máy_Trung tâm máy tính"/>
    <n v="189977"/>
    <s v="Đinh Thị Hà Ly"/>
  </r>
  <r>
    <s v="Trường Công nghệ thông tin và Truyền thông"/>
    <n v="189978"/>
    <n v="163218"/>
    <x v="4"/>
    <s v="Tin học đại cương"/>
    <s v="KT Hóa học - Hóa học-K69S"/>
    <s v="Nhóm 1"/>
    <s v="AB"/>
    <x v="1"/>
    <s v="Chủ nhật"/>
    <d v="2026-02-08T00:00:00"/>
    <x v="2"/>
    <n v="51"/>
    <s v="Phòng máy_Trung tâm máy tính"/>
    <n v="189978"/>
    <s v="Đinh Thị Hà Ly"/>
  </r>
  <r>
    <s v="Trường Công nghệ thông tin và Truyền thông"/>
    <n v="189979"/>
    <n v="163218"/>
    <x v="4"/>
    <s v="Tin học đại cương"/>
    <s v="KT Hóa học - Hóa học-K69S"/>
    <s v="Nhóm 5"/>
    <s v="AB"/>
    <x v="1"/>
    <s v="Chủ nhật"/>
    <d v="2026-02-08T00:00:00"/>
    <x v="2"/>
    <n v="50"/>
    <s v="Phòng máy_Trung tâm máy tính"/>
    <n v="189979"/>
    <s v="Đinh Thị Hà Ly"/>
  </r>
  <r>
    <s v="Trường Công nghệ thông tin và Truyền thông"/>
    <n v="189976"/>
    <n v="163218"/>
    <x v="4"/>
    <s v="Tin học đại cương"/>
    <s v="KT Hóa học - Hóa học-K69S"/>
    <s v="Nhóm 3"/>
    <s v="AB"/>
    <x v="1"/>
    <s v="Chủ nhật"/>
    <d v="2026-02-08T00:00:00"/>
    <x v="2"/>
    <n v="50"/>
    <s v="Phòng máy_Trung tâm máy tính"/>
    <n v="189976"/>
    <s v="Đinh Thị Hà Ly"/>
  </r>
  <r>
    <s v="Trường Công nghệ thông tin và Truyền thông"/>
    <n v="189982"/>
    <n v="163219"/>
    <x v="4"/>
    <s v="Tin học đại cương"/>
    <s v="KT Hóa học - Hóa học-K69S"/>
    <s v="Nhóm 2"/>
    <s v="AB"/>
    <x v="1"/>
    <s v="Chủ nhật"/>
    <d v="2026-02-08T00:00:00"/>
    <x v="2"/>
    <n v="49"/>
    <s v="Phòng máy_Trung tâm máy tính"/>
    <n v="189982"/>
    <s v="Trần Quang Đức"/>
  </r>
  <r>
    <s v="Trường Công nghệ thông tin và Truyền thông"/>
    <n v="189986"/>
    <n v="163219"/>
    <x v="4"/>
    <s v="Tin học đại cương"/>
    <s v="KT Hóa học - Hóa học-K69S"/>
    <s v="Nhóm 3"/>
    <s v="AB"/>
    <x v="1"/>
    <s v="Chủ nhật"/>
    <d v="2026-02-08T00:00:00"/>
    <x v="2"/>
    <n v="48"/>
    <s v="Phòng máy_Trung tâm máy tính"/>
    <n v="189986"/>
    <s v="Trần Quang Đức"/>
  </r>
  <r>
    <s v="Trường Công nghệ thông tin và Truyền thông"/>
    <n v="189983"/>
    <n v="163219"/>
    <x v="4"/>
    <s v="Tin học đại cương"/>
    <s v="KT Hóa học - Hóa học-K69S"/>
    <s v="Nhóm 4"/>
    <s v="AB"/>
    <x v="1"/>
    <s v="Chủ nhật"/>
    <d v="2026-02-08T00:00:00"/>
    <x v="2"/>
    <n v="48"/>
    <s v="Phòng máy_Trung tâm máy tính"/>
    <n v="189983"/>
    <s v="Trần Quang Đức"/>
  </r>
  <r>
    <s v="Trường Công nghệ thông tin và Truyền thông"/>
    <n v="189985"/>
    <n v="163219"/>
    <x v="4"/>
    <s v="Tin học đại cương"/>
    <s v="KT Hóa học - Hóa học-K69S"/>
    <s v="Nhóm 5"/>
    <s v="AB"/>
    <x v="1"/>
    <s v="Chủ nhật"/>
    <d v="2026-02-08T00:00:00"/>
    <x v="2"/>
    <n v="48"/>
    <s v="Phòng máy_Trung tâm máy tính"/>
    <n v="189985"/>
    <s v="Trần Quang Đức"/>
  </r>
  <r>
    <s v="Trường Công nghệ thông tin và Truyền thông"/>
    <n v="189981"/>
    <n v="163219"/>
    <x v="4"/>
    <s v="Tin học đại cương"/>
    <s v="KT Hóa học - Hóa học-K69S"/>
    <s v="Nhóm 1"/>
    <s v="AB"/>
    <x v="1"/>
    <s v="Chủ nhật"/>
    <d v="2026-02-08T00:00:00"/>
    <x v="2"/>
    <n v="49"/>
    <s v="Phòng máy_Trung tâm máy tính"/>
    <n v="189981"/>
    <s v="Trần Quang Đức"/>
  </r>
  <r>
    <s v="Trường Công nghệ thông tin và Truyền thông"/>
    <n v="189984"/>
    <n v="163219"/>
    <x v="4"/>
    <s v="Tin học đại cương"/>
    <s v="KT Hóa học - Hóa học-K69S"/>
    <s v="Nhóm 6"/>
    <s v="AB"/>
    <x v="1"/>
    <s v="Chủ nhật"/>
    <d v="2026-02-08T00:00:00"/>
    <x v="2"/>
    <n v="48"/>
    <s v="Phòng máy_Trung tâm máy tính"/>
    <n v="189984"/>
    <s v="Trần Quang Đức"/>
  </r>
  <r>
    <s v="Trường Công nghệ thông tin và Truyền thông"/>
    <n v="189988"/>
    <n v="163418"/>
    <x v="4"/>
    <s v="Tin học đại cương"/>
    <s v="Sinh học - Thực phẩm-K69C"/>
    <s v="Nhóm 1"/>
    <s v="AB"/>
    <x v="1"/>
    <s v="Chủ nhật"/>
    <d v="2026-02-08T00:00:00"/>
    <x v="2"/>
    <n v="50"/>
    <s v="Phòng máy_Trung tâm máy tính"/>
    <n v="189988"/>
    <s v="Vũ Văn Thiệu"/>
  </r>
  <r>
    <s v="Trường Công nghệ thông tin và Truyền thông"/>
    <n v="189989"/>
    <n v="163418"/>
    <x v="4"/>
    <s v="Tin học đại cương"/>
    <s v="Sinh học - Thực phẩm-K69C"/>
    <s v="Nhóm 2"/>
    <s v="AB"/>
    <x v="1"/>
    <s v="Chủ nhật"/>
    <d v="2026-02-08T00:00:00"/>
    <x v="2"/>
    <n v="50"/>
    <s v="Phòng máy_Trung tâm máy tính"/>
    <n v="189989"/>
    <s v="Vũ Văn Thiệu"/>
  </r>
  <r>
    <s v="Trường Công nghệ thông tin và Truyền thông"/>
    <n v="189987"/>
    <n v="163418"/>
    <x v="4"/>
    <s v="Tin học đại cương"/>
    <s v="Sinh học - Thực phẩm-K69C"/>
    <s v="Nhóm 3"/>
    <s v="AB"/>
    <x v="1"/>
    <s v="Chủ nhật"/>
    <d v="2026-02-08T00:00:00"/>
    <x v="2"/>
    <n v="50"/>
    <s v="Phòng máy_Trung tâm máy tính"/>
    <n v="189987"/>
    <s v="Vũ Văn Thiệu"/>
  </r>
  <r>
    <s v="Trường Công nghệ thông tin và Truyền thông"/>
    <n v="189990"/>
    <n v="163418"/>
    <x v="4"/>
    <s v="Tin học đại cương"/>
    <s v="Sinh học - Thực phẩm-K69C"/>
    <s v="Nhóm 4"/>
    <s v="AB"/>
    <x v="1"/>
    <s v="Chủ nhật"/>
    <d v="2026-02-08T00:00:00"/>
    <x v="2"/>
    <n v="50"/>
    <s v="Phòng máy_Trung tâm máy tính"/>
    <n v="189990"/>
    <s v="Vũ Văn Thiệu"/>
  </r>
  <r>
    <s v="Trường Công nghệ thông tin và Truyền thông"/>
    <n v="189991"/>
    <n v="163418"/>
    <x v="4"/>
    <s v="Tin học đại cương"/>
    <s v="Sinh học - Thực phẩm-K69C"/>
    <s v="Nhóm 6"/>
    <s v="AB"/>
    <x v="1"/>
    <s v="Chủ nhật"/>
    <d v="2026-02-08T00:00:00"/>
    <x v="2"/>
    <n v="50"/>
    <s v="Phòng máy_Trung tâm máy tính"/>
    <n v="189991"/>
    <s v="Vũ Văn Thiệu"/>
  </r>
  <r>
    <s v="Trường Công nghệ thông tin và Truyền thông"/>
    <n v="189993"/>
    <n v="163418"/>
    <x v="4"/>
    <s v="Tin học đại cương"/>
    <s v="Sinh học - Thực phẩm-K69C"/>
    <s v="Nhóm 5"/>
    <s v="AB"/>
    <x v="1"/>
    <s v="Chủ nhật"/>
    <d v="2026-02-08T00:00:00"/>
    <x v="2"/>
    <n v="50"/>
    <s v="Phòng máy_Trung tâm máy tính"/>
    <n v="189993"/>
    <s v="Vũ Văn Thiệu"/>
  </r>
  <r>
    <s v="Trường Công nghệ thông tin và Truyền thông"/>
    <n v="189992"/>
    <n v="163418"/>
    <x v="4"/>
    <s v="Tin học đại cương"/>
    <s v="Sinh học - Thực phẩm-K69C"/>
    <s v="Nhóm 7"/>
    <s v="AB"/>
    <x v="1"/>
    <s v="Chủ nhật"/>
    <d v="2026-02-08T00:00:00"/>
    <x v="2"/>
    <n v="50"/>
    <s v="Phòng máy_Trung tâm máy tính"/>
    <n v="189992"/>
    <s v="Vũ Văn Thiệu"/>
  </r>
  <r>
    <s v="Trường Công nghệ thông tin và Truyền thông"/>
    <n v="189995"/>
    <n v="163419"/>
    <x v="4"/>
    <s v="Tin học đại cương"/>
    <s v="Sinh học - Thực phẩm-K69C"/>
    <s v="Nhóm 2"/>
    <s v="AB"/>
    <x v="1"/>
    <s v="Chủ nhật"/>
    <d v="2026-02-08T00:00:00"/>
    <x v="2"/>
    <n v="57"/>
    <s v="Phòng máy_Trung tâm máy tính"/>
    <n v="189995"/>
    <s v="Nguyễn Bá Ngọc"/>
  </r>
  <r>
    <s v="Trường Công nghệ thông tin và Truyền thông"/>
    <n v="189996"/>
    <n v="163419"/>
    <x v="4"/>
    <s v="Tin học đại cương"/>
    <s v="Sinh học - Thực phẩm-K69C"/>
    <s v="Nhóm 1"/>
    <s v="AB"/>
    <x v="1"/>
    <s v="Chủ nhật"/>
    <d v="2026-02-08T00:00:00"/>
    <x v="2"/>
    <n v="57"/>
    <s v="Phòng máy_Trung tâm máy tính"/>
    <n v="189996"/>
    <s v="Nguyễn Bá Ngọc"/>
  </r>
  <r>
    <s v="Trường Công nghệ thông tin và Truyền thông"/>
    <n v="189994"/>
    <n v="163419"/>
    <x v="4"/>
    <s v="Tin học đại cương"/>
    <s v="Sinh học - Thực phẩm-K69C"/>
    <s v="Nhóm 3"/>
    <s v="AB"/>
    <x v="1"/>
    <s v="Chủ nhật"/>
    <d v="2026-02-08T00:00:00"/>
    <x v="2"/>
    <n v="57"/>
    <s v="Phòng máy_Trung tâm máy tính"/>
    <n v="189994"/>
    <s v="Nguyễn Bá Ngọc"/>
  </r>
  <r>
    <s v="Trường Công nghệ thông tin và Truyền thông"/>
    <n v="189997"/>
    <n v="163419"/>
    <x v="4"/>
    <s v="Tin học đại cương"/>
    <s v="Sinh học - Thực phẩm-K69C"/>
    <s v="Nhóm 4"/>
    <s v="AB"/>
    <x v="1"/>
    <s v="Chủ nhật"/>
    <d v="2026-02-08T00:00:00"/>
    <x v="2"/>
    <n v="57"/>
    <s v="Phòng máy_Trung tâm máy tính"/>
    <n v="189997"/>
    <s v="Nguyễn Bá Ngọc"/>
  </r>
  <r>
    <s v="Trường Công nghệ thông tin và Truyền thông"/>
    <n v="190001"/>
    <n v="163526"/>
    <x v="4"/>
    <s v="Tin học đại cương"/>
    <s v="Môi trường - QLTN Môi trường-K69S"/>
    <s v="Nhóm 2"/>
    <s v="AB"/>
    <x v="1"/>
    <s v="Chủ nhật"/>
    <d v="2026-02-08T00:00:00"/>
    <x v="2"/>
    <n v="50"/>
    <s v="Phòng máy_Trung tâm máy tính"/>
    <n v="190001"/>
    <s v="Trịnh Anh Phúc"/>
  </r>
  <r>
    <s v="Trường Công nghệ thông tin và Truyền thông"/>
    <n v="189999"/>
    <n v="163526"/>
    <x v="4"/>
    <s v="Tin học đại cương"/>
    <s v="Môi trường - QLTN Môi trường-K69S"/>
    <s v="Nhóm 5"/>
    <s v="AB"/>
    <x v="1"/>
    <s v="Chủ nhật"/>
    <d v="2026-02-08T00:00:00"/>
    <x v="2"/>
    <n v="50"/>
    <s v="Phòng máy_Trung tâm máy tính"/>
    <n v="189999"/>
    <s v="Trịnh Anh Phúc"/>
  </r>
  <r>
    <s v="Trường Công nghệ thông tin và Truyền thông"/>
    <n v="189998"/>
    <n v="163526"/>
    <x v="4"/>
    <s v="Tin học đại cương"/>
    <s v="Môi trường - QLTN Môi trường-K69S"/>
    <s v="Nhóm 1"/>
    <s v="AB"/>
    <x v="1"/>
    <s v="Chủ nhật"/>
    <d v="2026-02-08T00:00:00"/>
    <x v="2"/>
    <n v="50"/>
    <s v="Phòng máy_Trung tâm máy tính"/>
    <n v="189998"/>
    <s v="Trịnh Anh Phúc"/>
  </r>
  <r>
    <s v="Trường Công nghệ thông tin và Truyền thông"/>
    <n v="190002"/>
    <n v="163526"/>
    <x v="4"/>
    <s v="Tin học đại cương"/>
    <s v="Môi trường - QLTN Môi trường-K69S"/>
    <s v="Nhóm 4"/>
    <s v="AB"/>
    <x v="1"/>
    <s v="Chủ nhật"/>
    <d v="2026-02-08T00:00:00"/>
    <x v="2"/>
    <n v="50"/>
    <s v="Phòng máy_Trung tâm máy tính"/>
    <n v="190002"/>
    <s v="Trịnh Anh Phúc"/>
  </r>
  <r>
    <s v="Trường Công nghệ thông tin và Truyền thông"/>
    <n v="190000"/>
    <n v="163526"/>
    <x v="4"/>
    <s v="Tin học đại cương"/>
    <s v="Môi trường - QLTN Môi trường-K69S"/>
    <s v="Nhóm 3"/>
    <s v="AB"/>
    <x v="1"/>
    <s v="Chủ nhật"/>
    <d v="2026-02-08T00:00:00"/>
    <x v="2"/>
    <n v="50"/>
    <s v="Phòng máy_Trung tâm máy tính"/>
    <n v="190000"/>
    <s v="Trịnh Anh Phúc"/>
  </r>
  <r>
    <s v="Trường Công nghệ thông tin và Truyền thông"/>
    <n v="190005"/>
    <n v="163787"/>
    <x v="4"/>
    <s v="Tin học đại cương"/>
    <s v="Vật liệu - Polyme - KT in-K69C"/>
    <s v="Nhóm 2"/>
    <s v="AB"/>
    <x v="1"/>
    <s v="Chủ nhật"/>
    <d v="2026-02-08T00:00:00"/>
    <x v="2"/>
    <n v="50"/>
    <s v="Phòng máy_Trung tâm máy tính"/>
    <n v="190005"/>
    <s v="Ban Hà Bằng"/>
  </r>
  <r>
    <s v="Trường Công nghệ thông tin và Truyền thông"/>
    <n v="190006"/>
    <n v="163787"/>
    <x v="4"/>
    <s v="Tin học đại cương"/>
    <s v="Vật liệu - Polyme - KT in-K69C"/>
    <s v="Nhóm 4"/>
    <s v="AB"/>
    <x v="1"/>
    <s v="Chủ nhật"/>
    <d v="2026-02-08T00:00:00"/>
    <x v="2"/>
    <n v="49"/>
    <s v="Phòng máy_Trung tâm máy tính"/>
    <n v="190006"/>
    <s v="Ban Hà Bằng"/>
  </r>
  <r>
    <s v="Trường Công nghệ thông tin và Truyền thông"/>
    <n v="190004"/>
    <n v="163787"/>
    <x v="4"/>
    <s v="Tin học đại cương"/>
    <s v="Vật liệu - Polyme - KT in-K69C"/>
    <s v="Nhóm 1"/>
    <s v="AB"/>
    <x v="1"/>
    <s v="Chủ nhật"/>
    <d v="2026-02-08T00:00:00"/>
    <x v="2"/>
    <n v="50"/>
    <s v="Phòng máy_Trung tâm máy tính"/>
    <n v="190004"/>
    <s v="Ban Hà Bằng"/>
  </r>
  <r>
    <s v="Trường Công nghệ thông tin và Truyền thông"/>
    <n v="190003"/>
    <n v="163787"/>
    <x v="4"/>
    <s v="Tin học đại cương"/>
    <s v="Vật liệu - Polyme - KT in-K69C"/>
    <s v="Nhóm 3"/>
    <s v="AB"/>
    <x v="1"/>
    <s v="Chủ nhật"/>
    <d v="2026-02-08T00:00:00"/>
    <x v="2"/>
    <n v="50"/>
    <s v="Phòng máy_Trung tâm máy tính"/>
    <n v="190003"/>
    <s v="Ban Hà Bằng"/>
  </r>
  <r>
    <s v="Trường Công nghệ thông tin và Truyền thông"/>
    <n v="190007"/>
    <n v="163788"/>
    <x v="4"/>
    <s v="Tin học đại cương"/>
    <s v="Vật liệu - Polyme - KT in-K69C"/>
    <s v="Nhóm 2"/>
    <s v="AB"/>
    <x v="1"/>
    <s v="Chủ nhật"/>
    <d v="2026-02-08T00:00:00"/>
    <x v="2"/>
    <n v="50"/>
    <s v="Phòng máy_Trung tâm máy tính"/>
    <n v="190007"/>
    <s v="Đỗ Tiến Dũng"/>
  </r>
  <r>
    <s v="Trường Công nghệ thông tin và Truyền thông"/>
    <n v="190010"/>
    <n v="163788"/>
    <x v="4"/>
    <s v="Tin học đại cương"/>
    <s v="Vật liệu - Polyme - KT in-K69C"/>
    <s v="Nhóm 4"/>
    <s v="AB"/>
    <x v="1"/>
    <s v="Chủ nhật"/>
    <d v="2026-02-08T00:00:00"/>
    <x v="2"/>
    <n v="50"/>
    <s v="Phòng máy_Trung tâm máy tính"/>
    <n v="190010"/>
    <s v="Đỗ Tiến Dũng"/>
  </r>
  <r>
    <s v="Trường Công nghệ thông tin và Truyền thông"/>
    <n v="190009"/>
    <n v="163788"/>
    <x v="4"/>
    <s v="Tin học đại cương"/>
    <s v="Vật liệu - Polyme - KT in-K69C"/>
    <s v="Nhóm 1"/>
    <s v="AB"/>
    <x v="1"/>
    <s v="Chủ nhật"/>
    <d v="2026-02-08T00:00:00"/>
    <x v="2"/>
    <n v="50"/>
    <s v="Phòng máy_Trung tâm máy tính"/>
    <n v="190009"/>
    <s v="Đỗ Tiến Dũng"/>
  </r>
  <r>
    <s v="Trường Công nghệ thông tin và Truyền thông"/>
    <n v="190008"/>
    <n v="163788"/>
    <x v="4"/>
    <s v="Tin học đại cương"/>
    <s v="Vật liệu - Polyme - KT in-K69C"/>
    <s v="Nhóm 3"/>
    <s v="AB"/>
    <x v="1"/>
    <s v="Chủ nhật"/>
    <d v="2026-02-08T00:00:00"/>
    <x v="2"/>
    <n v="50"/>
    <s v="Phòng máy_Trung tâm máy tính"/>
    <n v="190008"/>
    <s v="Đỗ Tiến Dũng"/>
  </r>
  <r>
    <s v="Trường Công nghệ thông tin và Truyền thông"/>
    <n v="190013"/>
    <n v="163925"/>
    <x v="4"/>
    <s v="Tin học đại cương"/>
    <s v="Dệt may-K69S"/>
    <s v="Nhóm 3"/>
    <s v="AB"/>
    <x v="1"/>
    <s v="Chủ nhật"/>
    <d v="2026-02-08T00:00:00"/>
    <x v="2"/>
    <n v="50"/>
    <s v="Phòng máy_Trung tâm máy tính"/>
    <n v="190013"/>
    <s v="Vũ Đức Vượng"/>
  </r>
  <r>
    <s v="Trường Công nghệ thông tin và Truyền thông"/>
    <n v="190012"/>
    <n v="163925"/>
    <x v="4"/>
    <s v="Tin học đại cương"/>
    <s v="Dệt may-K69S"/>
    <s v="Nhóm 2"/>
    <s v="AB"/>
    <x v="1"/>
    <s v="Chủ nhật"/>
    <d v="2026-02-08T00:00:00"/>
    <x v="2"/>
    <n v="50"/>
    <s v="Phòng máy_Trung tâm máy tính"/>
    <n v="190012"/>
    <s v="Vũ Đức Vượng"/>
  </r>
  <r>
    <s v="Trường Công nghệ thông tin và Truyền thông"/>
    <n v="190011"/>
    <n v="163925"/>
    <x v="4"/>
    <s v="Tin học đại cương"/>
    <s v="Dệt may-K69S"/>
    <s v="Nhóm 1"/>
    <s v="AB"/>
    <x v="1"/>
    <s v="Chủ nhật"/>
    <d v="2026-02-08T00:00:00"/>
    <x v="2"/>
    <n v="50"/>
    <s v="Phòng máy_Trung tâm máy tính"/>
    <n v="190011"/>
    <s v="Vũ Đức Vượng"/>
  </r>
  <r>
    <s v="Trường Công nghệ thông tin và Truyền thông"/>
    <n v="190014"/>
    <n v="163925"/>
    <x v="4"/>
    <s v="Tin học đại cương"/>
    <s v="Dệt may-K69S"/>
    <s v="Nhóm 5"/>
    <s v="AB"/>
    <x v="1"/>
    <s v="Chủ nhật"/>
    <d v="2026-02-08T00:00:00"/>
    <x v="2"/>
    <n v="50"/>
    <s v="Phòng máy_Trung tâm máy tính"/>
    <n v="190014"/>
    <s v="Vũ Đức Vượng"/>
  </r>
  <r>
    <s v="Trường Công nghệ thông tin và Truyền thông"/>
    <n v="190015"/>
    <n v="163925"/>
    <x v="4"/>
    <s v="Tin học đại cương"/>
    <s v="Dệt may-K69S"/>
    <s v="Nhóm 4"/>
    <s v="AB"/>
    <x v="1"/>
    <s v="Chủ nhật"/>
    <d v="2026-02-08T00:00:00"/>
    <x v="2"/>
    <n v="50"/>
    <s v="Phòng máy_Trung tâm máy tính"/>
    <n v="190015"/>
    <s v="Vũ Đức Vượng"/>
  </r>
  <r>
    <s v="Trường Công nghệ thông tin và Truyền thông"/>
    <n v="190032"/>
    <n v="165279"/>
    <x v="5"/>
    <s v="Nhập môn CNTT và TT"/>
    <s v="KH máy tính - KT máy tính- Tài năng KHMT-K70C"/>
    <s v="TC"/>
    <s v="AB"/>
    <x v="1"/>
    <s v="Thứ tư"/>
    <d v="2026-02-04T00:00:00"/>
    <x v="0"/>
    <n v="5"/>
    <s v="Phòng máy_Trung tâm máy tính"/>
    <n v="190032"/>
    <s v="Tạ Hải Tùng"/>
  </r>
  <r>
    <s v="Trường Công nghệ thông tin và Truyền thông"/>
    <n v="190033"/>
    <n v="165279"/>
    <x v="5"/>
    <s v="Nhập môn CNTT và TT"/>
    <s v="KH máy tính - KT máy tính- Tài năng KHMT-K70C"/>
    <s v="Kỹ thuật máy tính 03-K70"/>
    <s v="AB"/>
    <x v="1"/>
    <s v="Thứ tư"/>
    <d v="2026-02-04T00:00:00"/>
    <x v="0"/>
    <n v="44"/>
    <s v="Phòng máy_Trung tâm máy tính"/>
    <n v="190033"/>
    <s v="Tạ Hải Tùng"/>
  </r>
  <r>
    <s v="Trường Công nghệ thông tin và Truyền thông"/>
    <n v="190035"/>
    <n v="165279"/>
    <x v="5"/>
    <s v="Nhập môn CNTT và TT"/>
    <s v="KH máy tính - KT máy tính- Tài năng KHMT-K70C"/>
    <s v="Kỹ thuật máy tính 04-K70"/>
    <s v="AB"/>
    <x v="1"/>
    <s v="Thứ tư"/>
    <d v="2026-02-04T00:00:00"/>
    <x v="0"/>
    <n v="47"/>
    <s v="Phòng máy_Trung tâm máy tính"/>
    <n v="190035"/>
    <s v="Tạ Hải Tùng"/>
  </r>
  <r>
    <s v="Trường Công nghệ thông tin và Truyền thông"/>
    <n v="190034"/>
    <n v="165279"/>
    <x v="5"/>
    <s v="Nhập môn CNTT và TT"/>
    <s v="KH máy tính - KT máy tính- Tài năng KHMT-K70C"/>
    <s v="Khoa học máy tính 06-K70"/>
    <s v="AB"/>
    <x v="1"/>
    <s v="Thứ tư"/>
    <d v="2026-02-04T00:00:00"/>
    <x v="0"/>
    <n v="41"/>
    <s v="Phòng máy_Trung tâm máy tính"/>
    <n v="190034"/>
    <s v="Tạ Hải Tùng"/>
  </r>
  <r>
    <s v="Trường Công nghệ thông tin và Truyền thông"/>
    <n v="190036"/>
    <n v="165279"/>
    <x v="5"/>
    <s v="Nhập môn CNTT và TT"/>
    <s v="KH máy tính - KT máy tính- Tài năng KHMT-K70C"/>
    <s v="CTTN-KHMT-K70"/>
    <s v="AB"/>
    <x v="1"/>
    <s v="Thứ tư"/>
    <d v="2026-02-04T00:00:00"/>
    <x v="0"/>
    <n v="50"/>
    <s v="Phòng máy_Trung tâm máy tính"/>
    <n v="190036"/>
    <s v="Tạ Hải Tùng"/>
  </r>
  <r>
    <s v="Trường Công nghệ thông tin và Truyền thông"/>
    <n v="190037"/>
    <n v="165279"/>
    <x v="5"/>
    <s v="Nhập môn CNTT và TT"/>
    <s v="KH máy tính - KT máy tính- Tài năng KHMT-K70C"/>
    <s v="Khoa học máy tính 05-K70"/>
    <s v="AB"/>
    <x v="1"/>
    <s v="Thứ tư"/>
    <d v="2026-02-04T00:00:00"/>
    <x v="0"/>
    <n v="41"/>
    <s v="Phòng máy_Trung tâm máy tính"/>
    <n v="190037"/>
    <s v="Tạ Hải Tùng"/>
  </r>
  <r>
    <s v="Trường Công nghệ thông tin và Truyền thông"/>
    <n v="190029"/>
    <n v="165279"/>
    <x v="5"/>
    <s v="Nhập môn CNTT và TT"/>
    <s v="KH máy tính - KT máy tính- Tài năng KHMT-K70C"/>
    <s v="Kỹ thuật máy tính 05-K70"/>
    <s v="AB"/>
    <x v="1"/>
    <s v="Thứ tư"/>
    <d v="2026-02-04T00:00:00"/>
    <x v="0"/>
    <n v="44"/>
    <s v="Phòng máy_Trung tâm máy tính"/>
    <n v="190029"/>
    <s v="Tạ Hải Tùng"/>
  </r>
  <r>
    <s v="Trường Công nghệ thông tin và Truyền thông"/>
    <n v="190030"/>
    <n v="165279"/>
    <x v="5"/>
    <s v="Nhập môn CNTT và TT"/>
    <s v="KH máy tính - KT máy tính- Tài năng KHMT-K70C"/>
    <s v="Khoa học máy tính 02-K70"/>
    <s v="AB"/>
    <x v="1"/>
    <s v="Thứ tư"/>
    <d v="2026-02-04T00:00:00"/>
    <x v="0"/>
    <n v="42"/>
    <s v="Phòng máy_Trung tâm máy tính"/>
    <n v="190030"/>
    <s v="Tạ Hải Tùng"/>
  </r>
  <r>
    <s v="Trường Công nghệ thông tin và Truyền thông"/>
    <n v="190039"/>
    <n v="165279"/>
    <x v="5"/>
    <s v="Nhập môn CNTT và TT"/>
    <s v="KH máy tính - KT máy tính- Tài năng KHMT-K70C"/>
    <s v="Kỹ thuật máy tính 02-K70"/>
    <s v="AB"/>
    <x v="1"/>
    <s v="Thứ tư"/>
    <d v="2026-02-04T00:00:00"/>
    <x v="0"/>
    <n v="44"/>
    <s v="Phòng máy_Trung tâm máy tính"/>
    <n v="190039"/>
    <s v="Tạ Hải Tùng"/>
  </r>
  <r>
    <s v="Trường Công nghệ thông tin và Truyền thông"/>
    <n v="190038"/>
    <n v="165279"/>
    <x v="5"/>
    <s v="Nhập môn CNTT và TT"/>
    <s v="KH máy tính - KT máy tính- Tài năng KHMT-K70C"/>
    <s v="Khoa học máy tính 01-K70"/>
    <s v="AB"/>
    <x v="1"/>
    <s v="Thứ tư"/>
    <d v="2026-02-04T00:00:00"/>
    <x v="0"/>
    <n v="40"/>
    <s v="Phòng máy_Trung tâm máy tính"/>
    <n v="190038"/>
    <s v="Tạ Hải Tùng"/>
  </r>
  <r>
    <s v="Trường Công nghệ thông tin và Truyền thông"/>
    <n v="190040"/>
    <n v="165279"/>
    <x v="5"/>
    <s v="Nhập môn CNTT và TT"/>
    <s v="KH máy tính - KT máy tính- Tài năng KHMT-K70C"/>
    <s v="Kỹ thuật máy tính 01-K70"/>
    <s v="AB"/>
    <x v="1"/>
    <s v="Thứ tư"/>
    <d v="2026-02-04T00:00:00"/>
    <x v="0"/>
    <n v="44"/>
    <s v="Phòng máy_Trung tâm máy tính"/>
    <n v="190040"/>
    <s v="Tạ Hải Tùng"/>
  </r>
  <r>
    <s v="Trường Công nghệ thông tin và Truyền thông"/>
    <n v="190031"/>
    <n v="165279"/>
    <x v="5"/>
    <s v="Nhập môn CNTT và TT"/>
    <s v="KH máy tính - KT máy tính- Tài năng KHMT-K70C"/>
    <s v="Khoa học máy tính 07-K70"/>
    <s v="AB"/>
    <x v="1"/>
    <s v="Thứ tư"/>
    <d v="2026-02-04T00:00:00"/>
    <x v="0"/>
    <n v="40"/>
    <s v="Phòng máy_Trung tâm máy tính"/>
    <n v="190031"/>
    <s v="Tạ Hải Tùng"/>
  </r>
  <r>
    <s v="Trường Công nghệ thông tin và Truyền thông"/>
    <n v="190042"/>
    <n v="165279"/>
    <x v="5"/>
    <s v="Nhập môn CNTT và TT"/>
    <s v="KH máy tính - KT máy tính- Tài năng KHMT-K70C"/>
    <s v="Khoa học máy tính 03-K70"/>
    <s v="AB"/>
    <x v="1"/>
    <s v="Thứ tư"/>
    <d v="2026-02-04T00:00:00"/>
    <x v="0"/>
    <n v="42"/>
    <s v="Phòng máy_Trung tâm máy tính"/>
    <n v="190042"/>
    <s v="Tạ Hải Tùng"/>
  </r>
  <r>
    <s v="Trường Công nghệ thông tin và Truyền thông"/>
    <n v="190041"/>
    <n v="165279"/>
    <x v="5"/>
    <s v="Nhập môn CNTT và TT"/>
    <s v="KH máy tính - KT máy tính- Tài năng KHMT-K70C"/>
    <s v="Khoa học máy tính 04-K70"/>
    <s v="AB"/>
    <x v="1"/>
    <s v="Thứ tư"/>
    <d v="2026-02-04T00:00:00"/>
    <x v="0"/>
    <n v="40"/>
    <s v="Phòng máy_Trung tâm máy tính"/>
    <n v="190041"/>
    <s v="Tạ Hải Tùng"/>
  </r>
  <r>
    <s v="Trường Công nghệ thông tin và Truyền thông"/>
    <n v="190073"/>
    <n v="161538"/>
    <x v="6"/>
    <s v="Cấu trúc dữ liệu và thuật toán"/>
    <s v="**Tài năng Cơ điện tử-K68C"/>
    <s v="TC"/>
    <s v="AB"/>
    <x v="1"/>
    <s v="Thứ tư"/>
    <d v="2026-02-04T00:00:00"/>
    <x v="4"/>
    <n v="39"/>
    <s v="Phòng máy_Trung tâm máy tính"/>
    <n v="190073"/>
    <s v="Nguyễn Tuấn Dũng"/>
  </r>
  <r>
    <s v="Trường Công nghệ thông tin và Truyền thông"/>
    <n v="190074"/>
    <n v="162409"/>
    <x v="6"/>
    <s v="Cấu trúc dữ liệu và thuật toán"/>
    <s v="(Blend)-Cơ điện tử-K68C"/>
    <s v="Nhóm 2"/>
    <s v="AB"/>
    <x v="1"/>
    <s v="Thứ tư"/>
    <d v="2026-02-04T00:00:00"/>
    <x v="3"/>
    <n v="62"/>
    <s v="Phòng máy_Trung tâm máy tính"/>
    <n v="190074"/>
    <s v="Nguyễn Quốc Tuấn"/>
  </r>
  <r>
    <s v="Trường Công nghệ thông tin và Truyền thông"/>
    <n v="190075"/>
    <n v="162409"/>
    <x v="6"/>
    <s v="Cấu trúc dữ liệu và thuật toán"/>
    <s v="(Blend)-Cơ điện tử-K68C"/>
    <s v="Nhóm 1"/>
    <s v="AB"/>
    <x v="1"/>
    <s v="Thứ tư"/>
    <d v="2026-02-04T00:00:00"/>
    <x v="3"/>
    <n v="62"/>
    <s v="Phòng máy_Trung tâm máy tính"/>
    <n v="190075"/>
    <s v="Nguyễn Quốc Tuấn"/>
  </r>
  <r>
    <s v="Trường Công nghệ thông tin và Truyền thông"/>
    <n v="190076"/>
    <n v="162410"/>
    <x v="6"/>
    <s v="Cấu trúc dữ liệu và thuật toán"/>
    <s v="Cơ điện tử-K68C"/>
    <s v="Nhóm 1"/>
    <s v="AB"/>
    <x v="1"/>
    <s v="Thứ tư"/>
    <d v="2026-02-04T00:00:00"/>
    <x v="3"/>
    <n v="62"/>
    <s v="Phòng máy_Trung tâm máy tính"/>
    <n v="190076"/>
    <s v="Nguyễn Duy Hiệp"/>
  </r>
  <r>
    <s v="Trường Công nghệ thông tin và Truyền thông"/>
    <n v="190077"/>
    <n v="162410"/>
    <x v="6"/>
    <s v="Cấu trúc dữ liệu và thuật toán"/>
    <s v="Cơ điện tử-K68C"/>
    <s v="Nhóm 2"/>
    <s v="AB"/>
    <x v="1"/>
    <s v="Thứ tư"/>
    <d v="2026-02-04T00:00:00"/>
    <x v="3"/>
    <n v="62"/>
    <s v="Phòng máy_Trung tâm máy tính"/>
    <n v="190077"/>
    <s v="Nguyễn Duy Hiệp"/>
  </r>
  <r>
    <s v="Trường Công nghệ thông tin và Truyền thông"/>
    <n v="190085"/>
    <n v="161737"/>
    <x v="7"/>
    <s v="Cấu trúc dữ liệu và thuật toán"/>
    <s v="**CTTT-Cơ điện tử-K68S"/>
    <s v="TC"/>
    <s v="AB"/>
    <x v="1"/>
    <s v="Thứ tư"/>
    <d v="2026-02-04T00:00:00"/>
    <x v="3"/>
    <n v="45"/>
    <s v="Phòng máy_Trung tâm máy tính"/>
    <n v="190085"/>
    <s v="Phạm Quang Dũng"/>
  </r>
  <r>
    <s v="Trường Công nghệ thông tin và Truyền thông"/>
    <n v="190086"/>
    <n v="161738"/>
    <x v="7"/>
    <s v="Cấu trúc dữ liệu và thuật toán"/>
    <s v="**CTTT-Cơ điện tử-K68S"/>
    <s v="TC"/>
    <s v="AB"/>
    <x v="1"/>
    <s v="Thứ tư"/>
    <d v="2026-02-04T00:00:00"/>
    <x v="3"/>
    <n v="58"/>
    <s v="Phòng máy_Trung tâm máy tính"/>
    <n v="190086"/>
    <s v="Michel Toulouse"/>
  </r>
  <r>
    <s v="Trường Công nghệ thông tin và Truyền thông"/>
    <n v="190087"/>
    <n v="161113"/>
    <x v="8"/>
    <s v="Cấu trúc dữ liệu và thuật toán"/>
    <s v="[SIE]-ME-LUH-K68S"/>
    <s v="TC"/>
    <s v="AB"/>
    <x v="1"/>
    <s v="Thứ tư"/>
    <d v="2026-02-04T00:00:00"/>
    <x v="3"/>
    <n v="40"/>
    <s v="Phòng máy_Trung tâm máy tính"/>
    <n v="190087"/>
    <s v="Nguyễn Văn Sơn"/>
  </r>
  <r>
    <s v="Trường Công nghệ thông tin và Truyền thông"/>
    <n v="190093"/>
    <n v="161552"/>
    <x v="9"/>
    <s v="Kiến trúc máy tính"/>
    <s v="**Tài năng KHMT-K69S"/>
    <s v="TC"/>
    <s v="AB"/>
    <x v="2"/>
    <s v="Thứ tư"/>
    <d v="2026-01-21T00:00:00"/>
    <x v="0"/>
    <n v="49"/>
    <s v="Phòng máy_Trung tâm máy tính"/>
    <n v="190093"/>
    <s v="Nguyễn Kim Khánh"/>
  </r>
  <r>
    <s v="Trường Công nghệ thông tin và Truyền thông"/>
    <n v="190096"/>
    <n v="162255"/>
    <x v="9"/>
    <s v="Kiến trúc máy tính"/>
    <s v="KH máy tính - KT máy tính-K69C"/>
    <s v="Nhóm 2"/>
    <s v="AB"/>
    <x v="2"/>
    <s v="Thứ tư"/>
    <d v="2026-01-21T00:00:00"/>
    <x v="3"/>
    <n v="50"/>
    <s v="Phòng máy_Trung tâm máy tính"/>
    <n v="190096"/>
    <s v="Nguyễn Đức Tiến"/>
  </r>
  <r>
    <s v="Trường Công nghệ thông tin và Truyền thông"/>
    <n v="190094"/>
    <n v="162255"/>
    <x v="9"/>
    <s v="Kiến trúc máy tính"/>
    <s v="KH máy tính - KT máy tính-K69C"/>
    <s v="Nhóm 1"/>
    <s v="AB"/>
    <x v="2"/>
    <s v="Thứ tư"/>
    <d v="2026-01-21T00:00:00"/>
    <x v="3"/>
    <n v="51"/>
    <s v="Phòng máy_Trung tâm máy tính"/>
    <n v="190094"/>
    <s v="Nguyễn Đức Tiến"/>
  </r>
  <r>
    <s v="Trường Công nghệ thông tin và Truyền thông"/>
    <n v="190095"/>
    <n v="162255"/>
    <x v="9"/>
    <s v="Kiến trúc máy tính"/>
    <s v="KH máy tính - KT máy tính-K69C"/>
    <s v="Nhóm 3"/>
    <s v="AB"/>
    <x v="2"/>
    <s v="Thứ tư"/>
    <d v="2026-01-21T00:00:00"/>
    <x v="4"/>
    <n v="50"/>
    <s v="Phòng máy_Trung tâm máy tính"/>
    <n v="190095"/>
    <s v="Nguyễn Đức Tiến"/>
  </r>
  <r>
    <s v="Trường Công nghệ thông tin và Truyền thông"/>
    <n v="190099"/>
    <n v="162256"/>
    <x v="9"/>
    <s v="Kiến trúc máy tính"/>
    <s v="KH máy tính - KT máy tính-K69C"/>
    <s v="Nhóm 1"/>
    <s v="AB"/>
    <x v="2"/>
    <s v="Thứ tư"/>
    <d v="2026-01-21T00:00:00"/>
    <x v="4"/>
    <n v="50"/>
    <s v="Phòng máy_Trung tâm máy tính"/>
    <n v="190099"/>
    <s v="Nguyễn Kim Khánh"/>
  </r>
  <r>
    <s v="Trường Công nghệ thông tin và Truyền thông"/>
    <n v="190098"/>
    <n v="162256"/>
    <x v="9"/>
    <s v="Kiến trúc máy tính"/>
    <s v="KH máy tính - KT máy tính-K69C"/>
    <s v="Nhóm 2"/>
    <s v="AB"/>
    <x v="2"/>
    <s v="Thứ tư"/>
    <d v="2026-01-21T00:00:00"/>
    <x v="5"/>
    <n v="49"/>
    <s v="Phòng máy_Trung tâm máy tính"/>
    <n v="190098"/>
    <s v="Nguyễn Kim Khánh"/>
  </r>
  <r>
    <s v="Trường Công nghệ thông tin và Truyền thông"/>
    <n v="190097"/>
    <n v="162256"/>
    <x v="9"/>
    <s v="Kiến trúc máy tính"/>
    <s v="KH máy tính - KT máy tính-K69C"/>
    <s v="Nhóm 3"/>
    <s v="AB"/>
    <x v="2"/>
    <s v="Thứ tư"/>
    <d v="2026-01-21T00:00:00"/>
    <x v="5"/>
    <n v="49"/>
    <s v="Phòng máy_Trung tâm máy tính"/>
    <n v="190097"/>
    <s v="Nguyễn Kim Khánh"/>
  </r>
  <r>
    <s v="Trường Công nghệ thông tin và Truyền thông"/>
    <n v="190100"/>
    <n v="162257"/>
    <x v="9"/>
    <s v="Kiến trúc máy tính"/>
    <s v="KH máy tính - KT máy tính-K69C"/>
    <s v="Nhóm 2"/>
    <s v="AB"/>
    <x v="2"/>
    <s v="Thứ tư"/>
    <d v="2026-01-21T00:00:00"/>
    <x v="5"/>
    <n v="50"/>
    <s v="Phòng máy_Trung tâm máy tính"/>
    <n v="190100"/>
    <s v="Hoàng Văn Hiệp"/>
  </r>
  <r>
    <s v="Trường Công nghệ thông tin và Truyền thông"/>
    <n v="190101"/>
    <n v="162257"/>
    <x v="9"/>
    <s v="Kiến trúc máy tính"/>
    <s v="KH máy tính - KT máy tính-K69C"/>
    <s v="Nhóm 1"/>
    <s v="AB"/>
    <x v="2"/>
    <s v="Thứ tư"/>
    <d v="2026-01-21T00:00:00"/>
    <x v="5"/>
    <n v="50"/>
    <s v="Phòng máy_Trung tâm máy tính"/>
    <n v="190101"/>
    <s v="Hoàng Văn Hiệp"/>
  </r>
  <r>
    <s v="Trường Công nghệ thông tin và Truyền thông"/>
    <n v="190102"/>
    <n v="162257"/>
    <x v="9"/>
    <s v="Kiến trúc máy tính"/>
    <s v="KH máy tính - KT máy tính-K69C"/>
    <s v="Nhóm 3"/>
    <s v="AB"/>
    <x v="2"/>
    <s v="Thứ tư"/>
    <d v="2026-01-21T00:00:00"/>
    <x v="5"/>
    <n v="49"/>
    <s v="Phòng máy_Trung tâm máy tính"/>
    <n v="190102"/>
    <s v="Hoàng Văn Hiệp"/>
  </r>
  <r>
    <s v="Trường Công nghệ thông tin và Truyền thông"/>
    <n v="190105"/>
    <n v="162258"/>
    <x v="9"/>
    <s v="Kiến trúc máy tính"/>
    <s v="KH máy tính - KT máy tính-K69C"/>
    <s v="Nhóm 1"/>
    <s v="AB"/>
    <x v="2"/>
    <s v="Thứ tư"/>
    <d v="2026-01-21T00:00:00"/>
    <x v="5"/>
    <n v="51"/>
    <s v="Phòng máy_Trung tâm máy tính"/>
    <n v="190105"/>
    <s v="Phạm Ngọc Hưng"/>
  </r>
  <r>
    <s v="Trường Công nghệ thông tin và Truyền thông"/>
    <n v="190104"/>
    <n v="162258"/>
    <x v="9"/>
    <s v="Kiến trúc máy tính"/>
    <s v="KH máy tính - KT máy tính-K69C"/>
    <s v="Nhóm 2"/>
    <s v="AB"/>
    <x v="2"/>
    <s v="Thứ tư"/>
    <d v="2026-01-21T00:00:00"/>
    <x v="5"/>
    <n v="50"/>
    <s v="Phòng máy_Trung tâm máy tính"/>
    <n v="190104"/>
    <s v="Phạm Ngọc Hưng"/>
  </r>
  <r>
    <s v="Trường Công nghệ thông tin và Truyền thông"/>
    <n v="190103"/>
    <n v="162258"/>
    <x v="9"/>
    <s v="Kiến trúc máy tính"/>
    <s v="KH máy tính - KT máy tính-K69C"/>
    <s v="Nhóm 3"/>
    <s v="AB"/>
    <x v="2"/>
    <s v="Thứ tư"/>
    <d v="2026-01-21T00:00:00"/>
    <x v="5"/>
    <n v="50"/>
    <s v="Phòng máy_Trung tâm máy tính"/>
    <n v="190103"/>
    <s v="Phạm Ngọc Hưng"/>
  </r>
  <r>
    <s v="Trường Công nghệ thông tin và Truyền thông"/>
    <n v="190110"/>
    <n v="162062"/>
    <x v="10"/>
    <s v="Kiến trúc máy tính"/>
    <s v="**CTTT Data Science 01,02-K69S"/>
    <s v="Nhóm 1"/>
    <s v="AB"/>
    <x v="2"/>
    <s v="Thứ tư"/>
    <d v="2026-01-21T00:00:00"/>
    <x v="1"/>
    <n v="59"/>
    <s v="Phòng máy_Trung tâm máy tính"/>
    <n v="190110"/>
    <s v="Nguyễn Đức Tiến"/>
  </r>
  <r>
    <s v="Trường Công nghệ thông tin và Truyền thông"/>
    <n v="190109"/>
    <n v="162062"/>
    <x v="10"/>
    <s v="Kiến trúc máy tính"/>
    <s v="**CTTT Data Science 01,02-K69S"/>
    <s v="Nhóm 2"/>
    <s v="AB"/>
    <x v="2"/>
    <s v="Thứ tư"/>
    <d v="2026-01-21T00:00:00"/>
    <x v="1"/>
    <n v="58"/>
    <s v="Phòng máy_Trung tâm máy tính"/>
    <n v="190109"/>
    <s v="Nguyễn Đức Tiến"/>
  </r>
  <r>
    <s v="Trường Công nghệ thông tin và Truyền thông"/>
    <n v="190111"/>
    <n v="162063"/>
    <x v="10"/>
    <s v="Kiến trúc máy tính"/>
    <s v="**CTTT Data Science 03, An toàn KG-K69S"/>
    <s v="Nhóm 2"/>
    <s v="AB"/>
    <x v="2"/>
    <s v="Thứ tư"/>
    <d v="2026-01-21T00:00:00"/>
    <x v="0"/>
    <n v="48"/>
    <s v="Phòng máy_Trung tâm máy tính"/>
    <n v="190111"/>
    <s v="Ngô Lam Trung"/>
  </r>
  <r>
    <s v="Trường Công nghệ thông tin và Truyền thông"/>
    <n v="190112"/>
    <n v="162063"/>
    <x v="10"/>
    <s v="Kiến trúc máy tính"/>
    <s v="**CTTT Data Science 03, An toàn KG-K69S"/>
    <s v="Nhóm 1"/>
    <s v="AB"/>
    <x v="2"/>
    <s v="Thứ tư"/>
    <d v="2026-01-21T00:00:00"/>
    <x v="0"/>
    <n v="49"/>
    <s v="Phòng máy_Trung tâm máy tính"/>
    <n v="190112"/>
    <s v="Ngô Lam Trung"/>
  </r>
  <r>
    <s v="Trường Công nghệ thông tin và Truyền thông"/>
    <n v="190113"/>
    <n v="161591"/>
    <x v="11"/>
    <s v="Kiến trúc máy tính"/>
    <s v="**PFIEV-Tin học công nghiệp-K67S"/>
    <s v="TC"/>
    <s v="AB"/>
    <x v="2"/>
    <s v="Thứ tư"/>
    <d v="2026-01-21T00:00:00"/>
    <x v="1"/>
    <n v="21"/>
    <s v="Phòng máy_Trung tâm máy tính"/>
    <n v="190113"/>
    <s v="Nguyễn Kim Khánh"/>
  </r>
  <r>
    <s v="Trường Công nghệ thông tin và Truyền thông"/>
    <n v="190127"/>
    <n v="162266"/>
    <x v="12"/>
    <s v="Nguyên lý hệ điều hành"/>
    <s v="KT máy tính-K69C"/>
    <s v="Nhóm 1"/>
    <s v="AB"/>
    <x v="1"/>
    <s v="Thứ sáu"/>
    <d v="2026-02-06T00:00:00"/>
    <x v="1"/>
    <n v="48"/>
    <s v="Phòng máy_Trung tâm máy tính"/>
    <n v="190127"/>
    <s v="Phạm Đăng Hải"/>
  </r>
  <r>
    <s v="Trường Công nghệ thông tin và Truyền thông"/>
    <n v="190125"/>
    <n v="162266"/>
    <x v="12"/>
    <s v="Nguyên lý hệ điều hành"/>
    <s v="KT máy tính-K69C"/>
    <s v="Nhóm 2"/>
    <s v="AB"/>
    <x v="1"/>
    <s v="Thứ sáu"/>
    <d v="2026-02-06T00:00:00"/>
    <x v="1"/>
    <n v="48"/>
    <s v="Phòng máy_Trung tâm máy tính"/>
    <n v="190125"/>
    <s v="Phạm Đăng Hải"/>
  </r>
  <r>
    <s v="Trường Công nghệ thông tin và Truyền thông"/>
    <n v="190126"/>
    <n v="162266"/>
    <x v="12"/>
    <s v="Nguyên lý hệ điều hành"/>
    <s v="KT máy tính-K69C"/>
    <s v="Nhóm 3"/>
    <s v="AB"/>
    <x v="1"/>
    <s v="Thứ sáu"/>
    <d v="2026-02-06T00:00:00"/>
    <x v="1"/>
    <n v="46"/>
    <s v="Phòng máy_Trung tâm máy tính"/>
    <n v="190126"/>
    <s v="Phạm Đăng Hải"/>
  </r>
  <r>
    <s v="Trường Công nghệ thông tin và Truyền thông"/>
    <n v="190147"/>
    <n v="161855"/>
    <x v="13"/>
    <s v="Computer Networks"/>
    <s v="**CTTT-Data Science, An toàn KG-K68C"/>
    <s v="Nhóm 2"/>
    <s v="AB"/>
    <x v="0"/>
    <s v="Thứ sáu"/>
    <d v="2026-01-30T00:00:00"/>
    <x v="3"/>
    <n v="45"/>
    <s v="Phòng máy_Trung tâm máy tính"/>
    <n v="190147"/>
    <s v="Đinh Thị Hà Ly"/>
  </r>
  <r>
    <s v="Trường Công nghệ thông tin và Truyền thông"/>
    <n v="190148"/>
    <n v="161855"/>
    <x v="13"/>
    <s v="Computer Networks"/>
    <s v="**CTTT-Data Science, An toàn KG-K68C"/>
    <s v="Nhóm 1"/>
    <s v="AB"/>
    <x v="0"/>
    <s v="Thứ sáu"/>
    <d v="2026-01-30T00:00:00"/>
    <x v="3"/>
    <n v="41"/>
    <s v="Phòng máy_Trung tâm máy tính"/>
    <n v="190148"/>
    <s v="Đinh Thị Hà Ly"/>
  </r>
  <r>
    <s v="Trường Công nghệ thông tin và Truyền thông"/>
    <n v="190149"/>
    <n v="161856"/>
    <x v="13"/>
    <s v="Computer Networks"/>
    <s v="**CTTT-Data Science, An toàn KG-K68C"/>
    <s v="TC"/>
    <s v="AB"/>
    <x v="0"/>
    <s v="Thứ sáu"/>
    <d v="2026-01-30T00:00:00"/>
    <x v="3"/>
    <n v="49"/>
    <s v="Phòng máy_Trung tâm máy tính"/>
    <n v="190149"/>
    <s v="Trương Thị Diệu Linh"/>
  </r>
  <r>
    <s v="Trường Công nghệ thông tin và Truyền thông"/>
    <n v="190159"/>
    <n v="161553"/>
    <x v="14"/>
    <s v="Lập trình hướng đối tượng"/>
    <s v="**Tài năng KHMT-K69S"/>
    <s v="TC"/>
    <s v="AB"/>
    <x v="0"/>
    <s v="Thứ tư"/>
    <d v="2026-01-28T00:00:00"/>
    <x v="0"/>
    <n v="50"/>
    <s v="Phòng máy_Trung tâm máy tính"/>
    <n v="190159"/>
    <s v="Nguyễn Thị Thu Trang"/>
  </r>
  <r>
    <s v="Trường Công nghệ thông tin và Truyền thông"/>
    <n v="190161"/>
    <n v="162252"/>
    <x v="14"/>
    <s v="Lập trình hướng đối tượng"/>
    <s v="KH máy tính-K69C"/>
    <s v="Nhóm 2"/>
    <s v="AB"/>
    <x v="0"/>
    <s v="Thứ tư"/>
    <d v="2026-01-28T00:00:00"/>
    <x v="0"/>
    <n v="60"/>
    <s v="Phòng máy_Trung tâm máy tính"/>
    <n v="190161"/>
    <s v="Nguyễn Tiến Thành"/>
  </r>
  <r>
    <s v="Trường Công nghệ thông tin và Truyền thông"/>
    <n v="190160"/>
    <n v="162252"/>
    <x v="14"/>
    <s v="Lập trình hướng đối tượng"/>
    <s v="KH máy tính-K69C"/>
    <s v="Nhóm 1"/>
    <s v="AB"/>
    <x v="0"/>
    <s v="Thứ tư"/>
    <d v="2026-01-28T00:00:00"/>
    <x v="0"/>
    <n v="60"/>
    <s v="Phòng máy_Trung tâm máy tính"/>
    <n v="190160"/>
    <s v="Nguyễn Tiến Thành"/>
  </r>
  <r>
    <s v="Trường Công nghệ thông tin và Truyền thông"/>
    <n v="190163"/>
    <n v="162253"/>
    <x v="14"/>
    <s v="Lập trình hướng đối tượng"/>
    <s v="KH máy tính-K69C"/>
    <s v="Nhóm 1"/>
    <s v="AB"/>
    <x v="0"/>
    <s v="Thứ tư"/>
    <d v="2026-01-28T00:00:00"/>
    <x v="0"/>
    <n v="59"/>
    <s v="Phòng máy_Trung tâm máy tính"/>
    <n v="190163"/>
    <s v="Nguyễn Tuấn Dũng"/>
  </r>
  <r>
    <s v="Trường Công nghệ thông tin và Truyền thông"/>
    <n v="190162"/>
    <n v="162253"/>
    <x v="14"/>
    <s v="Lập trình hướng đối tượng"/>
    <s v="KH máy tính-K69C"/>
    <s v="Nhóm 2"/>
    <s v="AB"/>
    <x v="0"/>
    <s v="Thứ tư"/>
    <d v="2026-01-28T00:00:00"/>
    <x v="0"/>
    <n v="58"/>
    <s v="Phòng máy_Trung tâm máy tính"/>
    <n v="190162"/>
    <s v="Nguyễn Tuấn Dũng"/>
  </r>
  <r>
    <s v="Trường Công nghệ thông tin và Truyền thông"/>
    <n v="190165"/>
    <n v="162254"/>
    <x v="14"/>
    <s v="Lập trình hướng đối tượng"/>
    <s v="KH máy tính-K69S"/>
    <s v="Nhóm 1"/>
    <s v="AB"/>
    <x v="0"/>
    <s v="Thứ tư"/>
    <d v="2026-01-28T00:00:00"/>
    <x v="1"/>
    <n v="61"/>
    <s v="Phòng máy_Trung tâm máy tính"/>
    <n v="190165"/>
    <s v="Lê Hải Nam"/>
  </r>
  <r>
    <s v="Trường Công nghệ thông tin và Truyền thông"/>
    <n v="190164"/>
    <n v="162254"/>
    <x v="14"/>
    <s v="Lập trình hướng đối tượng"/>
    <s v="KH máy tính-K69S"/>
    <s v="Nhóm 2"/>
    <s v="AB"/>
    <x v="0"/>
    <s v="Thứ tư"/>
    <d v="2026-01-28T00:00:00"/>
    <x v="1"/>
    <n v="60"/>
    <s v="Phòng máy_Trung tâm máy tính"/>
    <n v="190164"/>
    <s v="Lê Hải Nam"/>
  </r>
  <r>
    <s v="Trường Công nghệ thông tin và Truyền thông"/>
    <n v="190166"/>
    <n v="162264"/>
    <x v="14"/>
    <s v="Lập trình hướng đối tượng"/>
    <s v="KT máy tính-K69S"/>
    <s v="Nhóm 2"/>
    <s v="AB"/>
    <x v="0"/>
    <s v="Thứ tư"/>
    <d v="2026-01-28T00:00:00"/>
    <x v="1"/>
    <n v="59"/>
    <s v="Phòng máy_Trung tâm máy tính"/>
    <n v="190166"/>
    <s v="Nguyễn Tiến Thành"/>
  </r>
  <r>
    <s v="Trường Công nghệ thông tin và Truyền thông"/>
    <n v="190167"/>
    <n v="162264"/>
    <x v="14"/>
    <s v="Lập trình hướng đối tượng"/>
    <s v="KT máy tính-K69S"/>
    <s v="Nhóm 1"/>
    <s v="AB"/>
    <x v="0"/>
    <s v="Thứ tư"/>
    <d v="2026-01-28T00:00:00"/>
    <x v="1"/>
    <n v="60"/>
    <s v="Phòng máy_Trung tâm máy tính"/>
    <n v="190167"/>
    <s v="Nguyễn Tiến Thành"/>
  </r>
  <r>
    <s v="Trường Công nghệ thông tin và Truyền thông"/>
    <n v="190169"/>
    <n v="162265"/>
    <x v="14"/>
    <s v="Lập trình hướng đối tượng"/>
    <s v="KT máy tính-K69S"/>
    <s v="Nhóm 1"/>
    <s v="AB"/>
    <x v="0"/>
    <s v="Thứ tư"/>
    <d v="2026-01-28T00:00:00"/>
    <x v="1"/>
    <n v="60"/>
    <s v="Phòng máy_Trung tâm máy tính"/>
    <n v="190169"/>
    <s v="Nguyễn Tuấn Dũng"/>
  </r>
  <r>
    <s v="Trường Công nghệ thông tin và Truyền thông"/>
    <n v="190168"/>
    <n v="162265"/>
    <x v="14"/>
    <s v="Lập trình hướng đối tượng"/>
    <s v="KT máy tính-K69S"/>
    <s v="Nhóm 2"/>
    <s v="AB"/>
    <x v="0"/>
    <s v="Thứ tư"/>
    <d v="2026-01-28T00:00:00"/>
    <x v="1"/>
    <n v="59"/>
    <s v="Phòng máy_Trung tâm máy tính"/>
    <n v="190168"/>
    <s v="Nguyễn Tuấn Dũng"/>
  </r>
  <r>
    <s v="Trường Công nghệ thông tin và Truyền thông"/>
    <n v="190172"/>
    <n v="162060"/>
    <x v="15"/>
    <s v="Object-oriented Programming"/>
    <s v="**CTTT Data Science 01,02-K69S"/>
    <s v="Nhóm 1"/>
    <s v="AB"/>
    <x v="1"/>
    <s v="Thứ sáu"/>
    <d v="2026-02-06T00:00:00"/>
    <x v="1"/>
    <n v="50"/>
    <s v="Phòng máy_Trung tâm máy tính"/>
    <n v="190172"/>
    <s v="Nguyễn Thị Thu Trang"/>
  </r>
  <r>
    <s v="Trường Công nghệ thông tin và Truyền thông"/>
    <n v="190171"/>
    <n v="162060"/>
    <x v="15"/>
    <s v="Object-oriented Programming"/>
    <s v="**CTTT Data Science 01,02-K69S"/>
    <s v="Nhóm 2"/>
    <s v="AB"/>
    <x v="1"/>
    <s v="Thứ sáu"/>
    <d v="2026-02-06T00:00:00"/>
    <x v="1"/>
    <n v="50"/>
    <s v="Phòng máy_Trung tâm máy tính"/>
    <n v="190171"/>
    <s v="Nguyễn Thị Thu Trang"/>
  </r>
  <r>
    <s v="Trường Công nghệ thông tin và Truyền thông"/>
    <n v="190173"/>
    <n v="162061"/>
    <x v="15"/>
    <s v="Object-oriented Programming"/>
    <s v="**CTTT Data Science 03, An toàn KG-K69S"/>
    <s v="Nhóm 1"/>
    <s v="AB"/>
    <x v="1"/>
    <s v="Thứ sáu"/>
    <d v="2026-02-06T00:00:00"/>
    <x v="1"/>
    <n v="50"/>
    <s v="Phòng máy_Trung tâm máy tính"/>
    <n v="190173"/>
    <s v="Trịnh Tuấn Đạt"/>
  </r>
  <r>
    <s v="Trường Công nghệ thông tin và Truyền thông"/>
    <n v="190174"/>
    <n v="162061"/>
    <x v="15"/>
    <s v="Object-oriented Programming"/>
    <s v="**CTTT Data Science 03, An toàn KG-K69S"/>
    <s v="Nhóm 2"/>
    <s v="AB"/>
    <x v="1"/>
    <s v="Thứ sáu"/>
    <d v="2026-02-06T00:00:00"/>
    <x v="1"/>
    <n v="50"/>
    <s v="Phòng máy_Trung tâm máy tính"/>
    <n v="190174"/>
    <s v="Trịnh Tuấn Đạt"/>
  </r>
  <r>
    <s v="Trường Công nghệ thông tin và Truyền thông"/>
    <n v="190175"/>
    <n v="165690"/>
    <x v="16"/>
    <s v="Phân tích và thiết kế hệ thống"/>
    <s v="KT máy tính - KH máy tính-K67C"/>
    <s v="TC"/>
    <s v="AB"/>
    <x v="0"/>
    <s v="Thứ sáu"/>
    <d v="2026-01-30T00:00:00"/>
    <x v="0"/>
    <n v="46"/>
    <s v="Phòng máy_Trung tâm máy tính"/>
    <n v="190175"/>
    <s v="Nguyễn Bá Ngọc"/>
  </r>
  <r>
    <s v="Trường Công nghệ thông tin và Truyền thông"/>
    <n v="190176"/>
    <n v="161701"/>
    <x v="17"/>
    <s v="Phân tích thiết kế hệ thống"/>
    <s v="**CTTT-Data Science &amp; AI K67 + An toàn KG K68-K67,K68S"/>
    <s v="Nhóm 2"/>
    <s v="AB"/>
    <x v="2"/>
    <s v="Thứ sáu"/>
    <d v="2026-01-23T00:00:00"/>
    <x v="0"/>
    <n v="44"/>
    <s v="Phòng máy_Trung tâm máy tính"/>
    <n v="190176"/>
    <s v="Nguyễn Đức Anh"/>
  </r>
  <r>
    <s v="Trường Công nghệ thông tin và Truyền thông"/>
    <n v="190177"/>
    <n v="161701"/>
    <x v="17"/>
    <s v="Phân tích thiết kế hệ thống"/>
    <s v="**CTTT-Data Science &amp; AI K67 + An toàn KG K68-K67,K68S"/>
    <s v="Nhóm 1"/>
    <s v="AB"/>
    <x v="2"/>
    <s v="Thứ sáu"/>
    <d v="2026-01-23T00:00:00"/>
    <x v="0"/>
    <n v="45"/>
    <s v="Phòng máy_Trung tâm máy tính"/>
    <n v="190177"/>
    <s v="Nguyễn Đức Anh"/>
  </r>
  <r>
    <s v="Trường Công nghệ thông tin và Truyền thông"/>
    <n v="190179"/>
    <n v="161702"/>
    <x v="17"/>
    <s v="Phân tích thiết kế hệ thống"/>
    <s v="**CTTT-Data Science &amp; AI K67 + An toàn KG K68-K67,K68S"/>
    <s v="Nhóm 2"/>
    <s v="AB"/>
    <x v="2"/>
    <s v="Thứ sáu"/>
    <d v="2026-01-23T00:00:00"/>
    <x v="1"/>
    <n v="41"/>
    <s v="Phòng máy_Trung tâm máy tính"/>
    <n v="190179"/>
    <s v="Nguyễn Đức Anh"/>
  </r>
  <r>
    <s v="Trường Công nghệ thông tin và Truyền thông"/>
    <n v="190178"/>
    <n v="161702"/>
    <x v="17"/>
    <s v="Phân tích thiết kế hệ thống"/>
    <s v="**CTTT-Data Science &amp; AI K67 + An toàn KG K68-K67,K68S"/>
    <s v="Nhóm 1"/>
    <s v="AB"/>
    <x v="2"/>
    <s v="Thứ sáu"/>
    <d v="2026-01-23T00:00:00"/>
    <x v="1"/>
    <n v="41"/>
    <s v="Phòng máy_Trung tâm máy tính"/>
    <n v="190178"/>
    <s v="Nguyễn Đức Anh"/>
  </r>
  <r>
    <s v="Trường Công nghệ thông tin và Truyền thông"/>
    <n v="190194"/>
    <n v="161524"/>
    <x v="18"/>
    <s v="Nhập môn Trí tuệ nhân tạo"/>
    <s v="**(Blend)-Tài năng KHMT-K68C"/>
    <s v="TC"/>
    <s v="AB"/>
    <x v="1"/>
    <s v="Thứ hai"/>
    <d v="2026-02-02T00:00:00"/>
    <x v="3"/>
    <n v="42"/>
    <s v="Phòng máy_Trung tâm máy tính"/>
    <n v="190194"/>
    <s v="Lê Thanh Hương"/>
  </r>
  <r>
    <s v="Trường Công nghệ thông tin và Truyền thông"/>
    <n v="190195"/>
    <n v="162278"/>
    <x v="18"/>
    <s v="Nhập môn Trí tuệ nhân tạo"/>
    <s v="(Blend)-KH máy tính - KT máy tính-K68C"/>
    <s v="Nhóm 1"/>
    <s v="AB"/>
    <x v="1"/>
    <s v="Thứ hai"/>
    <d v="2026-02-02T00:00:00"/>
    <x v="3"/>
    <n v="65"/>
    <s v="Phòng máy_Trung tâm máy tính"/>
    <n v="190195"/>
    <s v="Trần Đình Khang"/>
  </r>
  <r>
    <s v="Trường Công nghệ thông tin và Truyền thông"/>
    <n v="190196"/>
    <n v="162278"/>
    <x v="18"/>
    <s v="Nhập môn Trí tuệ nhân tạo"/>
    <s v="(Blend)-KH máy tính - KT máy tính-K68C"/>
    <s v="Nhóm 2"/>
    <s v="AB"/>
    <x v="1"/>
    <s v="Thứ hai"/>
    <d v="2026-02-02T00:00:00"/>
    <x v="3"/>
    <n v="64"/>
    <s v="Phòng máy_Trung tâm máy tính"/>
    <n v="190196"/>
    <s v="Trần Đình Khang"/>
  </r>
  <r>
    <s v="Trường Công nghệ thông tin và Truyền thông"/>
    <n v="190198"/>
    <n v="162279"/>
    <x v="18"/>
    <s v="Nhập môn Trí tuệ nhân tạo"/>
    <s v="(Blend)-KH máy tính - KT máy tính-K68C"/>
    <s v="Nhóm 1"/>
    <s v="AB"/>
    <x v="1"/>
    <s v="Thứ hai"/>
    <d v="2026-02-02T00:00:00"/>
    <x v="3"/>
    <n v="65"/>
    <s v="Phòng máy_Trung tâm máy tính"/>
    <n v="190198"/>
    <s v="Đỗ Tiến Dũng"/>
  </r>
  <r>
    <s v="Trường Công nghệ thông tin và Truyền thông"/>
    <n v="190197"/>
    <n v="162279"/>
    <x v="18"/>
    <s v="Nhập môn Trí tuệ nhân tạo"/>
    <s v="(Blend)-KH máy tính - KT máy tính-K68C"/>
    <s v="Nhóm 2"/>
    <s v="AB"/>
    <x v="1"/>
    <s v="Thứ hai"/>
    <d v="2026-02-02T00:00:00"/>
    <x v="3"/>
    <n v="64"/>
    <s v="Phòng máy_Trung tâm máy tính"/>
    <n v="190197"/>
    <s v="Đỗ Tiến Dũng"/>
  </r>
  <r>
    <s v="Trường Công nghệ thông tin và Truyền thông"/>
    <n v="190200"/>
    <n v="162064"/>
    <x v="19"/>
    <s v="Introduction to Artificial Intelligence"/>
    <s v="**CTTT Data Science-K69S"/>
    <s v="Nhóm 1"/>
    <s v="AB"/>
    <x v="0"/>
    <s v="Thứ sáu"/>
    <d v="2026-01-30T00:00:00"/>
    <x v="1"/>
    <n v="50"/>
    <s v="Phòng máy_Trung tâm máy tính"/>
    <n v="190200"/>
    <s v="Đàm Quang Tuấn"/>
  </r>
  <r>
    <s v="Trường Công nghệ thông tin và Truyền thông"/>
    <n v="190199"/>
    <n v="162064"/>
    <x v="19"/>
    <s v="Introduction to Artificial Intelligence"/>
    <s v="**CTTT Data Science-K69S"/>
    <s v="Nhóm 2"/>
    <s v="AB"/>
    <x v="0"/>
    <s v="Thứ sáu"/>
    <d v="2026-01-30T00:00:00"/>
    <x v="1"/>
    <n v="50"/>
    <s v="Phòng máy_Trung tâm máy tính"/>
    <n v="190199"/>
    <s v="Đàm Quang Tuấn"/>
  </r>
  <r>
    <s v="Trường Công nghệ thông tin và Truyền thông"/>
    <n v="190202"/>
    <n v="162065"/>
    <x v="19"/>
    <s v="Introduction to Artificial Intelligence"/>
    <s v="**CTTT Data Science-K69S"/>
    <s v="Nhóm 2"/>
    <s v="AB"/>
    <x v="0"/>
    <s v="Thứ sáu"/>
    <d v="2026-01-30T00:00:00"/>
    <x v="1"/>
    <n v="50"/>
    <s v="Phòng máy_Trung tâm máy tính"/>
    <n v="190202"/>
    <s v="Nguyễn Phi Lê"/>
  </r>
  <r>
    <s v="Trường Công nghệ thông tin và Truyền thông"/>
    <n v="190201"/>
    <n v="162065"/>
    <x v="19"/>
    <s v="Introduction to Artificial Intelligence"/>
    <s v="**CTTT Data Science-K69S"/>
    <s v="Nhóm 1"/>
    <s v="AB"/>
    <x v="0"/>
    <s v="Thứ sáu"/>
    <d v="2026-01-30T00:00:00"/>
    <x v="1"/>
    <n v="47"/>
    <s v="Phòng máy_Trung tâm máy tính"/>
    <n v="190201"/>
    <s v="Nguyễn Phi Lê"/>
  </r>
  <r>
    <s v="Trường Công nghệ thông tin và Truyền thông"/>
    <n v="190209"/>
    <n v="161523"/>
    <x v="20"/>
    <s v="Thuật toán ứng dụng"/>
    <s v="**Tài năng KHMT-K68C"/>
    <s v="TC"/>
    <s v="AB"/>
    <x v="0"/>
    <s v="Thứ tư"/>
    <d v="2026-01-28T00:00:00"/>
    <x v="4"/>
    <n v="40"/>
    <s v="Phòng máy_Trung tâm máy tính"/>
    <n v="190209"/>
    <s v="Nguyễn Văn Sơn"/>
  </r>
  <r>
    <s v="Trường Công nghệ thông tin và Truyền thông"/>
    <n v="190211"/>
    <n v="162274"/>
    <x v="20"/>
    <s v="Thuật toán ứng dụng"/>
    <s v="KH máy tính - KT máy tính-K68C"/>
    <s v="Nhóm 2"/>
    <s v="AB"/>
    <x v="0"/>
    <s v="Thứ tư"/>
    <d v="2026-01-28T00:00:00"/>
    <x v="3"/>
    <n v="47"/>
    <s v="Phòng máy_Trung tâm máy tính"/>
    <n v="190211"/>
    <s v="Bùi Quốc Trung"/>
  </r>
  <r>
    <s v="Trường Công nghệ thông tin và Truyền thông"/>
    <n v="190212"/>
    <n v="162274"/>
    <x v="20"/>
    <s v="Thuật toán ứng dụng"/>
    <s v="KH máy tính - KT máy tính-K68C"/>
    <s v="Nhóm 1"/>
    <s v="AB"/>
    <x v="0"/>
    <s v="Thứ tư"/>
    <d v="2026-01-28T00:00:00"/>
    <x v="3"/>
    <n v="47"/>
    <s v="Phòng máy_Trung tâm máy tính"/>
    <n v="190212"/>
    <s v="Bùi Quốc Trung"/>
  </r>
  <r>
    <s v="Trường Công nghệ thông tin và Truyền thông"/>
    <n v="190210"/>
    <n v="162274"/>
    <x v="20"/>
    <s v="Thuật toán ứng dụng"/>
    <s v="KH máy tính - KT máy tính-K68C"/>
    <s v="Nhóm 3"/>
    <s v="AB"/>
    <x v="0"/>
    <s v="Thứ tư"/>
    <d v="2026-01-28T00:00:00"/>
    <x v="3"/>
    <n v="46"/>
    <s v="Phòng máy_Trung tâm máy tính"/>
    <n v="190210"/>
    <s v="Bùi Quốc Trung"/>
  </r>
  <r>
    <s v="Trường Công nghệ thông tin và Truyền thông"/>
    <n v="190213"/>
    <n v="162275"/>
    <x v="20"/>
    <s v="Thuật toán ứng dụng"/>
    <s v="KH máy tính - KT máy tính-K68S"/>
    <s v="Nhóm 1"/>
    <s v="AB"/>
    <x v="0"/>
    <s v="Thứ tư"/>
    <d v="2026-01-28T00:00:00"/>
    <x v="3"/>
    <n v="53"/>
    <s v="Phòng máy_Trung tâm máy tính"/>
    <n v="190213"/>
    <s v="Nguyễn Văn Sơn"/>
  </r>
  <r>
    <s v="Trường Công nghệ thông tin và Truyền thông"/>
    <n v="190214"/>
    <n v="162275"/>
    <x v="20"/>
    <s v="Thuật toán ứng dụng"/>
    <s v="KH máy tính - KT máy tính-K68S"/>
    <s v="Nhóm 2"/>
    <s v="AB"/>
    <x v="0"/>
    <s v="Thứ tư"/>
    <d v="2026-01-28T00:00:00"/>
    <x v="3"/>
    <n v="52"/>
    <s v="Phòng máy_Trung tâm máy tính"/>
    <n v="190214"/>
    <s v="Nguyễn Văn Sơn"/>
  </r>
  <r>
    <s v="Trường Công nghệ thông tin và Truyền thông"/>
    <n v="190215"/>
    <n v="162276"/>
    <x v="20"/>
    <s v="Thuật toán ứng dụng"/>
    <s v="KH máy tính - KT máy tính-K68S"/>
    <s v="Nhóm 2"/>
    <s v="AB"/>
    <x v="0"/>
    <s v="Thứ tư"/>
    <d v="2026-01-28T00:00:00"/>
    <x v="3"/>
    <n v="68"/>
    <s v="Phòng máy_Trung tâm máy tính"/>
    <n v="190215"/>
    <s v="Nguyễn Đức Anh"/>
  </r>
  <r>
    <s v="Trường Công nghệ thông tin và Truyền thông"/>
    <n v="190216"/>
    <n v="162276"/>
    <x v="20"/>
    <s v="Thuật toán ứng dụng"/>
    <s v="KH máy tính - KT máy tính-K68S"/>
    <s v="Nhóm 1"/>
    <s v="AB"/>
    <x v="0"/>
    <s v="Thứ tư"/>
    <d v="2026-01-28T00:00:00"/>
    <x v="3"/>
    <n v="68"/>
    <s v="Phòng máy_Trung tâm máy tính"/>
    <n v="190216"/>
    <s v="Nguyễn Đức Anh"/>
  </r>
  <r>
    <s v="Trường Công nghệ thông tin và Truyền thông"/>
    <n v="190219"/>
    <n v="162277"/>
    <x v="20"/>
    <s v="Thuật toán ứng dụng"/>
    <s v="KH máy tính - KT máy tính-K68S"/>
    <s v="Nhóm 1"/>
    <s v="AB"/>
    <x v="0"/>
    <s v="Thứ tư"/>
    <d v="2026-01-28T00:00:00"/>
    <x v="4"/>
    <n v="47"/>
    <s v="Phòng máy_Trung tâm máy tính"/>
    <n v="190219"/>
    <s v="Bùi Quốc Trung"/>
  </r>
  <r>
    <s v="Trường Công nghệ thông tin và Truyền thông"/>
    <n v="190217"/>
    <n v="162277"/>
    <x v="20"/>
    <s v="Thuật toán ứng dụng"/>
    <s v="KH máy tính - KT máy tính-K68S"/>
    <s v="Nhóm 2"/>
    <s v="AB"/>
    <x v="0"/>
    <s v="Thứ tư"/>
    <d v="2026-01-28T00:00:00"/>
    <x v="4"/>
    <n v="47"/>
    <s v="Phòng máy_Trung tâm máy tính"/>
    <n v="190217"/>
    <s v="Bùi Quốc Trung"/>
  </r>
  <r>
    <s v="Trường Công nghệ thông tin và Truyền thông"/>
    <n v="190218"/>
    <n v="162277"/>
    <x v="20"/>
    <s v="Thuật toán ứng dụng"/>
    <s v="KH máy tính - KT máy tính-K68S"/>
    <s v="Nhóm 3"/>
    <s v="AB"/>
    <x v="0"/>
    <s v="Thứ tư"/>
    <d v="2026-01-28T00:00:00"/>
    <x v="4"/>
    <n v="47"/>
    <s v="Phòng máy_Trung tâm máy tính"/>
    <n v="190218"/>
    <s v="Bùi Quốc Trung"/>
  </r>
  <r>
    <s v="Trường Công nghệ thông tin và Truyền thông"/>
    <n v="190224"/>
    <n v="161626"/>
    <x v="21"/>
    <s v="Nhập môn công nghệ phần mềm"/>
    <s v="(Blend)-**Việt Pháp -K68S"/>
    <s v="TC"/>
    <s v="AB"/>
    <x v="2"/>
    <s v="Thứ hai"/>
    <d v="2026-01-19T00:00:00"/>
    <x v="5"/>
    <n v="45"/>
    <s v="Phòng máy_Trung tâm máy tính"/>
    <n v="190224"/>
    <s v="Vũ Thị Hương Giang"/>
  </r>
  <r>
    <s v="Trường Công nghệ thông tin và Truyền thông"/>
    <n v="190226"/>
    <n v="162271"/>
    <x v="21"/>
    <s v="Nhập môn công nghệ phần mềm"/>
    <s v="(Blend)-KH máy tính - KT máy tính-K68S"/>
    <s v="Nhóm 1"/>
    <s v="AB"/>
    <x v="2"/>
    <s v="Thứ hai"/>
    <d v="2026-01-19T00:00:00"/>
    <x v="5"/>
    <n v="48"/>
    <s v="Phòng máy_Trung tâm máy tính"/>
    <n v="190226"/>
    <s v="Bùi Thị Mai Anh (0.0) - Trịnh Thành Trung (1.0)"/>
  </r>
  <r>
    <s v="Trường Công nghệ thông tin và Truyền thông"/>
    <n v="190225"/>
    <n v="162271"/>
    <x v="21"/>
    <s v="Nhập môn công nghệ phần mềm"/>
    <s v="(Blend)-KH máy tính - KT máy tính-K68S"/>
    <s v="Nhóm 2"/>
    <s v="AB"/>
    <x v="2"/>
    <s v="Thứ hai"/>
    <d v="2026-01-19T00:00:00"/>
    <x v="5"/>
    <n v="48"/>
    <s v="Phòng máy_Trung tâm máy tính"/>
    <n v="190225"/>
    <s v="Bùi Thị Mai Anh (0.0) - Trịnh Thành Trung (1.0)"/>
  </r>
  <r>
    <s v="Trường Công nghệ thông tin và Truyền thông"/>
    <n v="190227"/>
    <n v="162271"/>
    <x v="21"/>
    <s v="Nhập môn công nghệ phần mềm"/>
    <s v="(Blend)-KH máy tính - KT máy tính-K68S"/>
    <s v="Nhóm 3"/>
    <s v="AB"/>
    <x v="2"/>
    <s v="Thứ hai"/>
    <d v="2026-01-19T00:00:00"/>
    <x v="5"/>
    <n v="48"/>
    <s v="Phòng máy_Trung tâm máy tính"/>
    <n v="190227"/>
    <s v="Bùi Thị Mai Anh (0.0) - Trịnh Thành Trung (1.0)"/>
  </r>
  <r>
    <s v="Trường Công nghệ thông tin và Truyền thông"/>
    <n v="190228"/>
    <n v="162272"/>
    <x v="21"/>
    <s v="Nhập môn công nghệ phần mềm"/>
    <s v="(Blend)-KH máy tính - KT máy tính-K68S"/>
    <s v="Nhóm 1"/>
    <s v="AB"/>
    <x v="2"/>
    <s v="Thứ hai"/>
    <d v="2026-01-19T00:00:00"/>
    <x v="5"/>
    <n v="53"/>
    <s v="Phòng máy_Trung tâm máy tính"/>
    <n v="190228"/>
    <s v="Trần Nhật Hoá"/>
  </r>
  <r>
    <s v="Trường Công nghệ thông tin và Truyền thông"/>
    <n v="190230"/>
    <n v="162272"/>
    <x v="21"/>
    <s v="Nhập môn công nghệ phần mềm"/>
    <s v="(Blend)-KH máy tính - KT máy tính-K68S"/>
    <s v="Nhóm 2"/>
    <s v="AB"/>
    <x v="2"/>
    <s v="Thứ hai"/>
    <d v="2026-01-19T00:00:00"/>
    <x v="5"/>
    <n v="53"/>
    <s v="Phòng máy_Trung tâm máy tính"/>
    <n v="190230"/>
    <s v="Trần Nhật Hoá"/>
  </r>
  <r>
    <s v="Trường Công nghệ thông tin và Truyền thông"/>
    <n v="190229"/>
    <n v="162272"/>
    <x v="21"/>
    <s v="Nhập môn công nghệ phần mềm"/>
    <s v="(Blend)-KH máy tính - KT máy tính-K68S"/>
    <s v="Nhóm 3"/>
    <s v="AB"/>
    <x v="2"/>
    <s v="Thứ hai"/>
    <d v="2026-01-19T00:00:00"/>
    <x v="5"/>
    <n v="53"/>
    <s v="Phòng máy_Trung tâm máy tính"/>
    <n v="190229"/>
    <s v="Trần Nhật Hoá"/>
  </r>
  <r>
    <s v="Trường Công nghệ thông tin và Truyền thông"/>
    <n v="190233"/>
    <n v="162273"/>
    <x v="21"/>
    <s v="Nhập môn công nghệ phần mềm"/>
    <s v="(Blend)-KH máy tính - KT máy tính-K68C"/>
    <s v="Nhóm 1"/>
    <s v="AB"/>
    <x v="2"/>
    <s v="Thứ hai"/>
    <d v="2026-01-19T00:00:00"/>
    <x v="4"/>
    <n v="54"/>
    <s v="Phòng máy_Trung tâm máy tính"/>
    <n v="190233"/>
    <s v="Nguyễn Mạnh Tuấn"/>
  </r>
  <r>
    <s v="Trường Công nghệ thông tin và Truyền thông"/>
    <n v="190232"/>
    <n v="162273"/>
    <x v="21"/>
    <s v="Nhập môn công nghệ phần mềm"/>
    <s v="(Blend)-KH máy tính - KT máy tính-K68C"/>
    <s v="Nhóm 2"/>
    <s v="AB"/>
    <x v="2"/>
    <s v="Thứ hai"/>
    <d v="2026-01-19T00:00:00"/>
    <x v="4"/>
    <n v="53"/>
    <s v="Phòng máy_Trung tâm máy tính"/>
    <n v="190232"/>
    <s v="Nguyễn Mạnh Tuấn"/>
  </r>
  <r>
    <s v="Trường Công nghệ thông tin và Truyền thông"/>
    <n v="190231"/>
    <n v="162273"/>
    <x v="21"/>
    <s v="Nhập môn công nghệ phần mềm"/>
    <s v="(Blend)-KH máy tính - KT máy tính-K68C"/>
    <s v="Nhóm 3"/>
    <s v="AB"/>
    <x v="2"/>
    <s v="Thứ hai"/>
    <d v="2026-01-19T00:00:00"/>
    <x v="4"/>
    <n v="53"/>
    <s v="Phòng máy_Trung tâm máy tính"/>
    <n v="190231"/>
    <s v="Nguyễn Mạnh Tuấn"/>
  </r>
  <r>
    <s v="Trường Công nghệ thông tin và Truyền thông"/>
    <n v="190239"/>
    <n v="162268"/>
    <x v="22"/>
    <s v="Nhập môn Học máy và khai phá dữ liệu"/>
    <s v="KH máy tính-K68S"/>
    <s v="Nhóm 2"/>
    <s v="AB"/>
    <x v="0"/>
    <s v="Thứ hai"/>
    <d v="2026-01-26T00:00:00"/>
    <x v="3"/>
    <n v="46"/>
    <s v="Phòng máy_Trung tâm máy tính"/>
    <n v="190239"/>
    <s v="Phạm Văn Hải"/>
  </r>
  <r>
    <s v="Trường Công nghệ thông tin và Truyền thông"/>
    <n v="190238"/>
    <n v="162268"/>
    <x v="22"/>
    <s v="Nhập môn Học máy và khai phá dữ liệu"/>
    <s v="KH máy tính-K68S"/>
    <s v="Nhóm 1"/>
    <s v="AB"/>
    <x v="0"/>
    <s v="Thứ hai"/>
    <d v="2026-01-26T00:00:00"/>
    <x v="3"/>
    <n v="46"/>
    <s v="Phòng máy_Trung tâm máy tính"/>
    <n v="190238"/>
    <s v="Phạm Văn Hải"/>
  </r>
  <r>
    <s v="Trường Công nghệ thông tin và Truyền thông"/>
    <n v="190241"/>
    <n v="162269"/>
    <x v="22"/>
    <s v="Nhập môn Học máy và khai phá dữ liệu"/>
    <s v="KH máy tính-K68S"/>
    <s v="Nhóm 1"/>
    <s v="AB"/>
    <x v="0"/>
    <s v="Thứ hai"/>
    <d v="2026-01-26T00:00:00"/>
    <x v="3"/>
    <n v="50"/>
    <s v="Phòng máy_Trung tâm máy tính"/>
    <n v="190241"/>
    <s v="Nguyễn Kiêm Hiếu (0.5) - Lê Đức Hậu (0.5)"/>
  </r>
  <r>
    <s v="Trường Công nghệ thông tin và Truyền thông"/>
    <n v="190240"/>
    <n v="162269"/>
    <x v="22"/>
    <s v="Nhập môn Học máy và khai phá dữ liệu"/>
    <s v="KH máy tính-K68S"/>
    <s v="Nhóm 2"/>
    <s v="AB"/>
    <x v="0"/>
    <s v="Thứ hai"/>
    <d v="2026-01-26T00:00:00"/>
    <x v="3"/>
    <n v="49"/>
    <s v="Phòng máy_Trung tâm máy tính"/>
    <n v="190240"/>
    <s v="Nguyễn Kiêm Hiếu (0.5) - Lê Đức Hậu (0.5)"/>
  </r>
  <r>
    <s v="Trường Công nghệ thông tin và Truyền thông"/>
    <n v="190242"/>
    <n v="164865"/>
    <x v="22"/>
    <s v="Nhập môn Học máy và khai phá dữ liệu"/>
    <s v="KSCS-GenAI - Khối kiến thức ngành rộng"/>
    <s v="TC"/>
    <s v="AB"/>
    <x v="0"/>
    <s v="Thứ hai"/>
    <d v="2026-01-26T00:00:00"/>
    <x v="3"/>
    <n v="25"/>
    <s v="Phòng máy_Trung tâm máy tính"/>
    <n v="190242"/>
    <s v="Đàm Quang Tuấn"/>
  </r>
  <r>
    <s v="Trường Công nghệ thông tin và Truyền thông"/>
    <n v="190272"/>
    <n v="161861"/>
    <x v="23"/>
    <s v="Introduction to Deep Learning"/>
    <s v="**CTTT-Data Science, An toàn KG-K68C"/>
    <s v="TC"/>
    <s v="AB"/>
    <x v="1"/>
    <s v="Thứ hai"/>
    <d v="2026-02-02T00:00:00"/>
    <x v="0"/>
    <n v="71"/>
    <s v="Phòng máy_Trung tâm máy tính"/>
    <n v="190272"/>
    <s v="Thân Quang Khoát"/>
  </r>
  <r>
    <s v="Trường Công nghệ thông tin và Truyền thông"/>
    <n v="190274"/>
    <n v="161862"/>
    <x v="23"/>
    <s v="Introduction to Deep Learning"/>
    <s v="**CTTT-Data Science, An toàn KG-K68C"/>
    <s v="Nhóm 2"/>
    <s v="AB"/>
    <x v="1"/>
    <s v="Thứ hai"/>
    <d v="2026-02-02T00:00:00"/>
    <x v="0"/>
    <n v="40"/>
    <s v="Phòng máy_Trung tâm máy tính"/>
    <n v="190274"/>
    <s v="Đinh Viết Sang"/>
  </r>
  <r>
    <s v="Trường Công nghệ thông tin và Truyền thông"/>
    <n v="190273"/>
    <n v="161862"/>
    <x v="23"/>
    <s v="Introduction to Deep Learning"/>
    <s v="**CTTT-Data Science, An toàn KG-K68C"/>
    <s v="Nhóm 1"/>
    <s v="AB"/>
    <x v="1"/>
    <s v="Thứ hai"/>
    <d v="2026-02-02T00:00:00"/>
    <x v="0"/>
    <n v="40"/>
    <s v="Phòng máy_Trung tâm máy tính"/>
    <n v="190273"/>
    <s v="Đinh Viết Sang"/>
  </r>
  <r>
    <s v="Trường Công nghệ thông tin và Truyền thông"/>
    <n v="190330"/>
    <n v="161857"/>
    <x v="24"/>
    <s v="Nhập môn an toàn thông tin"/>
    <s v="**CTTT-Data Science, An toàn KG-K68C"/>
    <s v="Nhóm 1"/>
    <s v="AB"/>
    <x v="1"/>
    <s v="Thứ sáu"/>
    <d v="2026-02-06T00:00:00"/>
    <x v="3"/>
    <n v="47"/>
    <s v="Phòng máy_Trung tâm máy tính"/>
    <n v="190330"/>
    <s v="Trần Vĩnh Đức"/>
  </r>
  <r>
    <s v="Trường Công nghệ thông tin và Truyền thông"/>
    <n v="190331"/>
    <n v="161857"/>
    <x v="24"/>
    <s v="Nhập môn an toàn thông tin"/>
    <s v="**CTTT-Data Science, An toàn KG-K68C"/>
    <s v="Nhóm 2"/>
    <s v="AB"/>
    <x v="1"/>
    <s v="Thứ sáu"/>
    <d v="2026-02-06T00:00:00"/>
    <x v="3"/>
    <n v="50"/>
    <s v="Phòng máy_Trung tâm máy tính"/>
    <n v="190331"/>
    <s v="Trần Vĩnh Đức"/>
  </r>
  <r>
    <s v="Trường Công nghệ thông tin và Truyền thông"/>
    <n v="190332"/>
    <n v="161858"/>
    <x v="24"/>
    <s v="Nhập môn an toàn thông tin"/>
    <s v="**CTTT-Data Science, An toàn KG-K68C"/>
    <s v="Nhóm 2"/>
    <s v="AB"/>
    <x v="1"/>
    <s v="Thứ sáu"/>
    <d v="2026-02-06T00:00:00"/>
    <x v="3"/>
    <n v="49"/>
    <s v="Phòng máy_Trung tâm máy tính"/>
    <n v="190332"/>
    <s v="Trần Vĩnh Đức"/>
  </r>
  <r>
    <s v="Trường Công nghệ thông tin và Truyền thông"/>
    <n v="190333"/>
    <n v="161858"/>
    <x v="24"/>
    <s v="Nhập môn an toàn thông tin"/>
    <s v="**CTTT-Data Science, An toàn KG-K68C"/>
    <s v="Nhóm 1"/>
    <s v="AB"/>
    <x v="1"/>
    <s v="Thứ sáu"/>
    <d v="2026-02-06T00:00:00"/>
    <x v="3"/>
    <n v="50"/>
    <s v="Phòng máy_Trung tâm máy tính"/>
    <n v="190333"/>
    <s v="Trần Vĩnh Đức"/>
  </r>
  <r>
    <s v="Trường Công nghệ thông tin và Truyền thông"/>
    <n v="190342"/>
    <n v="161703"/>
    <x v="25"/>
    <s v="Big Data Storage and Processing"/>
    <s v="**CTTT-Data Science &amp; AI-K67S"/>
    <s v="Nhóm 2"/>
    <s v="AB"/>
    <x v="2"/>
    <s v="Thứ năm"/>
    <d v="2026-01-22T00:00:00"/>
    <x v="4"/>
    <n v="63"/>
    <s v="Phòng máy_Trung tâm máy tính"/>
    <n v="190342"/>
    <s v="Trần Việt Trung"/>
  </r>
  <r>
    <s v="Trường Công nghệ thông tin và Truyền thông"/>
    <n v="190341"/>
    <n v="161703"/>
    <x v="25"/>
    <s v="Big Data Storage and Processing"/>
    <s v="**CTTT-Data Science &amp; AI-K67S"/>
    <s v="Nhóm 1"/>
    <s v="AB"/>
    <x v="2"/>
    <s v="Thứ năm"/>
    <d v="2026-01-22T00:00:00"/>
    <x v="4"/>
    <n v="63"/>
    <s v="Phòng máy_Trung tâm máy tính"/>
    <n v="190341"/>
    <s v="Trần Việt Trung"/>
  </r>
  <r>
    <s v="Trường Công nghệ thông tin và Truyền thông"/>
    <n v="190376"/>
    <n v="161863"/>
    <x v="26"/>
    <s v="Introduction to Data Science"/>
    <s v="**CTTT-Data Science-K68C"/>
    <s v="Nhóm 1"/>
    <s v="AB"/>
    <x v="0"/>
    <s v="Thứ năm"/>
    <d v="2026-01-29T00:00:00"/>
    <x v="5"/>
    <n v="58"/>
    <s v="Phòng máy_Trung tâm máy tính"/>
    <n v="190376"/>
    <s v="Nguyễn Đức Anh"/>
  </r>
  <r>
    <s v="Trường Công nghệ thông tin và Truyền thông"/>
    <n v="190377"/>
    <n v="161863"/>
    <x v="26"/>
    <s v="Introduction to Data Science"/>
    <s v="**CTTT-Data Science-K68C"/>
    <s v="Nhóm 2"/>
    <s v="AB"/>
    <x v="0"/>
    <s v="Thứ năm"/>
    <d v="2026-01-29T00:00:00"/>
    <x v="5"/>
    <n v="58"/>
    <s v="Phòng máy_Trung tâm máy tính"/>
    <n v="190377"/>
    <s v="Nguyễn Đức Anh"/>
  </r>
  <r>
    <s v="Trường Công nghệ thông tin và Truyền thông"/>
    <n v="190385"/>
    <n v="162281"/>
    <x v="27"/>
    <s v="Xử lý tín hiệu"/>
    <s v="KT máy tính-K68C"/>
    <s v="Nhóm 2"/>
    <s v="AB"/>
    <x v="2"/>
    <s v="Thứ năm"/>
    <d v="2026-01-22T00:00:00"/>
    <x v="5"/>
    <n v="68"/>
    <s v="Phòng máy_Trung tâm máy tính"/>
    <n v="190385"/>
    <s v="Đoàn Phong Tùng"/>
  </r>
  <r>
    <s v="Trường Công nghệ thông tin và Truyền thông"/>
    <n v="190384"/>
    <n v="162281"/>
    <x v="27"/>
    <s v="Xử lý tín hiệu"/>
    <s v="KT máy tính-K68C"/>
    <s v="Nhóm 1"/>
    <s v="AB"/>
    <x v="2"/>
    <s v="Thứ năm"/>
    <d v="2026-01-22T00:00:00"/>
    <x v="5"/>
    <n v="69"/>
    <s v="Phòng máy_Trung tâm máy tính"/>
    <n v="190384"/>
    <s v="Đoàn Phong Tùng"/>
  </r>
  <r>
    <s v="Trường Công nghệ thông tin và Truyền thông"/>
    <n v="190388"/>
    <n v="162282"/>
    <x v="27"/>
    <s v="Xử lý tín hiệu"/>
    <s v="KT máy tính-K68C"/>
    <s v="Nhóm 1"/>
    <s v="AB"/>
    <x v="2"/>
    <s v="Thứ năm"/>
    <d v="2026-01-22T00:00:00"/>
    <x v="5"/>
    <n v="47"/>
    <s v="Phòng máy_Trung tâm máy tính"/>
    <n v="190388"/>
    <s v="Lã Thế Vinh"/>
  </r>
  <r>
    <s v="Trường Công nghệ thông tin và Truyền thông"/>
    <n v="190387"/>
    <n v="162282"/>
    <x v="27"/>
    <s v="Xử lý tín hiệu"/>
    <s v="KT máy tính-K68C"/>
    <s v="Nhóm 2"/>
    <s v="AB"/>
    <x v="2"/>
    <s v="Thứ năm"/>
    <d v="2026-01-22T00:00:00"/>
    <x v="5"/>
    <n v="47"/>
    <s v="Phòng máy_Trung tâm máy tính"/>
    <n v="190387"/>
    <s v="Lã Thế Vinh"/>
  </r>
  <r>
    <s v="Trường Công nghệ thông tin và Truyền thông"/>
    <n v="190386"/>
    <n v="162282"/>
    <x v="27"/>
    <s v="Xử lý tín hiệu"/>
    <s v="KT máy tính-K68C"/>
    <s v="Nhóm 3"/>
    <s v="AB"/>
    <x v="2"/>
    <s v="Thứ năm"/>
    <d v="2026-01-22T00:00:00"/>
    <x v="5"/>
    <n v="46"/>
    <s v="Phòng máy_Trung tâm máy tính"/>
    <n v="190386"/>
    <s v="Lã Thế Vinh"/>
  </r>
  <r>
    <s v="Trường Công nghệ thông tin và Truyền thông"/>
    <n v="190390"/>
    <n v="161500"/>
    <x v="28"/>
    <s v="Hệ nhúng"/>
    <s v="**Tài năng KHMT-K67S"/>
    <s v="TC"/>
    <s v="AB"/>
    <x v="0"/>
    <s v="Thứ sáu"/>
    <d v="2026-01-30T00:00:00"/>
    <x v="4"/>
    <n v="41"/>
    <s v="Phòng máy_Trung tâm máy tính"/>
    <n v="190390"/>
    <s v="Ngô Lam Trung"/>
  </r>
  <r>
    <s v="Trường Công nghệ thông tin và Truyền thông"/>
    <n v="190392"/>
    <n v="162290"/>
    <x v="29"/>
    <s v="Quản trị dự án CNTT"/>
    <s v="KH máy tính-K67C"/>
    <s v="Nhóm 1"/>
    <s v="AB"/>
    <x v="1"/>
    <s v="Thứ sáu"/>
    <d v="2026-02-06T00:00:00"/>
    <x v="0"/>
    <n v="66"/>
    <s v="Phòng máy_Trung tâm máy tính"/>
    <n v="190392"/>
    <s v="Lê Đức Trung"/>
  </r>
  <r>
    <s v="Trường Công nghệ thông tin và Truyền thông"/>
    <n v="190393"/>
    <n v="162290"/>
    <x v="29"/>
    <s v="Quản trị dự án CNTT"/>
    <s v="KH máy tính-K67C"/>
    <s v="Nhóm 2"/>
    <s v="AB"/>
    <x v="1"/>
    <s v="Thứ sáu"/>
    <d v="2026-02-06T00:00:00"/>
    <x v="0"/>
    <n v="65"/>
    <s v="Phòng máy_Trung tâm máy tính"/>
    <n v="190393"/>
    <s v="Lê Đức Trung"/>
  </r>
  <r>
    <s v="Trường Công nghệ thông tin và Truyền thông"/>
    <n v="190398"/>
    <n v="162319"/>
    <x v="30"/>
    <s v="An ninh mạng"/>
    <s v="KT máy tính-mô đun 2,3-K67S"/>
    <s v="Nhóm 1"/>
    <s v="AB"/>
    <x v="0"/>
    <s v="Thứ hai"/>
    <d v="2026-01-26T00:00:00"/>
    <x v="5"/>
    <n v="48"/>
    <s v="Phòng máy_Trung tâm máy tính"/>
    <n v="190398"/>
    <s v="Nguyễn Linh Giang"/>
  </r>
  <r>
    <s v="Trường Công nghệ thông tin và Truyền thông"/>
    <n v="190397"/>
    <n v="162319"/>
    <x v="30"/>
    <s v="An ninh mạng"/>
    <s v="KT máy tính-mô đun 2,3-K67S"/>
    <s v="Nhóm 2"/>
    <s v="AB"/>
    <x v="0"/>
    <s v="Thứ hai"/>
    <d v="2026-01-26T00:00:00"/>
    <x v="5"/>
    <n v="47"/>
    <s v="Phòng máy_Trung tâm máy tính"/>
    <n v="190397"/>
    <s v="Nguyễn Linh Giang"/>
  </r>
  <r>
    <s v="Trường Công nghệ thông tin và Truyền thông"/>
    <n v="190413"/>
    <n v="161623"/>
    <x v="31"/>
    <s v="Công nghệ Web và dịch vụ trực tuyến"/>
    <s v="**Việt Pháp-K67C"/>
    <s v="TC"/>
    <s v="AB"/>
    <x v="2"/>
    <s v="Thứ hai"/>
    <d v="2026-01-19T00:00:00"/>
    <x v="0"/>
    <n v="37"/>
    <s v="Phòng máy_Trung tâm máy tính"/>
    <n v="190413"/>
    <s v="Trịnh Tuấn Đạt"/>
  </r>
  <r>
    <s v="Trường Công nghệ thông tin và Truyền thông"/>
    <n v="190415"/>
    <n v="162307"/>
    <x v="31"/>
    <s v="Công nghệ Web và dịch vụ trực tuyến"/>
    <s v="KT máy tính - KH máy tính-K67S"/>
    <s v="Nhóm 1"/>
    <s v="AB"/>
    <x v="2"/>
    <s v="Thứ hai"/>
    <d v="2026-01-19T00:00:00"/>
    <x v="1"/>
    <n v="48"/>
    <s v="Phòng máy_Trung tâm máy tính"/>
    <n v="190415"/>
    <s v="Đỗ Bá Lâm"/>
  </r>
  <r>
    <s v="Trường Công nghệ thông tin và Truyền thông"/>
    <n v="190416"/>
    <n v="162307"/>
    <x v="31"/>
    <s v="Công nghệ Web và dịch vụ trực tuyến"/>
    <s v="KT máy tính - KH máy tính-K67S"/>
    <s v="Nhóm 2"/>
    <s v="AB"/>
    <x v="2"/>
    <s v="Thứ hai"/>
    <d v="2026-01-19T00:00:00"/>
    <x v="1"/>
    <n v="48"/>
    <s v="Phòng máy_Trung tâm máy tính"/>
    <n v="190416"/>
    <s v="Đỗ Bá Lâm"/>
  </r>
  <r>
    <s v="Trường Công nghệ thông tin và Truyền thông"/>
    <n v="190414"/>
    <n v="162307"/>
    <x v="31"/>
    <s v="Công nghệ Web và dịch vụ trực tuyến"/>
    <s v="KT máy tính - KH máy tính-K67S"/>
    <s v="Nhóm 3"/>
    <s v="AB"/>
    <x v="2"/>
    <s v="Thứ hai"/>
    <d v="2026-01-19T00:00:00"/>
    <x v="1"/>
    <n v="48"/>
    <s v="Phòng máy_Trung tâm máy tính"/>
    <n v="190414"/>
    <s v="Đỗ Bá Lâm"/>
  </r>
  <r>
    <s v="Trường Công nghệ thông tin và Truyền thông"/>
    <n v="190418"/>
    <n v="162308"/>
    <x v="31"/>
    <s v="Công nghệ Web và dịch vụ trực tuyến"/>
    <s v="KT máy tính - KH máy tính-K67S"/>
    <s v="Nhóm 1"/>
    <s v="AB"/>
    <x v="2"/>
    <s v="Thứ hai"/>
    <d v="2026-01-19T00:00:00"/>
    <x v="0"/>
    <n v="55"/>
    <s v="Phòng máy_Trung tâm máy tính"/>
    <n v="190418"/>
    <s v="Đỗ Bá Lâm"/>
  </r>
  <r>
    <s v="Trường Công nghệ thông tin và Truyền thông"/>
    <n v="190417"/>
    <n v="162308"/>
    <x v="31"/>
    <s v="Công nghệ Web và dịch vụ trực tuyến"/>
    <s v="KT máy tính - KH máy tính-K67S"/>
    <s v="Nhóm 2"/>
    <s v="AB"/>
    <x v="2"/>
    <s v="Thứ hai"/>
    <d v="2026-01-19T00:00:00"/>
    <x v="0"/>
    <n v="55"/>
    <s v="Phòng máy_Trung tâm máy tính"/>
    <n v="190417"/>
    <s v="Đỗ Bá Lâm"/>
  </r>
  <r>
    <s v="Trường Công nghệ thông tin và Truyền thông"/>
    <n v="190422"/>
    <n v="162291"/>
    <x v="32"/>
    <s v="Giao diện và trải nghiệm người dùng"/>
    <s v="KH máy tính-mô đun 1-K67C"/>
    <s v="TC"/>
    <s v="AB"/>
    <x v="2"/>
    <s v="Thứ ba"/>
    <d v="2026-01-20T00:00:00"/>
    <x v="5"/>
    <n v="47"/>
    <s v="Phòng máy_Trung tâm máy tính"/>
    <n v="190422"/>
    <s v="Lê Tấn Hùng"/>
  </r>
  <r>
    <s v="Trường Công nghệ thông tin và Truyền thông"/>
    <n v="190430"/>
    <n v="161501"/>
    <x v="33"/>
    <s v="Thiết kế và xây dựng phần mềm"/>
    <s v="**Tài năng KHMT-K67S"/>
    <s v="TC"/>
    <s v="AB"/>
    <x v="1"/>
    <s v="Thứ ba"/>
    <d v="2026-02-03T00:00:00"/>
    <x v="4"/>
    <n v="40"/>
    <s v="Phòng máy_Trung tâm máy tính"/>
    <n v="190430"/>
    <s v="Nguyễn Mạnh Tuấn"/>
  </r>
  <r>
    <s v="Trường Công nghệ thông tin và Truyền thông"/>
    <n v="190431"/>
    <n v="161620"/>
    <x v="33"/>
    <s v="Thiết kế và xây dựng phần mềm"/>
    <s v="**Việt Pháp -K67C"/>
    <s v="TC"/>
    <s v="AB"/>
    <x v="1"/>
    <s v="Thứ ba"/>
    <d v="2026-02-03T00:00:00"/>
    <x v="4"/>
    <n v="52"/>
    <s v="Phòng máy_Trung tâm máy tính"/>
    <n v="190431"/>
    <s v="Nguyễn Thị Thu Trang"/>
  </r>
  <r>
    <s v="Trường Công nghệ thông tin và Truyền thông"/>
    <n v="190432"/>
    <n v="162292"/>
    <x v="33"/>
    <s v="Thiết kế và xây dựng phần mềm"/>
    <s v="KH máy tính-mô đun 1-K67C"/>
    <s v="Nhóm 1"/>
    <s v="AB"/>
    <x v="1"/>
    <s v="Thứ ba"/>
    <d v="2026-02-03T00:00:00"/>
    <x v="4"/>
    <n v="48"/>
    <s v="Phòng máy_Trung tâm máy tính"/>
    <n v="190432"/>
    <s v="Nguyễn Thị Thu Trang"/>
  </r>
  <r>
    <s v="Trường Công nghệ thông tin và Truyền thông"/>
    <n v="190433"/>
    <n v="162292"/>
    <x v="33"/>
    <s v="Thiết kế và xây dựng phần mềm"/>
    <s v="KH máy tính-mô đun 1-K67C"/>
    <s v="Nhóm 2"/>
    <s v="AB"/>
    <x v="1"/>
    <s v="Thứ ba"/>
    <d v="2026-02-03T00:00:00"/>
    <x v="4"/>
    <n v="48"/>
    <s v="Phòng máy_Trung tâm máy tính"/>
    <n v="190433"/>
    <s v="Nguyễn Thị Thu Trang"/>
  </r>
  <r>
    <s v="Trường Công nghệ thông tin và Truyền thông"/>
    <n v="190442"/>
    <n v="161708"/>
    <x v="34"/>
    <s v="An toàn phần mềm"/>
    <s v="**CTTT-An toàn KG-K67S"/>
    <s v="TC"/>
    <s v="AB"/>
    <x v="0"/>
    <s v="Thứ năm"/>
    <d v="2026-01-29T00:00:00"/>
    <x v="0"/>
    <n v="47"/>
    <s v="Phòng máy_Trung tâm máy tính"/>
    <n v="190442"/>
    <s v="Trần Văn Đặng"/>
  </r>
  <r>
    <s v="Trường Công nghệ thông tin và Truyền thông"/>
    <n v="190452"/>
    <n v="162283"/>
    <x v="35"/>
    <s v="Nhập môn kỹ thuật truyền thông"/>
    <s v="KT máy tính-K68C"/>
    <s v="Nhóm 1"/>
    <s v="AB"/>
    <x v="1"/>
    <s v="Thứ năm"/>
    <d v="2026-02-05T00:00:00"/>
    <x v="3"/>
    <n v="52"/>
    <s v="Phòng máy_Trung tâm máy tính"/>
    <n v="190452"/>
    <s v="Đỗ Công Thuần"/>
  </r>
  <r>
    <s v="Trường Công nghệ thông tin và Truyền thông"/>
    <n v="190451"/>
    <n v="162283"/>
    <x v="35"/>
    <s v="Nhập môn kỹ thuật truyền thông"/>
    <s v="KT máy tính-K68C"/>
    <s v="Nhóm 2"/>
    <s v="AB"/>
    <x v="1"/>
    <s v="Thứ năm"/>
    <d v="2026-02-05T00:00:00"/>
    <x v="3"/>
    <n v="52"/>
    <s v="Phòng máy_Trung tâm máy tính"/>
    <n v="190451"/>
    <s v="Đỗ Công Thuần"/>
  </r>
  <r>
    <s v="Trường Công nghệ thông tin và Truyền thông"/>
    <n v="190454"/>
    <n v="162284"/>
    <x v="35"/>
    <s v="Nhập môn kỹ thuật truyền thông"/>
    <s v="KT máy tính-K68C"/>
    <s v="Nhóm 2"/>
    <s v="AB"/>
    <x v="1"/>
    <s v="Thứ năm"/>
    <d v="2026-02-05T00:00:00"/>
    <x v="3"/>
    <n v="50"/>
    <s v="Phòng máy_Trung tâm máy tính"/>
    <n v="190454"/>
    <s v="Đỗ Công Thuần"/>
  </r>
  <r>
    <s v="Trường Công nghệ thông tin và Truyền thông"/>
    <n v="190453"/>
    <n v="162284"/>
    <x v="35"/>
    <s v="Nhập môn kỹ thuật truyền thông"/>
    <s v="KT máy tính-K68C"/>
    <s v="Nhóm 1"/>
    <s v="AB"/>
    <x v="1"/>
    <s v="Thứ năm"/>
    <d v="2026-02-05T00:00:00"/>
    <x v="3"/>
    <n v="50"/>
    <s v="Phòng máy_Trung tâm máy tính"/>
    <n v="190453"/>
    <s v="Đỗ Công Thuần"/>
  </r>
  <r>
    <s v="Trường Công nghệ thông tin và Truyền thông"/>
    <n v="190455"/>
    <n v="162284"/>
    <x v="35"/>
    <s v="Nhập môn kỹ thuật truyền thông"/>
    <s v="KT máy tính-K68C"/>
    <s v="Nhóm 3"/>
    <s v="AB"/>
    <x v="1"/>
    <s v="Thứ năm"/>
    <d v="2026-02-05T00:00:00"/>
    <x v="3"/>
    <n v="49"/>
    <s v="Phòng máy_Trung tâm máy tính"/>
    <n v="190455"/>
    <s v="Đỗ Công Thuần"/>
  </r>
  <r>
    <s v="Trường Công nghệ thông tin và Truyền thông"/>
    <n v="190463"/>
    <n v="162305"/>
    <x v="36"/>
    <s v="Hệ gợi ý"/>
    <s v="KH máy tính-mô đun 5-K67C"/>
    <s v="Nhóm 1"/>
    <s v="AB"/>
    <x v="1"/>
    <s v="Thứ năm"/>
    <d v="2026-02-05T00:00:00"/>
    <x v="4"/>
    <n v="36"/>
    <s v="Phòng máy_Trung tâm máy tính"/>
    <n v="190463"/>
    <s v="Ngô Văn Linh"/>
  </r>
  <r>
    <s v="Trường Công nghệ thông tin và Truyền thông"/>
    <n v="190464"/>
    <n v="162305"/>
    <x v="36"/>
    <s v="Hệ gợi ý"/>
    <s v="KH máy tính-mô đun 5-K67C"/>
    <s v="Nhóm 2"/>
    <s v="AB"/>
    <x v="1"/>
    <s v="Thứ năm"/>
    <d v="2026-02-05T00:00:00"/>
    <x v="4"/>
    <n v="36"/>
    <s v="Phòng máy_Trung tâm máy tính"/>
    <n v="190464"/>
    <s v="Ngô Văn Linh"/>
  </r>
  <r>
    <s v="Trường Công nghệ thông tin và Truyền thông"/>
    <n v="190465"/>
    <n v="162306"/>
    <x v="36"/>
    <s v="Hệ gợi ý"/>
    <s v="KH máy tính-mô đun 5-K67C"/>
    <s v="TC"/>
    <s v="AB"/>
    <x v="1"/>
    <s v="Thứ năm"/>
    <d v="2026-02-05T00:00:00"/>
    <x v="4"/>
    <n v="57"/>
    <s v="Phòng máy_Trung tâm máy tính"/>
    <n v="190465"/>
    <s v="Ngô Văn Linh"/>
  </r>
  <r>
    <s v="Trường Công nghệ thông tin và Truyền thông"/>
    <n v="190469"/>
    <n v="162314"/>
    <x v="37"/>
    <s v="Thiết kế và triển khai mạng IP"/>
    <s v="KT máy tính-K67S"/>
    <s v="Nhóm 2"/>
    <s v="AB"/>
    <x v="0"/>
    <s v="Thứ sáu"/>
    <d v="2026-01-30T00:00:00"/>
    <x v="4"/>
    <n v="50"/>
    <s v="Phòng máy_Trung tâm máy tính"/>
    <n v="190469"/>
    <s v="Phạm Huy Hoàng"/>
  </r>
  <r>
    <s v="Trường Công nghệ thông tin và Truyền thông"/>
    <n v="190470"/>
    <n v="162314"/>
    <x v="37"/>
    <s v="Thiết kế và triển khai mạng IP"/>
    <s v="KT máy tính-K67S"/>
    <s v="Nhóm 1"/>
    <s v="AB"/>
    <x v="0"/>
    <s v="Thứ sáu"/>
    <d v="2026-01-30T00:00:00"/>
    <x v="4"/>
    <n v="50"/>
    <s v="Phòng máy_Trung tâm máy tính"/>
    <n v="190470"/>
    <s v="Phạm Huy Hoàng"/>
  </r>
  <r>
    <s v="Trường Công nghệ thông tin và Truyền thông"/>
    <n v="190474"/>
    <n v="161502"/>
    <x v="38"/>
    <s v="Học sâu và ứng dụng"/>
    <s v="**Tài năng KHMT-K67C"/>
    <s v="TC"/>
    <s v="AB"/>
    <x v="1"/>
    <s v="Thứ tư"/>
    <d v="2026-02-04T00:00:00"/>
    <x v="4"/>
    <n v="42"/>
    <s v="Phòng máy_Trung tâm máy tính"/>
    <n v="190474"/>
    <s v="Trịnh Anh Phúc"/>
  </r>
  <r>
    <s v="Trường Công nghệ thông tin và Truyền thông"/>
    <n v="190475"/>
    <n v="162297"/>
    <x v="38"/>
    <s v="Học sâu và ứng dụng"/>
    <s v="KH máy tính-mô đun 3-K67C"/>
    <s v="TC"/>
    <s v="AB"/>
    <x v="1"/>
    <s v="Thứ tư"/>
    <d v="2026-02-04T00:00:00"/>
    <x v="4"/>
    <n v="47"/>
    <s v="Phòng máy_Trung tâm máy tính"/>
    <n v="190475"/>
    <s v="Nguyễn Thị Kim Anh"/>
  </r>
  <r>
    <s v="Trường Công nghệ thông tin và Truyền thông"/>
    <n v="190476"/>
    <n v="162298"/>
    <x v="38"/>
    <s v="Học sâu và ứng dụng"/>
    <s v="KH máy tính-mô đun 3-K67C"/>
    <s v="Nhóm 1"/>
    <s v="AB"/>
    <x v="1"/>
    <s v="Thứ tư"/>
    <d v="2026-02-04T00:00:00"/>
    <x v="4"/>
    <n v="40"/>
    <s v="Phòng máy_Trung tâm máy tính"/>
    <n v="190476"/>
    <s v="Lê Đức Hậu"/>
  </r>
  <r>
    <s v="Trường Công nghệ thông tin và Truyền thông"/>
    <n v="190477"/>
    <n v="162298"/>
    <x v="38"/>
    <s v="Học sâu và ứng dụng"/>
    <s v="KH máy tính-mô đun 3-K67C"/>
    <s v="Nhóm 2"/>
    <s v="AB"/>
    <x v="1"/>
    <s v="Thứ tư"/>
    <d v="2026-02-04T00:00:00"/>
    <x v="4"/>
    <n v="39"/>
    <s v="Phòng máy_Trung tâm máy tính"/>
    <n v="190477"/>
    <s v="Lê Đức Hậu"/>
  </r>
  <r>
    <s v="Trường Công nghệ thông tin và Truyền thông"/>
    <n v="190478"/>
    <n v="164858"/>
    <x v="39"/>
    <s v="Tối ưu lập kế hoạch"/>
    <s v="Tài năng KHMT-K67C"/>
    <s v="TC"/>
    <s v="AB"/>
    <x v="0"/>
    <s v="Thứ ba"/>
    <d v="2026-01-27T00:00:00"/>
    <x v="4"/>
    <n v="46"/>
    <s v="Phòng máy_Trung tâm máy tính"/>
    <n v="190478"/>
    <s v="Tạ Duy Hoàng"/>
  </r>
  <r>
    <s v="Trường Công nghệ thông tin và Truyền thông"/>
    <n v="190479"/>
    <n v="162321"/>
    <x v="40"/>
    <s v="Truyền thông đa phương tiện"/>
    <s v="KT máy tính-mô đun 2-K67S"/>
    <s v="TC"/>
    <s v="AB"/>
    <x v="2"/>
    <s v="Thứ sáu"/>
    <d v="2026-01-23T00:00:00"/>
    <x v="4"/>
    <n v="21"/>
    <s v="Phòng máy_Trung tâm máy tính"/>
    <n v="190479"/>
    <s v="Nguyễn Thị Hoàng Lan"/>
  </r>
  <r>
    <s v="Trường Công nghệ thông tin và Truyền thông"/>
    <n v="190480"/>
    <n v="161504"/>
    <x v="41"/>
    <s v="IoT và ứng dụng"/>
    <s v="**Tài năng KHMT-K67S"/>
    <s v="TC"/>
    <s v="AB"/>
    <x v="2"/>
    <s v="Thứ sáu"/>
    <d v="2026-01-23T00:00:00"/>
    <x v="5"/>
    <n v="46"/>
    <s v="Phòng máy_Trung tâm máy tính"/>
    <n v="190480"/>
    <s v="Nguyễn Đình Thuận"/>
  </r>
  <r>
    <s v="Trường Công nghệ thông tin và Truyền thông"/>
    <n v="190482"/>
    <n v="162316"/>
    <x v="41"/>
    <s v="IoT và ứng dụng"/>
    <s v="KT máy tính-mô đun 1,2-K67S"/>
    <s v="Nhóm 2"/>
    <s v="AB"/>
    <x v="2"/>
    <s v="Thứ sáu"/>
    <d v="2026-01-23T00:00:00"/>
    <x v="5"/>
    <n v="55"/>
    <s v="Phòng máy_Trung tâm máy tính"/>
    <n v="190482"/>
    <s v="Phạm Ngọc Hưng"/>
  </r>
  <r>
    <s v="Trường Công nghệ thông tin và Truyền thông"/>
    <n v="190481"/>
    <n v="162316"/>
    <x v="41"/>
    <s v="IoT và ứng dụng"/>
    <s v="KT máy tính-mô đun 1,2-K67S"/>
    <s v="Nhóm 1"/>
    <s v="AB"/>
    <x v="2"/>
    <s v="Thứ sáu"/>
    <d v="2026-01-23T00:00:00"/>
    <x v="5"/>
    <n v="56"/>
    <s v="Phòng máy_Trung tâm máy tính"/>
    <n v="190481"/>
    <s v="Phạm Ngọc Hưng"/>
  </r>
  <r>
    <s v="Trường Công nghệ thông tin và Truyền thông"/>
    <n v="190484"/>
    <n v="162317"/>
    <x v="41"/>
    <s v="IoT và ứng dụng"/>
    <s v="KT máy tính-mô đun 1,2-K67S"/>
    <s v="Nhóm 1"/>
    <s v="AB"/>
    <x v="2"/>
    <s v="Thứ sáu"/>
    <d v="2026-01-23T00:00:00"/>
    <x v="5"/>
    <n v="57"/>
    <s v="Phòng máy_Trung tâm máy tính"/>
    <n v="190484"/>
    <s v="Lê Bá Vui"/>
  </r>
  <r>
    <s v="Trường Công nghệ thông tin và Truyền thông"/>
    <n v="190483"/>
    <n v="162317"/>
    <x v="41"/>
    <s v="IoT và ứng dụng"/>
    <s v="KT máy tính-mô đun 1,2-K67S"/>
    <s v="Nhóm 2"/>
    <s v="AB"/>
    <x v="2"/>
    <s v="Thứ sáu"/>
    <d v="2026-01-23T00:00:00"/>
    <x v="5"/>
    <n v="57"/>
    <s v="Phòng máy_Trung tâm máy tính"/>
    <n v="190483"/>
    <s v="Lê Bá Vui"/>
  </r>
  <r>
    <s v="Trường Công nghệ thông tin và Truyền thông"/>
    <n v="190486"/>
    <n v="162318"/>
    <x v="41"/>
    <s v="IoT và ứng dụng"/>
    <s v="KT máy tính-mô đun 1,2-K67S"/>
    <s v="Nhóm 1"/>
    <s v="AB"/>
    <x v="2"/>
    <s v="Thứ sáu"/>
    <d v="2026-01-23T00:00:00"/>
    <x v="5"/>
    <n v="36"/>
    <s v="Phòng máy_Trung tâm máy tính"/>
    <n v="190486"/>
    <s v="Đặng Tuấn Linh"/>
  </r>
  <r>
    <s v="Trường Công nghệ thông tin và Truyền thông"/>
    <n v="190485"/>
    <n v="162318"/>
    <x v="41"/>
    <s v="IoT và ứng dụng"/>
    <s v="KT máy tính-mô đun 1,2-K67S"/>
    <s v="Nhóm 2"/>
    <s v="AB"/>
    <x v="2"/>
    <s v="Thứ sáu"/>
    <d v="2026-01-23T00:00:00"/>
    <x v="5"/>
    <n v="36"/>
    <s v="Phòng máy_Trung tâm máy tính"/>
    <n v="190485"/>
    <s v="Đặng Tuấn Linh"/>
  </r>
  <r>
    <s v="Trường Công nghệ thông tin và Truyền thông"/>
    <n v="190488"/>
    <n v="164866"/>
    <x v="42"/>
    <s v="Xử lý ngôn ngữ tự nhiên"/>
    <s v="KSCS-GenAI - Khối kiến thức ngành rộng"/>
    <s v="TC"/>
    <s v="AB"/>
    <x v="2"/>
    <s v="Thứ năm"/>
    <d v="2026-01-22T00:00:00"/>
    <x v="0"/>
    <n v="29"/>
    <s v="Phòng máy_Trung tâm máy tính"/>
    <n v="190488"/>
    <s v="Nguyễn Kiêm Hiếu"/>
  </r>
  <r>
    <s v="Trường Công nghệ thông tin và Truyền thông"/>
    <n v="190495"/>
    <n v="161624"/>
    <x v="43"/>
    <s v="Phát triển ứng dụng cho thiết bị di động"/>
    <s v="**Việt Pháp-K67C"/>
    <s v="TC"/>
    <s v="AB"/>
    <x v="1"/>
    <s v="Thứ hai"/>
    <d v="2026-02-02T00:00:00"/>
    <x v="4"/>
    <n v="52"/>
    <s v="Phòng máy_Trung tâm máy tính"/>
    <n v="190495"/>
    <s v="Nguyễn Hồng Quang"/>
  </r>
  <r>
    <s v="Trường Công nghệ thông tin và Truyền thông"/>
    <n v="190497"/>
    <n v="162311"/>
    <x v="43"/>
    <s v="Phát triển ứng dụng cho thiết bị di động"/>
    <s v="KT máy tính-K67S"/>
    <s v="Nhóm 2"/>
    <s v="AB"/>
    <x v="1"/>
    <s v="Thứ hai"/>
    <d v="2026-02-02T00:00:00"/>
    <x v="4"/>
    <n v="57"/>
    <s v="Phòng máy_Trung tâm máy tính"/>
    <n v="190497"/>
    <s v="Tưởng Văn Đạt"/>
  </r>
  <r>
    <s v="Trường Công nghệ thông tin và Truyền thông"/>
    <n v="190496"/>
    <n v="162311"/>
    <x v="43"/>
    <s v="Phát triển ứng dụng cho thiết bị di động"/>
    <s v="KT máy tính-K67S"/>
    <s v="Nhóm 1"/>
    <s v="AB"/>
    <x v="1"/>
    <s v="Thứ hai"/>
    <d v="2026-02-02T00:00:00"/>
    <x v="4"/>
    <n v="57"/>
    <s v="Phòng máy_Trung tâm máy tính"/>
    <n v="190496"/>
    <s v="Tưởng Văn Đạt"/>
  </r>
  <r>
    <s v="Trường Công nghệ thông tin và Truyền thông"/>
    <n v="190498"/>
    <n v="162312"/>
    <x v="43"/>
    <s v="Phát triển ứng dụng cho thiết bị di động"/>
    <s v="KT máy tính-K67S"/>
    <s v="Nhóm 2"/>
    <s v="AB"/>
    <x v="1"/>
    <s v="Thứ hai"/>
    <d v="2026-02-02T00:00:00"/>
    <x v="4"/>
    <n v="60"/>
    <s v="Phòng máy_Trung tâm máy tính"/>
    <n v="190498"/>
    <s v="Hoàng Văn Hiệp"/>
  </r>
  <r>
    <s v="Trường Công nghệ thông tin và Truyền thông"/>
    <n v="190499"/>
    <n v="162312"/>
    <x v="43"/>
    <s v="Phát triển ứng dụng cho thiết bị di động"/>
    <s v="KT máy tính-K67S"/>
    <s v="Nhóm 1"/>
    <s v="AB"/>
    <x v="1"/>
    <s v="Thứ hai"/>
    <d v="2026-02-02T00:00:00"/>
    <x v="4"/>
    <n v="61"/>
    <s v="Phòng máy_Trung tâm máy tính"/>
    <n v="190499"/>
    <s v="Hoàng Văn Hiệp"/>
  </r>
  <r>
    <s v="Trường Công nghệ thông tin và Truyền thông"/>
    <n v="190501"/>
    <n v="162313"/>
    <x v="43"/>
    <s v="Phát triển ứng dụng cho thiết bị di động"/>
    <s v="KT máy tính-K67C"/>
    <s v="Nhóm 2"/>
    <s v="AB"/>
    <x v="1"/>
    <s v="Thứ hai"/>
    <d v="2026-02-02T00:00:00"/>
    <x v="4"/>
    <n v="60"/>
    <s v="Phòng máy_Trung tâm máy tính"/>
    <n v="190501"/>
    <s v="Nguyễn Hồng Quang"/>
  </r>
  <r>
    <s v="Trường Công nghệ thông tin và Truyền thông"/>
    <n v="190500"/>
    <n v="162313"/>
    <x v="43"/>
    <s v="Phát triển ứng dụng cho thiết bị di động"/>
    <s v="KT máy tính-K67C"/>
    <s v="Nhóm 1"/>
    <s v="AB"/>
    <x v="1"/>
    <s v="Thứ hai"/>
    <d v="2026-02-02T00:00:00"/>
    <x v="4"/>
    <n v="60"/>
    <s v="Phòng máy_Trung tâm máy tính"/>
    <n v="190500"/>
    <s v="Nguyễn Hồng Quang"/>
  </r>
  <r>
    <s v="Trường Công nghệ thông tin và Truyền thông"/>
    <n v="190509"/>
    <n v="161864"/>
    <x v="44"/>
    <s v="Mobile Programming"/>
    <s v="**CTTT-An toàn KG-K68C"/>
    <s v="TC"/>
    <s v="AB"/>
    <x v="0"/>
    <s v="Thứ năm"/>
    <d v="2026-01-29T00:00:00"/>
    <x v="3"/>
    <n v="42"/>
    <s v="Phòng máy_Trung tâm máy tính"/>
    <n v="190509"/>
    <s v="Hoàng Văn Hiệp"/>
  </r>
  <r>
    <s v="Trường Công nghệ thông tin và Truyền thông"/>
    <n v="190510"/>
    <n v="162303"/>
    <x v="45"/>
    <s v="Phát triển ứng dụng đa nền tảng"/>
    <s v="KH máy tính-mô đun 4-K67C"/>
    <s v="TC"/>
    <s v="AB"/>
    <x v="0"/>
    <s v="Thứ năm"/>
    <d v="2026-01-29T00:00:00"/>
    <x v="4"/>
    <n v="36"/>
    <s v="Phòng máy_Trung tâm máy tính"/>
    <n v="190510"/>
    <s v="Nguyễn Tiến Thành"/>
  </r>
  <r>
    <s v="Trường Công nghệ thông tin và Truyền thông"/>
    <n v="190511"/>
    <n v="162304"/>
    <x v="45"/>
    <s v="Phát triển ứng dụng đa nền tảng"/>
    <s v="KH máy tính-mô đun 4-K67C"/>
    <s v="Nhóm 2"/>
    <s v="AB"/>
    <x v="0"/>
    <s v="Thứ năm"/>
    <d v="2026-01-29T00:00:00"/>
    <x v="4"/>
    <n v="40"/>
    <s v="Phòng máy_Trung tâm máy tính"/>
    <n v="190511"/>
    <s v="Nguyễn Mạnh Tuấn (0.5) - Nguyễn Quốc Tuấn (0.5)"/>
  </r>
  <r>
    <s v="Trường Công nghệ thông tin và Truyền thông"/>
    <n v="190512"/>
    <n v="162304"/>
    <x v="45"/>
    <s v="Phát triển ứng dụng đa nền tảng"/>
    <s v="KH máy tính-mô đun 4-K67C"/>
    <s v="Nhóm 1"/>
    <s v="AB"/>
    <x v="0"/>
    <s v="Thứ năm"/>
    <d v="2026-01-29T00:00:00"/>
    <x v="4"/>
    <n v="40"/>
    <s v="Phòng máy_Trung tâm máy tính"/>
    <n v="190512"/>
    <s v="Nguyễn Mạnh Tuấn (0.5) - Nguyễn Quốc Tuấn (0.5)"/>
  </r>
  <r>
    <s v="Trường Công nghệ thông tin và Truyền thông"/>
    <n v="190513"/>
    <n v="161706"/>
    <x v="46"/>
    <s v="Thiết kế và quản trị mạng IP"/>
    <s v="**CTTT-An toàn KG-K67S"/>
    <s v="TC"/>
    <s v="AB"/>
    <x v="1"/>
    <s v="Thứ tư"/>
    <d v="2026-02-04T00:00:00"/>
    <x v="4"/>
    <n v="44"/>
    <s v="Phòng máy_Trung tâm máy tính"/>
    <n v="190513"/>
    <s v="Nguyễn Đức Toàn"/>
  </r>
  <r>
    <s v="Trường Công nghệ thông tin và Truyền thông"/>
    <n v="190517"/>
    <n v="161705"/>
    <x v="47"/>
    <s v="Web Mining"/>
    <s v="**CTTT-Data Science &amp; AI-K67S"/>
    <s v="Nhóm 2"/>
    <s v="AB"/>
    <x v="1"/>
    <s v="Thứ sáu"/>
    <d v="2026-02-06T00:00:00"/>
    <x v="4"/>
    <n v="51"/>
    <s v="Phòng máy_Trung tâm máy tính"/>
    <n v="190517"/>
    <s v="Nguyễn Kiêm Hiếu"/>
  </r>
  <r>
    <s v="Trường Công nghệ thông tin và Truyền thông"/>
    <n v="190518"/>
    <n v="161705"/>
    <x v="47"/>
    <s v="Web Mining"/>
    <s v="**CTTT-Data Science &amp; AI-K67S"/>
    <s v="Nhóm 1"/>
    <s v="AB"/>
    <x v="1"/>
    <s v="Thứ sáu"/>
    <d v="2026-02-06T00:00:00"/>
    <x v="4"/>
    <n v="51"/>
    <s v="Phòng máy_Trung tâm máy tính"/>
    <n v="190518"/>
    <s v="Nguyễn Kiêm Hiếu"/>
  </r>
  <r>
    <s v="Trường Công nghệ thông tin và Truyền thông"/>
    <n v="190523"/>
    <n v="162301"/>
    <x v="48"/>
    <s v="Nhập môn Khoa học dữ liệu"/>
    <s v="KH máy tính-mô đun 3-K67C"/>
    <s v="Nhóm 1"/>
    <s v="AB"/>
    <x v="2"/>
    <s v="Thứ ba"/>
    <d v="2026-01-20T00:00:00"/>
    <x v="1"/>
    <n v="48"/>
    <s v="Phòng máy_Trung tâm máy tính"/>
    <n v="190523"/>
    <s v="Phạm Văn Hải"/>
  </r>
  <r>
    <s v="Trường Công nghệ thông tin và Truyền thông"/>
    <n v="190524"/>
    <n v="162301"/>
    <x v="48"/>
    <s v="Nhập môn Khoa học dữ liệu"/>
    <s v="KH máy tính-mô đun 3-K67C"/>
    <s v="Nhóm 2"/>
    <s v="AB"/>
    <x v="2"/>
    <s v="Thứ ba"/>
    <d v="2026-01-20T00:00:00"/>
    <x v="1"/>
    <n v="48"/>
    <s v="Phòng máy_Trung tâm máy tính"/>
    <n v="190524"/>
    <s v="Phạm Văn Hải"/>
  </r>
  <r>
    <s v="Trường Công nghệ thông tin và Truyền thông"/>
    <n v="190522"/>
    <n v="162301"/>
    <x v="48"/>
    <s v="Nhập môn Khoa học dữ liệu"/>
    <s v="KH máy tính-mô đun 3-K67C"/>
    <s v="Nhóm 3"/>
    <s v="AB"/>
    <x v="2"/>
    <s v="Thứ ba"/>
    <d v="2026-01-20T00:00:00"/>
    <x v="1"/>
    <n v="48"/>
    <s v="Phòng máy_Trung tâm máy tính"/>
    <n v="190522"/>
    <s v="Phạm Văn Hải"/>
  </r>
  <r>
    <s v="Trường Công nghệ thông tin và Truyền thông"/>
    <n v="190525"/>
    <n v="161505"/>
    <x v="49"/>
    <s v="Lưu trữ và xử lý dữ liệu lớn"/>
    <s v="**Tài năng KHMT-K67C"/>
    <s v="TC"/>
    <s v="AB"/>
    <x v="0"/>
    <s v="Thứ hai"/>
    <d v="2026-01-26T00:00:00"/>
    <x v="4"/>
    <n v="40"/>
    <s v="Phòng máy_Trung tâm máy tính"/>
    <n v="190525"/>
    <s v="Vũ Tuyết Trinh"/>
  </r>
  <r>
    <s v="Trường Công nghệ thông tin và Truyền thông"/>
    <n v="190527"/>
    <n v="162302"/>
    <x v="49"/>
    <s v="Lưu trữ và xử lý dữ liệu lớn"/>
    <s v="KH máy tính-mô đun 3-K67S"/>
    <s v="Nhóm 2"/>
    <s v="AB"/>
    <x v="0"/>
    <s v="Thứ hai"/>
    <d v="2026-01-26T00:00:00"/>
    <x v="4"/>
    <n v="51"/>
    <s v="Phòng máy_Trung tâm máy tính"/>
    <n v="190527"/>
    <s v="Trần Việt Trung (0.5) - Tạ Duy Hoàng (0.5)"/>
  </r>
  <r>
    <s v="Trường Công nghệ thông tin và Truyền thông"/>
    <n v="190526"/>
    <n v="162302"/>
    <x v="49"/>
    <s v="Lưu trữ và xử lý dữ liệu lớn"/>
    <s v="KH máy tính-mô đun 3-K67S"/>
    <s v="Nhóm 1"/>
    <s v="AB"/>
    <x v="0"/>
    <s v="Thứ hai"/>
    <d v="2026-01-26T00:00:00"/>
    <x v="4"/>
    <n v="51"/>
    <s v="Phòng máy_Trung tâm máy tính"/>
    <n v="190526"/>
    <s v="Trần Việt Trung (0.5) - Tạ Duy Hoàng (0.5)"/>
  </r>
  <r>
    <s v="Trường Công nghệ thông tin và Truyền thông"/>
    <n v="190528"/>
    <n v="162302"/>
    <x v="49"/>
    <s v="Lưu trữ và xử lý dữ liệu lớn"/>
    <s v="KH máy tính-mô đun 3-K67S"/>
    <s v="Nhóm 3"/>
    <s v="AB"/>
    <x v="0"/>
    <s v="Thứ hai"/>
    <d v="2026-01-26T00:00:00"/>
    <x v="4"/>
    <n v="50"/>
    <s v="Phòng máy_Trung tâm máy tính"/>
    <n v="190528"/>
    <s v="Trần Việt Trung (0.5) - Tạ Duy Hoàng (0.5)"/>
  </r>
  <r>
    <s v="Trường Công nghệ thông tin và Truyền thông"/>
    <n v="190530"/>
    <n v="162315"/>
    <x v="49"/>
    <s v="Lưu trữ và xử lý dữ liệu lớn"/>
    <s v="KT máy tính-mô đun 1-K67S"/>
    <s v="Nhóm 2"/>
    <s v="AB"/>
    <x v="0"/>
    <s v="Thứ hai"/>
    <d v="2026-01-26T00:00:00"/>
    <x v="4"/>
    <n v="69"/>
    <s v="Phòng máy_Trung tâm máy tính"/>
    <n v="190530"/>
    <s v="Nguyễn Hữu Đức"/>
  </r>
  <r>
    <s v="Trường Công nghệ thông tin và Truyền thông"/>
    <n v="190529"/>
    <n v="162315"/>
    <x v="49"/>
    <s v="Lưu trữ và xử lý dữ liệu lớn"/>
    <s v="KT máy tính-mô đun 1-K67S"/>
    <s v="Nhóm 1"/>
    <s v="AB"/>
    <x v="0"/>
    <s v="Thứ hai"/>
    <d v="2026-01-26T00:00:00"/>
    <x v="4"/>
    <n v="69"/>
    <s v="Phòng máy_Trung tâm máy tính"/>
    <n v="190529"/>
    <s v="Nguyễn Hữu Đức"/>
  </r>
  <r>
    <s v="Trường Công nghệ thông tin và Truyền thông"/>
    <n v="190593"/>
    <n v="164867"/>
    <x v="50"/>
    <s v="Thị giác máy tính"/>
    <s v="KSCS-GenAI - Khối kiến thức ngành rộng"/>
    <s v="TC"/>
    <s v="AB"/>
    <x v="1"/>
    <s v="Thứ năm"/>
    <d v="2026-02-05T00:00:00"/>
    <x v="0"/>
    <n v="30"/>
    <s v="Phòng máy_Trung tâm máy tính"/>
    <n v="190593"/>
    <s v="Nguyễn Thị Oanh"/>
  </r>
  <r>
    <s v="Trường Công nghệ thông tin và Truyền thông"/>
    <n v="190595"/>
    <n v="164861"/>
    <x v="51"/>
    <s v="Truy vấn dữ liệu"/>
    <s v="KSCS-GenAI - Kỳ chuẩn 1"/>
    <s v="TC"/>
    <s v="AB"/>
    <x v="0"/>
    <s v="Thứ tư"/>
    <d v="2026-01-28T00:00:00"/>
    <x v="0"/>
    <n v="63"/>
    <s v="Phòng máy_Trung tâm máy tính"/>
    <n v="190595"/>
    <s v="Nguyễn Sơn Tùng (0.3) - Lê Thanh Hương (0.7)"/>
  </r>
  <r>
    <s v="Trường Công nghệ thông tin và Truyền thông"/>
    <n v="190596"/>
    <n v="164862"/>
    <x v="52"/>
    <s v="Mô hình ngôn ngữ lớn"/>
    <s v="KSCS-GenAI - Kỳ chuẩn 1"/>
    <s v="TC"/>
    <s v="AB"/>
    <x v="0"/>
    <s v="Thứ sáu"/>
    <d v="2026-01-30T00:00:00"/>
    <x v="0"/>
    <n v="61"/>
    <s v="Phòng máy_Trung tâm máy tính"/>
    <n v="190596"/>
    <s v="Ngô Văn Linh"/>
  </r>
  <r>
    <s v="Trường Công nghệ thông tin và Truyền thông"/>
    <n v="190600"/>
    <n v="162267"/>
    <x v="53"/>
    <s v="Quản trị dữ liệu và trực quan hóa"/>
    <s v="KH máy tính-K68S"/>
    <s v="TC"/>
    <s v="AB"/>
    <x v="2"/>
    <s v="Thứ sáu"/>
    <d v="2026-01-23T00:00:00"/>
    <x v="3"/>
    <n v="37"/>
    <s v="Phòng máy_Trung tâm máy tính"/>
    <n v="190600"/>
    <s v="Nguyễn Hữu Đức"/>
  </r>
  <r>
    <s v="Trường Công nghệ thông tin và Truyền thông"/>
    <n v="190467"/>
    <n v="161250"/>
    <x v="37"/>
    <s v="Thiết kế và triển khai mạng IP"/>
    <s v="*Việt Nhật K67C"/>
    <s v="Nhóm 1"/>
    <s v="AB"/>
    <x v="0"/>
    <s v="Thứ sáu"/>
    <d v="2026-01-30T00:00:00"/>
    <x v="4"/>
    <n v="43"/>
    <s v="Phòng máy TTMT"/>
    <n v="190467"/>
    <s v="Phạm Huy Hoàng"/>
  </r>
  <r>
    <s v="Trường Công nghệ thông tin và Truyền thông"/>
    <n v="190468"/>
    <n v="161250"/>
    <x v="37"/>
    <s v="Thiết kế và triển khai mạng IP"/>
    <s v="*Việt Nhật K67C"/>
    <s v="Nhóm 2"/>
    <s v="AB"/>
    <x v="0"/>
    <s v="Thứ sáu"/>
    <d v="2026-01-30T00:00:00"/>
    <x v="4"/>
    <n v="42"/>
    <s v="Phòng máy TTMT"/>
    <n v="190468"/>
    <s v="Phạm Huy Hoàng"/>
  </r>
  <r>
    <s v="Trường Công nghệ thông tin và Truyền thông"/>
    <n v="190489"/>
    <n v="161251"/>
    <x v="43"/>
    <s v="Phát triển ứng dụng cho thiết bị di động"/>
    <s v="*Việt Nhật K67-1C"/>
    <s v="Nhóm 2"/>
    <s v="AB"/>
    <x v="1"/>
    <s v="Thứ hai"/>
    <d v="2026-02-02T00:00:00"/>
    <x v="6"/>
    <n v="51"/>
    <s v="Phòng máy TTMT"/>
    <n v="190489"/>
    <s v="Lê Bá Vui"/>
  </r>
  <r>
    <s v="Trường Công nghệ thông tin và Truyền thông"/>
    <n v="190490"/>
    <n v="161251"/>
    <x v="43"/>
    <s v="Phát triển ứng dụng cho thiết bị di động"/>
    <s v="*Việt Nhật K67-1C"/>
    <s v="Nhóm 3"/>
    <s v="AB"/>
    <x v="1"/>
    <s v="Thứ hai"/>
    <d v="2026-02-02T00:00:00"/>
    <x v="6"/>
    <n v="51"/>
    <s v="Phòng máy TTMT"/>
    <n v="190490"/>
    <s v="Lê Bá Vui"/>
  </r>
  <r>
    <s v="Trường Công nghệ thông tin và Truyền thông"/>
    <n v="190491"/>
    <n v="161251"/>
    <x v="43"/>
    <s v="Phát triển ứng dụng cho thiết bị di động"/>
    <s v="*Việt Nhật K67-1C"/>
    <s v="Nhóm 1"/>
    <s v="AB"/>
    <x v="1"/>
    <s v="Thứ hai"/>
    <d v="2026-02-02T00:00:00"/>
    <x v="6"/>
    <n v="52"/>
    <s v="Phòng máy TTMT"/>
    <n v="190491"/>
    <s v="Lê Bá Vui"/>
  </r>
  <r>
    <s v="Trường Công nghệ thông tin và Truyền thông"/>
    <n v="190493"/>
    <n v="161252"/>
    <x v="43"/>
    <s v="Phát triển ứng dụng cho thiết bị di động"/>
    <s v="*Việt Nhật K67-2C"/>
    <s v="Nhóm 1"/>
    <s v="AB"/>
    <x v="1"/>
    <s v="Thứ hai"/>
    <d v="2026-02-02T00:00:00"/>
    <x v="6"/>
    <n v="47"/>
    <s v="Phòng máy TTMT"/>
    <n v="190493"/>
    <s v="Nguyễn Đình Thuận"/>
  </r>
  <r>
    <s v="Trường Công nghệ thông tin và Truyền thông"/>
    <n v="190492"/>
    <n v="161252"/>
    <x v="43"/>
    <s v="Phát triển ứng dụng cho thiết bị di động"/>
    <s v="*Việt Nhật K67-2C"/>
    <s v="Nhóm 2"/>
    <s v="AB"/>
    <x v="1"/>
    <s v="Thứ hai"/>
    <d v="2026-02-02T00:00:00"/>
    <x v="6"/>
    <n v="47"/>
    <s v="Phòng máy TTMT"/>
    <n v="190492"/>
    <s v="Nguyễn Đình Thuận"/>
  </r>
  <r>
    <s v="Trường Công nghệ thông tin và Truyền thông"/>
    <n v="190494"/>
    <n v="161252"/>
    <x v="43"/>
    <s v="Phát triển ứng dụng cho thiết bị di động"/>
    <s v="*Việt Nhật K67-2C"/>
    <s v="Nhóm 3"/>
    <s v="AB"/>
    <x v="1"/>
    <s v="Thứ hai"/>
    <d v="2026-02-02T00:00:00"/>
    <x v="6"/>
    <n v="47"/>
    <s v="Phòng máy TTMT"/>
    <n v="190494"/>
    <s v="Nguyễn Đình Thuận"/>
  </r>
  <r>
    <s v="Trường Công nghệ thông tin và Truyền thông"/>
    <n v="190235"/>
    <n v="161253"/>
    <x v="22"/>
    <s v="Nhập môn Học máy và khai phá dữ liệu"/>
    <s v="*Việt Nhật K67-1C"/>
    <s v="Nhóm 1"/>
    <s v="AB"/>
    <x v="0"/>
    <s v="Thứ hai"/>
    <d v="2026-01-26T00:00:00"/>
    <x v="7"/>
    <n v="60"/>
    <s v="Phòng máy TTMT"/>
    <n v="190235"/>
    <s v="Nguyễn Thị Kim Anh"/>
  </r>
  <r>
    <s v="Trường Công nghệ thông tin và Truyền thông"/>
    <n v="190234"/>
    <n v="161253"/>
    <x v="22"/>
    <s v="Nhập môn Học máy và khai phá dữ liệu"/>
    <s v="*Việt Nhật K67-1C"/>
    <s v="Nhóm 2"/>
    <s v="AB"/>
    <x v="0"/>
    <s v="Thứ hai"/>
    <d v="2026-01-26T00:00:00"/>
    <x v="7"/>
    <n v="60"/>
    <s v="Phòng máy TTMT"/>
    <n v="190234"/>
    <s v="Nguyễn Thị Kim Anh"/>
  </r>
  <r>
    <s v="Trường Công nghệ thông tin và Truyền thông"/>
    <n v="190237"/>
    <n v="161254"/>
    <x v="22"/>
    <s v="Nhập môn Học máy và khai phá dữ liệu"/>
    <s v="*Việt Nhật K67-2C"/>
    <s v="Nhóm 2"/>
    <s v="AB"/>
    <x v="0"/>
    <s v="Thứ hai"/>
    <d v="2026-01-26T00:00:00"/>
    <x v="7"/>
    <n v="65"/>
    <s v="Phòng máy TTMT"/>
    <n v="190237"/>
    <s v="Đỗ Tiến Dũng"/>
  </r>
  <r>
    <s v="Trường Công nghệ thông tin và Truyền thông"/>
    <n v="190236"/>
    <n v="161254"/>
    <x v="22"/>
    <s v="Nhập môn Học máy và khai phá dữ liệu"/>
    <s v="*Việt Nhật K67-2C"/>
    <s v="Nhóm 1"/>
    <s v="AB"/>
    <x v="0"/>
    <s v="Thứ hai"/>
    <d v="2026-01-26T00:00:00"/>
    <x v="7"/>
    <n v="66"/>
    <s v="Phòng máy TTMT"/>
    <n v="190236"/>
    <s v="Đỗ Tiến Dũng"/>
  </r>
  <r>
    <s v="Trường Công nghệ thông tin và Truyền thông"/>
    <n v="190407"/>
    <n v="161255"/>
    <x v="31"/>
    <s v="Công nghệ Web và dịch vụ trực tuyến"/>
    <s v="*Việt Nhật K67 -1C"/>
    <s v="Nhóm 1"/>
    <s v="AB"/>
    <x v="2"/>
    <s v="Thứ hai"/>
    <d v="2026-01-19T00:00:00"/>
    <x v="8"/>
    <n v="61"/>
    <s v="Phòng máy TTMT"/>
    <n v="190407"/>
    <s v="Lê Hải Nam (0.4) - Nguyễn Sơn Tùng (0.6)"/>
  </r>
  <r>
    <s v="Trường Công nghệ thông tin và Truyền thông"/>
    <n v="190408"/>
    <n v="161255"/>
    <x v="31"/>
    <s v="Công nghệ Web và dịch vụ trực tuyến"/>
    <s v="*Việt Nhật K67 -1C"/>
    <s v="Nhóm 2"/>
    <s v="AB"/>
    <x v="2"/>
    <s v="Thứ hai"/>
    <d v="2026-01-19T00:00:00"/>
    <x v="8"/>
    <n v="61"/>
    <s v="Phòng máy TTMT"/>
    <n v="190408"/>
    <s v="Lê Hải Nam (0.4) - Nguyễn Sơn Tùng (0.6)"/>
  </r>
  <r>
    <s v="Trường Công nghệ thông tin và Truyền thông"/>
    <n v="190410"/>
    <n v="161256"/>
    <x v="31"/>
    <s v="Công nghệ Web và dịch vụ trực tuyến"/>
    <s v="*Việt Nhật K67 -2C"/>
    <s v="Nhóm 1"/>
    <s v="AB"/>
    <x v="2"/>
    <s v="Thứ hai"/>
    <d v="2026-01-19T00:00:00"/>
    <x v="8"/>
    <n v="61"/>
    <s v="Phòng máy TTMT"/>
    <n v="190410"/>
    <s v="Lê Hải Nam (0.4) - Nguyễn Sơn Tùng (0.6)"/>
  </r>
  <r>
    <s v="Trường Công nghệ thông tin và Truyền thông"/>
    <n v="190409"/>
    <n v="161256"/>
    <x v="31"/>
    <s v="Công nghệ Web và dịch vụ trực tuyến"/>
    <s v="*Việt Nhật K67 -2C"/>
    <s v="Nhóm 2"/>
    <s v="AB"/>
    <x v="2"/>
    <s v="Thứ hai"/>
    <d v="2026-01-19T00:00:00"/>
    <x v="8"/>
    <n v="61"/>
    <s v="Phòng máy TTMT"/>
    <n v="190409"/>
    <s v="Lê Hải Nam (0.4) - Nguyễn Sơn Tùng (0.6)"/>
  </r>
  <r>
    <s v="Trường Công nghệ thông tin và Truyền thông"/>
    <n v="190411"/>
    <n v="161257"/>
    <x v="31"/>
    <s v="Công nghệ Web và dịch vụ trực tuyến"/>
    <s v="*Việt Nhật K67 -3C"/>
    <s v="Nhóm 2"/>
    <s v="AB"/>
    <x v="2"/>
    <s v="Thứ hai"/>
    <d v="2026-01-19T00:00:00"/>
    <x v="8"/>
    <n v="64"/>
    <s v="Phòng máy TTMT"/>
    <n v="190411"/>
    <s v="Trịnh Tuấn Đạt"/>
  </r>
  <r>
    <s v="Trường Công nghệ thông tin và Truyền thông"/>
    <n v="190412"/>
    <n v="161257"/>
    <x v="31"/>
    <s v="Công nghệ Web và dịch vụ trực tuyến"/>
    <s v="*Việt Nhật K67 -3C"/>
    <s v="Nhóm 1"/>
    <s v="AB"/>
    <x v="2"/>
    <s v="Thứ hai"/>
    <d v="2026-01-19T00:00:00"/>
    <x v="8"/>
    <n v="64"/>
    <s v="Phòng máy TTMT"/>
    <n v="190412"/>
    <s v="Trịnh Tuấn Đạt"/>
  </r>
  <r>
    <s v="Trường Công nghệ thông tin và Truyền thông"/>
    <n v="190275"/>
    <n v="161268"/>
    <x v="54"/>
    <s v="Xây dựng chương trình dịch"/>
    <s v="*Việt Nhật K67-1(BT)C"/>
    <s v="TC"/>
    <s v="AB"/>
    <x v="1"/>
    <s v="Thứ ba"/>
    <d v="2026-02-03T00:00:00"/>
    <x v="1"/>
    <n v="40"/>
    <s v="Phòng máy TTMT"/>
    <n v="190275"/>
    <s v="Trần Vĩnh Đức"/>
  </r>
  <r>
    <s v="Trường Công nghệ thông tin và Truyền thông"/>
    <n v="190276"/>
    <n v="161269"/>
    <x v="54"/>
    <s v="Xây dựng chương trình dịch"/>
    <s v="*Việt Nhật K67-2(BT)S"/>
    <s v="TC"/>
    <s v="AB"/>
    <x v="1"/>
    <s v="Thứ ba"/>
    <d v="2026-02-03T00:00:00"/>
    <x v="1"/>
    <n v="40"/>
    <s v="Phòng máy TTMT"/>
    <n v="190276"/>
    <s v="Nguyễn Thị Thu Hương"/>
  </r>
  <r>
    <s v="Trường Công nghệ thông tin và Truyền thông"/>
    <n v="190277"/>
    <n v="161270"/>
    <x v="54"/>
    <s v="Xây dựng chương trình dịch"/>
    <s v="*Việt Nhật K67-3(BT)S"/>
    <s v="TC"/>
    <s v="AB"/>
    <x v="1"/>
    <s v="Thứ ba"/>
    <d v="2026-02-03T00:00:00"/>
    <x v="1"/>
    <n v="40"/>
    <s v="Phòng máy TTMT"/>
    <n v="190277"/>
    <s v="Trịnh Anh Phúc"/>
  </r>
  <r>
    <s v="Trường Công nghệ thông tin và Truyền thông"/>
    <n v="190278"/>
    <n v="161272"/>
    <x v="54"/>
    <s v="Xây dựng chương trình dịch"/>
    <s v="*Việt Nhật K67-4(BT)S"/>
    <s v="TC"/>
    <s v="AB"/>
    <x v="1"/>
    <s v="Thứ ba"/>
    <d v="2026-02-03T00:00:00"/>
    <x v="1"/>
    <n v="40"/>
    <s v="Phòng máy TTMT"/>
    <n v="190278"/>
    <s v="Nguyễn Thị Thu Hương"/>
  </r>
  <r>
    <s v="Trường Công nghệ thông tin và Truyền thông"/>
    <n v="190279"/>
    <n v="161273"/>
    <x v="54"/>
    <s v="Xây dựng chương trình dịch"/>
    <s v="*Việt Nhật K67-5(BT)S"/>
    <s v="TC"/>
    <s v="AB"/>
    <x v="1"/>
    <s v="Thứ ba"/>
    <d v="2026-02-03T00:00:00"/>
    <x v="1"/>
    <n v="41"/>
    <s v="Phòng máy TTMT"/>
    <n v="190279"/>
    <s v="Trịnh Anh Phúc"/>
  </r>
  <r>
    <s v="Trường Công nghệ thông tin và Truyền thông"/>
    <n v="190280"/>
    <n v="161274"/>
    <x v="54"/>
    <s v="Xây dựng chương trình dịch"/>
    <s v="*Việt Nhật K67-6(BT)S"/>
    <s v="TC"/>
    <s v="AB"/>
    <x v="1"/>
    <s v="Thứ ba"/>
    <d v="2026-02-03T00:00:00"/>
    <x v="1"/>
    <n v="40"/>
    <s v="Phòng máy TTMT"/>
    <n v="190280"/>
    <s v="Phạm Đăng Hải"/>
  </r>
  <r>
    <s v="Trường Công nghệ thông tin và Truyền thông"/>
    <n v="190281"/>
    <n v="161276"/>
    <x v="54"/>
    <s v="Xây dựng chương trình dịch"/>
    <s v="*Việt Nhật K67-7(BT)S"/>
    <s v="TC"/>
    <s v="AB"/>
    <x v="1"/>
    <s v="Thứ ba"/>
    <d v="2026-02-03T00:00:00"/>
    <x v="1"/>
    <n v="31"/>
    <s v="Phòng máy TTMT"/>
    <n v="190281"/>
    <s v="Nguyễn Hữu Đức"/>
  </r>
  <r>
    <s v="Trường Công nghệ thông tin và Truyền thông"/>
    <n v="190282"/>
    <n v="161277"/>
    <x v="54"/>
    <s v="Xây dựng chương trình dịch"/>
    <s v="*Việt Nhật K67-8(BT)S"/>
    <s v="TC"/>
    <s v="AB"/>
    <x v="1"/>
    <s v="Thứ ba"/>
    <d v="2026-02-03T00:00:00"/>
    <x v="1"/>
    <n v="21"/>
    <s v="Phòng máy TTMT"/>
    <n v="190282"/>
    <s v="Dương Quang Huy"/>
  </r>
  <r>
    <s v="Trường Công nghệ thông tin và Truyền thông"/>
    <n v="190283"/>
    <n v="161278"/>
    <x v="54"/>
    <s v="Xây dựng chương trình dịch"/>
    <s v="*Việt Nhật K67-9(BT)S"/>
    <s v="TC"/>
    <s v="AB"/>
    <x v="1"/>
    <s v="Thứ ba"/>
    <d v="2026-02-03T00:00:00"/>
    <x v="1"/>
    <n v="41"/>
    <s v="Phòng máy TTMT"/>
    <n v="190283"/>
    <s v="Dương Quang Huy"/>
  </r>
  <r>
    <s v="Trường Công nghệ thông tin và Truyền thông"/>
    <n v="190487"/>
    <n v="161301"/>
    <x v="55"/>
    <s v="IoT and Applications"/>
    <s v="*ICT K67S"/>
    <s v="TC"/>
    <s v="AB"/>
    <x v="2"/>
    <s v="Thứ sáu"/>
    <d v="2026-01-23T00:00:00"/>
    <x v="5"/>
    <n v="38"/>
    <s v="Phòng máy TTMT"/>
    <n v="190487"/>
    <s v="Phạm Ngọc Hưng"/>
  </r>
  <r>
    <s v="Trường Công nghệ thông tin và Truyền thông"/>
    <n v="190473"/>
    <n v="161302"/>
    <x v="56"/>
    <s v="IP Network Design and Implementation"/>
    <s v="*ICT K67S"/>
    <s v="TC"/>
    <s v="AB"/>
    <x v="0"/>
    <s v="Thứ sáu"/>
    <d v="2026-01-30T00:00:00"/>
    <x v="4"/>
    <n v="42"/>
    <s v="Phòng máy TTMT"/>
    <n v="190473"/>
    <s v="Phạm Huy Hoàng"/>
  </r>
  <r>
    <s v="Trường Công nghệ thông tin và Truyền thông"/>
    <n v="190423"/>
    <n v="161303"/>
    <x v="57"/>
    <s v="User Interface and User Experience"/>
    <s v="*ICT K67S"/>
    <s v="Nhóm 1"/>
    <s v="AB"/>
    <x v="2"/>
    <s v="Thứ ba"/>
    <d v="2026-01-20T00:00:00"/>
    <x v="5"/>
    <n v="45"/>
    <s v="Phòng máy TTMT"/>
    <n v="190423"/>
    <s v="Trịnh Thành Trung"/>
  </r>
  <r>
    <s v="Trường Công nghệ thông tin và Truyền thông"/>
    <n v="190424"/>
    <n v="161303"/>
    <x v="57"/>
    <s v="User Interface and User Experience"/>
    <s v="*ICT K67S"/>
    <s v="Nhóm 2"/>
    <s v="AB"/>
    <x v="2"/>
    <s v="Thứ ba"/>
    <d v="2026-01-20T00:00:00"/>
    <x v="5"/>
    <n v="44"/>
    <s v="Phòng máy TTMT"/>
    <n v="190424"/>
    <s v="Trịnh Thành Trung"/>
  </r>
  <r>
    <s v="Trường Công nghệ thông tin và Truyền thông"/>
    <n v="190506"/>
    <n v="161304"/>
    <x v="44"/>
    <s v="Mobile Programming"/>
    <s v="*ICT K67S"/>
    <s v="Nhóm 2"/>
    <s v="AB"/>
    <x v="1"/>
    <s v="Thứ hai"/>
    <d v="2026-02-02T00:00:00"/>
    <x v="5"/>
    <n v="51"/>
    <s v="Phòng máy TTMT"/>
    <n v="190506"/>
    <s v="Tống Văn Vạn"/>
  </r>
  <r>
    <s v="Trường Công nghệ thông tin và Truyền thông"/>
    <n v="190505"/>
    <n v="161304"/>
    <x v="44"/>
    <s v="Mobile Programming"/>
    <s v="*ICT K67S"/>
    <s v="Nhóm 1"/>
    <s v="AB"/>
    <x v="1"/>
    <s v="Thứ hai"/>
    <d v="2026-02-02T00:00:00"/>
    <x v="5"/>
    <n v="51"/>
    <s v="Phòng máy TTMT"/>
    <n v="190505"/>
    <s v="Tống Văn Vạn"/>
  </r>
  <r>
    <s v="Trường Công nghệ thông tin và Truyền thông"/>
    <n v="190375"/>
    <n v="161306"/>
    <x v="26"/>
    <s v="Introduction to Data Science"/>
    <s v="*ICT K67S"/>
    <s v="TC"/>
    <s v="AB"/>
    <x v="0"/>
    <s v="Thứ năm"/>
    <d v="2026-01-29T00:00:00"/>
    <x v="5"/>
    <n v="67"/>
    <s v="Phòng máy TTMT"/>
    <n v="190375"/>
    <s v="Thân Quang Khoát"/>
  </r>
  <r>
    <s v="Trường Công nghệ thông tin và Truyền thông"/>
    <n v="190338"/>
    <n v="161310"/>
    <x v="58"/>
    <s v="Introduction to Information Security"/>
    <s v="*ICT K67S"/>
    <s v="Nhóm 2"/>
    <s v="AB"/>
    <x v="0"/>
    <s v="Thứ ba"/>
    <d v="2026-01-27T00:00:00"/>
    <x v="5"/>
    <n v="43"/>
    <s v="Phòng máy TTMT"/>
    <n v="190338"/>
    <s v="Nguyễn Khanh Văn"/>
  </r>
  <r>
    <s v="Trường Công nghệ thông tin và Truyền thông"/>
    <n v="190339"/>
    <n v="161310"/>
    <x v="58"/>
    <s v="Introduction to Information Security"/>
    <s v="*ICT K67S"/>
    <s v="Nhóm 1"/>
    <s v="AB"/>
    <x v="0"/>
    <s v="Thứ ba"/>
    <d v="2026-01-27T00:00:00"/>
    <x v="5"/>
    <n v="43"/>
    <s v="Phòng máy TTMT"/>
    <n v="190339"/>
    <s v="Nguyễn Khanh Văn"/>
  </r>
  <r>
    <s v="Trường Công nghệ thông tin và Truyền thông"/>
    <n v="190360"/>
    <n v="161311"/>
    <x v="59"/>
    <s v="Kỹ thuật phần mềm"/>
    <s v="(Blend)-*Việt Nhật K68-1S"/>
    <s v="Nhóm 1"/>
    <s v="AB"/>
    <x v="2"/>
    <s v="Thứ bảy "/>
    <d v="2026-01-24T00:00:00"/>
    <x v="4"/>
    <n v="61"/>
    <s v="Phòng máy TTMT"/>
    <n v="190360"/>
    <s v="Trần Nhật Hoá"/>
  </r>
  <r>
    <s v="Trường Công nghệ thông tin và Truyền thông"/>
    <n v="190359"/>
    <n v="161311"/>
    <x v="59"/>
    <s v="Kỹ thuật phần mềm"/>
    <s v="(Blend)-*Việt Nhật K68-1S"/>
    <s v="Nhóm 2"/>
    <s v="AB"/>
    <x v="2"/>
    <s v="Thứ bảy "/>
    <d v="2026-01-24T00:00:00"/>
    <x v="4"/>
    <n v="61"/>
    <s v="Phòng máy TTMT"/>
    <n v="190359"/>
    <s v="Trần Nhật Hoá"/>
  </r>
  <r>
    <s v="Trường Công nghệ thông tin và Truyền thông"/>
    <n v="190362"/>
    <n v="161312"/>
    <x v="59"/>
    <s v="Kỹ thuật phần mềm"/>
    <s v="(Blend)-*Việt Nhật K68-2S"/>
    <s v="Nhóm 1"/>
    <s v="AB"/>
    <x v="2"/>
    <s v="Thứ bảy "/>
    <d v="2026-01-24T00:00:00"/>
    <x v="4"/>
    <n v="52"/>
    <s v="Phòng máy TTMT"/>
    <n v="190362"/>
    <s v="Nguyễn Mạnh Tuấn"/>
  </r>
  <r>
    <s v="Trường Công nghệ thông tin và Truyền thông"/>
    <n v="190361"/>
    <n v="161312"/>
    <x v="59"/>
    <s v="Kỹ thuật phần mềm"/>
    <s v="(Blend)-*Việt Nhật K68-2S"/>
    <s v="Nhóm 2"/>
    <s v="AB"/>
    <x v="2"/>
    <s v="Thứ bảy "/>
    <d v="2026-01-24T00:00:00"/>
    <x v="4"/>
    <n v="52"/>
    <s v="Phòng máy TTMT"/>
    <n v="190361"/>
    <s v="Nguyễn Mạnh Tuấn"/>
  </r>
  <r>
    <s v="Trường Công nghệ thông tin và Truyền thông"/>
    <n v="190334"/>
    <n v="161313"/>
    <x v="60"/>
    <s v="Nhập môn an toàn thông tin"/>
    <s v="*Việt Nhật K68-1S"/>
    <s v="Nhóm 2"/>
    <s v="AB"/>
    <x v="0"/>
    <s v="Thứ ba"/>
    <d v="2026-01-27T00:00:00"/>
    <x v="5"/>
    <n v="65"/>
    <s v="Phòng máy TTMT"/>
    <n v="190334"/>
    <s v="Trần Quang Đức"/>
  </r>
  <r>
    <s v="Trường Công nghệ thông tin và Truyền thông"/>
    <n v="190335"/>
    <n v="161313"/>
    <x v="60"/>
    <s v="Nhập môn an toàn thông tin"/>
    <s v="*Việt Nhật K68-1S"/>
    <s v="Nhóm 1"/>
    <s v="AB"/>
    <x v="0"/>
    <s v="Thứ ba"/>
    <d v="2026-01-27T00:00:00"/>
    <x v="5"/>
    <n v="66"/>
    <s v="Phòng máy TTMT"/>
    <n v="190335"/>
    <s v="Trần Quang Đức"/>
  </r>
  <r>
    <s v="Trường Công nghệ thông tin và Truyền thông"/>
    <n v="190337"/>
    <n v="161314"/>
    <x v="60"/>
    <s v="Nhập môn an toàn thông tin"/>
    <s v="*Việt Nhật K68-2S"/>
    <s v="Nhóm 2"/>
    <s v="AB"/>
    <x v="0"/>
    <s v="Thứ ba"/>
    <d v="2026-01-27T00:00:00"/>
    <x v="5"/>
    <n v="48"/>
    <s v="Phòng máy TTMT"/>
    <n v="190337"/>
    <s v="Nguyễn Khanh Văn"/>
  </r>
  <r>
    <s v="Trường Công nghệ thông tin và Truyền thông"/>
    <n v="190336"/>
    <n v="161314"/>
    <x v="60"/>
    <s v="Nhập môn an toàn thông tin"/>
    <s v="*Việt Nhật K68-2S"/>
    <s v="Nhóm 1"/>
    <s v="AB"/>
    <x v="0"/>
    <s v="Thứ ba"/>
    <d v="2026-01-27T00:00:00"/>
    <x v="5"/>
    <n v="49"/>
    <s v="Phòng máy TTMT"/>
    <n v="190336"/>
    <s v="Nguyễn Khanh Văn"/>
  </r>
  <r>
    <s v="Trường Công nghệ thông tin và Truyền thông"/>
    <n v="190119"/>
    <n v="161315"/>
    <x v="12"/>
    <s v="Nguyên lý hệ điều hành"/>
    <s v="*Việt Nhật K68-1C"/>
    <s v="Nhóm 1"/>
    <s v="AB"/>
    <x v="1"/>
    <s v="Thứ sáu"/>
    <d v="2026-02-06T00:00:00"/>
    <x v="7"/>
    <n v="58"/>
    <s v="Phòng máy TTMT"/>
    <n v="190119"/>
    <s v="Phạm Đăng Hải"/>
  </r>
  <r>
    <s v="Trường Công nghệ thông tin và Truyền thông"/>
    <n v="190120"/>
    <n v="161315"/>
    <x v="12"/>
    <s v="Nguyên lý hệ điều hành"/>
    <s v="*Việt Nhật K68-1C"/>
    <s v="Nhóm 2"/>
    <s v="AB"/>
    <x v="1"/>
    <s v="Thứ sáu"/>
    <d v="2026-02-06T00:00:00"/>
    <x v="7"/>
    <n v="59"/>
    <s v="Phòng máy TTMT"/>
    <n v="190120"/>
    <s v="Phạm Đăng Hải"/>
  </r>
  <r>
    <s v="Trường Công nghệ thông tin và Truyền thông"/>
    <n v="190122"/>
    <n v="161316"/>
    <x v="12"/>
    <s v="Nguyên lý hệ điều hành"/>
    <s v="*Việt Nhật K68-2C"/>
    <s v="Nhóm 1"/>
    <s v="AB"/>
    <x v="1"/>
    <s v="Thứ sáu"/>
    <d v="2026-02-06T00:00:00"/>
    <x v="7"/>
    <n v="56"/>
    <s v="Phòng máy TTMT"/>
    <n v="190122"/>
    <s v="Đỗ Tuấn Anh"/>
  </r>
  <r>
    <s v="Trường Công nghệ thông tin và Truyền thông"/>
    <n v="190121"/>
    <n v="161316"/>
    <x v="12"/>
    <s v="Nguyên lý hệ điều hành"/>
    <s v="*Việt Nhật K68-2C"/>
    <s v="Nhóm 2"/>
    <s v="AB"/>
    <x v="1"/>
    <s v="Thứ sáu"/>
    <d v="2026-02-06T00:00:00"/>
    <x v="7"/>
    <n v="55"/>
    <s v="Phòng máy TTMT"/>
    <n v="190121"/>
    <s v="Đỗ Tuấn Anh"/>
  </r>
  <r>
    <s v="Trường Công nghệ thông tin và Truyền thông"/>
    <n v="190124"/>
    <n v="161317"/>
    <x v="12"/>
    <s v="Nguyên lý hệ điều hành"/>
    <s v="*Việt Nhật K68 + Việt Pháp K68-3S"/>
    <s v="Nhóm 2"/>
    <s v="AB"/>
    <x v="1"/>
    <s v="Thứ sáu"/>
    <d v="2026-02-06T00:00:00"/>
    <x v="7"/>
    <n v="55"/>
    <s v="Phòng máy TTMT"/>
    <n v="190124"/>
    <s v="Ban Hà Bằng"/>
  </r>
  <r>
    <s v="Trường Công nghệ thông tin và Truyền thông"/>
    <n v="190123"/>
    <n v="161317"/>
    <x v="12"/>
    <s v="Nguyên lý hệ điều hành"/>
    <s v="*Việt Nhật K68 + Việt Pháp K68-3S"/>
    <s v="Nhóm 1"/>
    <s v="AB"/>
    <x v="1"/>
    <s v="Thứ sáu"/>
    <d v="2026-02-06T00:00:00"/>
    <x v="7"/>
    <n v="55"/>
    <s v="Phòng máy TTMT"/>
    <n v="190123"/>
    <s v="Ban Hà Bằng"/>
  </r>
  <r>
    <s v="Trường Công nghệ thông tin và Truyền thông"/>
    <n v="190136"/>
    <n v="161318"/>
    <x v="61"/>
    <s v="Mạng máy tính"/>
    <s v="*Việt Nhật K68 -1S"/>
    <s v="Nhóm 2"/>
    <s v="AB"/>
    <x v="0"/>
    <s v="Thứ sáu"/>
    <d v="2026-01-30T00:00:00"/>
    <x v="5"/>
    <n v="61"/>
    <s v="Phòng máy TTMT"/>
    <n v="190136"/>
    <s v="Bùi Trọng Tùng"/>
  </r>
  <r>
    <s v="Trường Công nghệ thông tin và Truyền thông"/>
    <n v="190135"/>
    <n v="161318"/>
    <x v="61"/>
    <s v="Mạng máy tính"/>
    <s v="*Việt Nhật K68 -1S"/>
    <s v="Nhóm 1"/>
    <s v="AB"/>
    <x v="0"/>
    <s v="Thứ sáu"/>
    <d v="2026-01-30T00:00:00"/>
    <x v="5"/>
    <n v="60"/>
    <s v="Phòng máy TTMT"/>
    <n v="190135"/>
    <s v="Bùi Trọng Tùng"/>
  </r>
  <r>
    <s v="Trường Công nghệ thông tin và Truyền thông"/>
    <n v="190138"/>
    <n v="161319"/>
    <x v="61"/>
    <s v="Mạng máy tính"/>
    <s v="*Việt Nhật K68 -2S"/>
    <s v="Nhóm 1"/>
    <s v="AB"/>
    <x v="0"/>
    <s v="Thứ sáu"/>
    <d v="2026-01-30T00:00:00"/>
    <x v="5"/>
    <n v="60"/>
    <s v="Phòng máy TTMT"/>
    <n v="190138"/>
    <s v="Phạm Huy Hoàng"/>
  </r>
  <r>
    <s v="Trường Công nghệ thông tin và Truyền thông"/>
    <n v="190137"/>
    <n v="161319"/>
    <x v="61"/>
    <s v="Mạng máy tính"/>
    <s v="*Việt Nhật K68 -2S"/>
    <s v="Nhóm 2"/>
    <s v="AB"/>
    <x v="0"/>
    <s v="Thứ sáu"/>
    <d v="2026-01-30T00:00:00"/>
    <x v="5"/>
    <n v="59"/>
    <s v="Phòng máy TTMT"/>
    <n v="190137"/>
    <s v="Phạm Huy Hoàng"/>
  </r>
  <r>
    <s v="Trường Công nghệ thông tin và Truyền thông"/>
    <n v="190140"/>
    <n v="161320"/>
    <x v="61"/>
    <s v="Mạng máy tính"/>
    <s v="*Việt Nhật K68 + Việt Pháp K68-3S"/>
    <s v="Nhóm 1"/>
    <s v="AB"/>
    <x v="0"/>
    <s v="Thứ sáu"/>
    <d v="2026-01-30T00:00:00"/>
    <x v="5"/>
    <n v="46"/>
    <s v="Phòng máy TTMT"/>
    <n v="190140"/>
    <s v="Tống Văn Vạn"/>
  </r>
  <r>
    <s v="Trường Công nghệ thông tin và Truyền thông"/>
    <n v="190139"/>
    <n v="161320"/>
    <x v="61"/>
    <s v="Mạng máy tính"/>
    <s v="*Việt Nhật K68 + Việt Pháp K68-3S"/>
    <s v="Nhóm 2"/>
    <s v="AB"/>
    <x v="0"/>
    <s v="Thứ sáu"/>
    <d v="2026-01-30T00:00:00"/>
    <x v="5"/>
    <n v="45"/>
    <s v="Phòng máy TTMT"/>
    <n v="190139"/>
    <s v="Tống Văn Vạn"/>
  </r>
  <r>
    <s v="Trường Công nghệ thông tin và Truyền thông"/>
    <n v="190205"/>
    <n v="161321"/>
    <x v="20"/>
    <s v="Thuật toán ứng dụng"/>
    <s v="*Việt Nhật K68-1S"/>
    <s v="Nhóm 2"/>
    <s v="AB"/>
    <x v="0"/>
    <s v="Thứ tư"/>
    <d v="2026-01-28T00:00:00"/>
    <x v="5"/>
    <n v="48"/>
    <s v="Phòng máy TTMT"/>
    <n v="190205"/>
    <s v="Nguyễn Khánh Phương"/>
  </r>
  <r>
    <s v="Trường Công nghệ thông tin và Truyền thông"/>
    <n v="190203"/>
    <n v="161321"/>
    <x v="20"/>
    <s v="Thuật toán ứng dụng"/>
    <s v="*Việt Nhật K68-1S"/>
    <s v="Nhóm 3"/>
    <s v="AB"/>
    <x v="0"/>
    <s v="Thứ tư"/>
    <d v="2026-01-28T00:00:00"/>
    <x v="5"/>
    <n v="47"/>
    <s v="Phòng máy TTMT"/>
    <n v="190203"/>
    <s v="Nguyễn Khánh Phương"/>
  </r>
  <r>
    <s v="Trường Công nghệ thông tin và Truyền thông"/>
    <n v="190204"/>
    <n v="161321"/>
    <x v="20"/>
    <s v="Thuật toán ứng dụng"/>
    <s v="*Việt Nhật K68-1S"/>
    <s v="Nhóm 1"/>
    <s v="AB"/>
    <x v="0"/>
    <s v="Thứ tư"/>
    <d v="2026-01-28T00:00:00"/>
    <x v="5"/>
    <n v="48"/>
    <s v="Phòng máy TTMT"/>
    <n v="190204"/>
    <s v="Nguyễn Khánh Phương"/>
  </r>
  <r>
    <s v="Trường Công nghệ thông tin và Truyền thông"/>
    <n v="190208"/>
    <n v="161322"/>
    <x v="20"/>
    <s v="Thuật toán ứng dụng"/>
    <s v="*Việt Nhật K68-2C"/>
    <s v="Nhóm 1"/>
    <s v="AB"/>
    <x v="0"/>
    <s v="Thứ tư"/>
    <d v="2026-01-28T00:00:00"/>
    <x v="5"/>
    <n v="48"/>
    <s v="Phòng máy TTMT"/>
    <n v="190208"/>
    <s v="Nguyễn Hữu Đức"/>
  </r>
  <r>
    <s v="Trường Công nghệ thông tin và Truyền thông"/>
    <n v="190207"/>
    <n v="161322"/>
    <x v="20"/>
    <s v="Thuật toán ứng dụng"/>
    <s v="*Việt Nhật K68-2C"/>
    <s v="Nhóm 2"/>
    <s v="AB"/>
    <x v="0"/>
    <s v="Thứ tư"/>
    <d v="2026-01-28T00:00:00"/>
    <x v="5"/>
    <n v="47"/>
    <s v="Phòng máy TTMT"/>
    <n v="190207"/>
    <s v="Nguyễn Hữu Đức"/>
  </r>
  <r>
    <s v="Trường Công nghệ thông tin và Truyền thông"/>
    <n v="190206"/>
    <n v="161322"/>
    <x v="20"/>
    <s v="Thuật toán ứng dụng"/>
    <s v="*Việt Nhật K68-2C"/>
    <s v="Nhóm 3"/>
    <s v="AB"/>
    <x v="0"/>
    <s v="Thứ tư"/>
    <d v="2026-01-28T00:00:00"/>
    <x v="5"/>
    <n v="47"/>
    <s v="Phòng máy TTMT"/>
    <n v="190206"/>
    <s v="Nguyễn Hữu Đức"/>
  </r>
  <r>
    <s v="Trường Công nghệ thông tin và Truyền thông"/>
    <n v="190445"/>
    <n v="161324"/>
    <x v="35"/>
    <s v="Nhập môn kỹ thuật truyền thông"/>
    <s v="*Việt Nhật K68 -1C"/>
    <s v="Nhóm 2"/>
    <s v="AB"/>
    <x v="1"/>
    <s v="Thứ năm"/>
    <d v="2026-02-05T00:00:00"/>
    <x v="9"/>
    <n v="60"/>
    <s v="Phòng máy TTMT"/>
    <n v="190445"/>
    <s v="Trịnh Văn Chiến"/>
  </r>
  <r>
    <s v="Trường Công nghệ thông tin và Truyền thông"/>
    <n v="190446"/>
    <n v="161324"/>
    <x v="35"/>
    <s v="Nhập môn kỹ thuật truyền thông"/>
    <s v="*Việt Nhật K68 -1C"/>
    <s v="Nhóm 1"/>
    <s v="AB"/>
    <x v="1"/>
    <s v="Thứ năm"/>
    <d v="2026-02-05T00:00:00"/>
    <x v="9"/>
    <n v="60"/>
    <s v="Phòng máy TTMT"/>
    <n v="190446"/>
    <s v="Trịnh Văn Chiến"/>
  </r>
  <r>
    <s v="Trường Công nghệ thông tin và Truyền thông"/>
    <n v="190447"/>
    <n v="161325"/>
    <x v="35"/>
    <s v="Nhập môn kỹ thuật truyền thông"/>
    <s v="*Việt Nhật K68 -2C"/>
    <s v="Nhóm 2"/>
    <s v="AB"/>
    <x v="1"/>
    <s v="Thứ năm"/>
    <d v="2026-02-05T00:00:00"/>
    <x v="9"/>
    <n v="47"/>
    <s v="Phòng máy TTMT"/>
    <n v="190447"/>
    <s v="Trịnh Văn Chiến"/>
  </r>
  <r>
    <s v="Trường Công nghệ thông tin và Truyền thông"/>
    <n v="190448"/>
    <n v="161325"/>
    <x v="35"/>
    <s v="Nhập môn kỹ thuật truyền thông"/>
    <s v="*Việt Nhật K68 -2C"/>
    <s v="Nhóm 1"/>
    <s v="AB"/>
    <x v="1"/>
    <s v="Thứ năm"/>
    <d v="2026-02-05T00:00:00"/>
    <x v="9"/>
    <n v="48"/>
    <s v="Phòng máy TTMT"/>
    <n v="190448"/>
    <s v="Trịnh Văn Chiến"/>
  </r>
  <r>
    <s v="Trường Công nghệ thông tin và Truyền thông"/>
    <n v="190508"/>
    <n v="161347"/>
    <x v="44"/>
    <s v="Mobile Programming"/>
    <s v="*ICT K68C"/>
    <s v="Nhóm 2"/>
    <s v="AB"/>
    <x v="1"/>
    <s v="Thứ hai"/>
    <d v="2026-02-02T00:00:00"/>
    <x v="5"/>
    <n v="38"/>
    <s v="Phòng máy TTMT"/>
    <n v="190508"/>
    <s v="Nguyễn Đình Thuận"/>
  </r>
  <r>
    <s v="Trường Công nghệ thông tin và Truyền thông"/>
    <n v="190507"/>
    <n v="161347"/>
    <x v="44"/>
    <s v="Mobile Programming"/>
    <s v="*ICT K68C"/>
    <s v="Nhóm 1"/>
    <s v="AB"/>
    <x v="1"/>
    <s v="Thứ hai"/>
    <d v="2026-02-02T00:00:00"/>
    <x v="5"/>
    <n v="39"/>
    <s v="Phòng máy TTMT"/>
    <n v="190507"/>
    <s v="Nguyễn Đình Thuận"/>
  </r>
  <r>
    <s v="Trường Công nghệ thông tin và Truyền thông"/>
    <n v="190145"/>
    <n v="161350"/>
    <x v="13"/>
    <s v="Computer Networks"/>
    <s v="*ICT K68C"/>
    <s v="Nhóm 2"/>
    <s v="AB"/>
    <x v="0"/>
    <s v="Thứ sáu"/>
    <d v="2026-01-30T00:00:00"/>
    <x v="3"/>
    <n v="58"/>
    <s v="Phòng máy TTMT"/>
    <n v="190145"/>
    <s v="Trần Nguyên Ngọc"/>
  </r>
  <r>
    <s v="Trường Công nghệ thông tin và Truyền thông"/>
    <n v="190146"/>
    <n v="161350"/>
    <x v="13"/>
    <s v="Computer Networks"/>
    <s v="*ICT K68C"/>
    <s v="Nhóm 1"/>
    <s v="AB"/>
    <x v="0"/>
    <s v="Thứ sáu"/>
    <d v="2026-01-30T00:00:00"/>
    <x v="3"/>
    <n v="59"/>
    <s v="Phòng máy TTMT"/>
    <n v="190146"/>
    <s v="Trần Nguyên Ngọc"/>
  </r>
  <r>
    <s v="Trường Công nghệ thông tin và Truyền thông"/>
    <n v="190271"/>
    <n v="161351"/>
    <x v="62"/>
    <s v="Database"/>
    <s v="*ICT K68C"/>
    <s v="Nhóm 2"/>
    <s v="AB"/>
    <x v="0"/>
    <s v="Thứ năm"/>
    <d v="2026-01-29T00:00:00"/>
    <x v="3"/>
    <n v="62"/>
    <s v="Phòng máy TTMT"/>
    <n v="190271"/>
    <s v="Vũ Tuyết Trinh"/>
  </r>
  <r>
    <s v="Trường Công nghệ thông tin và Truyền thông"/>
    <n v="190270"/>
    <n v="161351"/>
    <x v="62"/>
    <s v="Database"/>
    <s v="*ICT K68C"/>
    <s v="Nhóm 1"/>
    <s v="AB"/>
    <x v="0"/>
    <s v="Thứ năm"/>
    <d v="2026-01-29T00:00:00"/>
    <x v="3"/>
    <n v="64"/>
    <s v="Phòng máy TTMT"/>
    <n v="190270"/>
    <s v="Vũ Tuyết Trinh"/>
  </r>
  <r>
    <s v="Trường Công nghệ thông tin và Truyền thông"/>
    <n v="190364"/>
    <n v="161355"/>
    <x v="63"/>
    <s v="Software Engineering"/>
    <s v="*ICT K68C"/>
    <s v="Nhóm 2"/>
    <s v="AB"/>
    <x v="2"/>
    <s v="Thứ bảy "/>
    <d v="2026-01-24T00:00:00"/>
    <x v="4"/>
    <n v="54"/>
    <s v="Phòng máy TTMT"/>
    <n v="190364"/>
    <s v="Bùi Thị Mai Anh (0.0) - Nguyễn Quốc Tuấn (1.0)"/>
  </r>
  <r>
    <s v="Trường Công nghệ thông tin và Truyền thông"/>
    <n v="190363"/>
    <n v="161355"/>
    <x v="63"/>
    <s v="Software Engineering"/>
    <s v="*ICT K68C"/>
    <s v="Nhóm 1"/>
    <s v="AB"/>
    <x v="2"/>
    <s v="Thứ bảy "/>
    <d v="2026-01-24T00:00:00"/>
    <x v="4"/>
    <n v="55"/>
    <s v="Phòng máy TTMT"/>
    <n v="190363"/>
    <s v="Bùi Thị Mai Anh (0.0) - Nguyễn Quốc Tuấn (1.0)"/>
  </r>
  <r>
    <s v="Trường Công nghệ thông tin và Truyền thông"/>
    <n v="190457"/>
    <n v="161356"/>
    <x v="64"/>
    <s v="Introduction to Communication Enginieering"/>
    <s v="*ICT K68C"/>
    <s v="Nhóm 2"/>
    <s v="AB"/>
    <x v="1"/>
    <s v="Thứ năm"/>
    <d v="2026-02-05T00:00:00"/>
    <x v="9"/>
    <n v="63"/>
    <s v="Phòng máy TTMT"/>
    <n v="190457"/>
    <s v="Đỗ Công Thuần"/>
  </r>
  <r>
    <s v="Trường Công nghệ thông tin và Truyền thông"/>
    <n v="190456"/>
    <n v="161356"/>
    <x v="64"/>
    <s v="Introduction to Communication Enginieering"/>
    <s v="*ICT K68C"/>
    <s v="Nhóm 1"/>
    <s v="AB"/>
    <x v="1"/>
    <s v="Thứ năm"/>
    <d v="2026-02-05T00:00:00"/>
    <x v="9"/>
    <n v="63"/>
    <s v="Phòng máy TTMT"/>
    <n v="190456"/>
    <s v="Đỗ Công Thuần"/>
  </r>
  <r>
    <s v="Trường Công nghệ thông tin và Truyền thông"/>
    <n v="190293"/>
    <n v="161366"/>
    <x v="65"/>
    <s v="Điện tử cho CNTT"/>
    <s v="*Việt Nhật K69 -1S"/>
    <s v="Nhóm 1"/>
    <s v="AB"/>
    <x v="1"/>
    <s v="Thứ hai"/>
    <d v="2026-02-02T00:00:00"/>
    <x v="1"/>
    <n v="56"/>
    <s v="Phòng máy TTMT"/>
    <n v="190293"/>
    <s v="Trịnh Văn Chiến"/>
  </r>
  <r>
    <s v="Trường Công nghệ thông tin và Truyền thông"/>
    <n v="190294"/>
    <n v="161366"/>
    <x v="65"/>
    <s v="Điện tử cho CNTT"/>
    <s v="*Việt Nhật K69 -1S"/>
    <s v="Nhóm 2"/>
    <s v="AB"/>
    <x v="1"/>
    <s v="Thứ hai"/>
    <d v="2026-02-02T00:00:00"/>
    <x v="1"/>
    <n v="56"/>
    <s v="Phòng máy TTMT"/>
    <n v="190294"/>
    <s v="Trịnh Văn Chiến"/>
  </r>
  <r>
    <s v="Trường Công nghệ thông tin và Truyền thông"/>
    <n v="190296"/>
    <n v="161367"/>
    <x v="65"/>
    <s v="Điện tử cho CNTT"/>
    <s v="*Việt Nhật K69 -2S"/>
    <s v="Nhóm 1"/>
    <s v="AB"/>
    <x v="1"/>
    <s v="Thứ hai"/>
    <d v="2026-02-02T00:00:00"/>
    <x v="1"/>
    <n v="56"/>
    <s v="Phòng máy TTMT"/>
    <n v="190296"/>
    <s v="Nguyễn Thị Thanh Nga"/>
  </r>
  <r>
    <s v="Trường Công nghệ thông tin và Truyền thông"/>
    <n v="190295"/>
    <n v="161367"/>
    <x v="65"/>
    <s v="Điện tử cho CNTT"/>
    <s v="*Việt Nhật K69 -2S"/>
    <s v="Nhóm 2"/>
    <s v="AB"/>
    <x v="1"/>
    <s v="Thứ hai"/>
    <d v="2026-02-02T00:00:00"/>
    <x v="1"/>
    <n v="56"/>
    <s v="Phòng máy TTMT"/>
    <n v="190295"/>
    <s v="Nguyễn Thị Thanh Nga"/>
  </r>
  <r>
    <s v="Trường Công nghệ thông tin và Truyền thông"/>
    <n v="190298"/>
    <n v="161368"/>
    <x v="65"/>
    <s v="Điện tử cho CNTT"/>
    <s v="*Việt Nhật K69 + Việt Pháp K69-3S"/>
    <s v="Nhóm 2"/>
    <s v="AB"/>
    <x v="1"/>
    <s v="Thứ hai"/>
    <d v="2026-02-02T00:00:00"/>
    <x v="1"/>
    <n v="57"/>
    <s v="Phòng máy TTMT"/>
    <n v="190298"/>
    <s v="Lê Xuân Thành"/>
  </r>
  <r>
    <s v="Trường Công nghệ thông tin và Truyền thông"/>
    <n v="190297"/>
    <n v="161368"/>
    <x v="65"/>
    <s v="Điện tử cho CNTT"/>
    <s v="*Việt Nhật K69 + Việt Pháp K69-3S"/>
    <s v="Nhóm 1"/>
    <s v="AB"/>
    <x v="1"/>
    <s v="Thứ hai"/>
    <d v="2026-02-02T00:00:00"/>
    <x v="1"/>
    <n v="58"/>
    <s v="Phòng máy TTMT"/>
    <n v="190297"/>
    <s v="Lê Xuân Thành"/>
  </r>
  <r>
    <s v="Trường Công nghệ thông tin và Truyền thông"/>
    <n v="190379"/>
    <n v="161380"/>
    <x v="27"/>
    <s v="Xử lý tín hiệu"/>
    <s v="*Việt Nhật K69 -1S"/>
    <s v="Nhóm 2"/>
    <s v="AB"/>
    <x v="2"/>
    <s v="Thứ năm"/>
    <d v="2026-01-22T00:00:00"/>
    <x v="3"/>
    <n v="54"/>
    <s v="Phòng máy TTMT"/>
    <n v="190379"/>
    <s v="Nguyễn Hồng Quang"/>
  </r>
  <r>
    <s v="Trường Công nghệ thông tin và Truyền thông"/>
    <n v="190378"/>
    <n v="161380"/>
    <x v="27"/>
    <s v="Xử lý tín hiệu"/>
    <s v="*Việt Nhật K69 -1S"/>
    <s v="Nhóm 1"/>
    <s v="AB"/>
    <x v="2"/>
    <s v="Thứ năm"/>
    <d v="2026-01-22T00:00:00"/>
    <x v="3"/>
    <n v="55"/>
    <s v="Phòng máy TTMT"/>
    <n v="190378"/>
    <s v="Nguyễn Hồng Quang"/>
  </r>
  <r>
    <s v="Trường Công nghệ thông tin và Truyền thông"/>
    <n v="190381"/>
    <n v="161381"/>
    <x v="27"/>
    <s v="Xử lý tín hiệu"/>
    <s v="*Việt Nhật K69 -2C"/>
    <s v="Nhóm 1"/>
    <s v="AB"/>
    <x v="2"/>
    <s v="Thứ năm"/>
    <d v="2026-01-22T00:00:00"/>
    <x v="3"/>
    <n v="55"/>
    <s v="Phòng máy TTMT"/>
    <n v="190381"/>
    <s v="Đoàn Phong Tùng"/>
  </r>
  <r>
    <s v="Trường Công nghệ thông tin và Truyền thông"/>
    <n v="190380"/>
    <n v="161381"/>
    <x v="27"/>
    <s v="Xử lý tín hiệu"/>
    <s v="*Việt Nhật K69 -2C"/>
    <s v="Nhóm 2"/>
    <s v="AB"/>
    <x v="2"/>
    <s v="Thứ năm"/>
    <d v="2026-01-22T00:00:00"/>
    <x v="3"/>
    <n v="54"/>
    <s v="Phòng máy TTMT"/>
    <n v="190380"/>
    <s v="Đoàn Phong Tùng"/>
  </r>
  <r>
    <s v="Trường Công nghệ thông tin và Truyền thông"/>
    <n v="190383"/>
    <n v="161382"/>
    <x v="27"/>
    <s v="Xử lý tín hiệu"/>
    <s v="*Việt Nhật K69 + Việt Pháp K69-3S"/>
    <s v="Nhóm 1"/>
    <s v="AB"/>
    <x v="2"/>
    <s v="Thứ năm"/>
    <d v="2026-01-22T00:00:00"/>
    <x v="3"/>
    <n v="56"/>
    <s v="Phòng máy TTMT"/>
    <n v="190383"/>
    <s v="Nguyễn Đình Thuận"/>
  </r>
  <r>
    <s v="Trường Công nghệ thông tin và Truyền thông"/>
    <n v="190382"/>
    <n v="161382"/>
    <x v="27"/>
    <s v="Xử lý tín hiệu"/>
    <s v="*Việt Nhật K69 + Việt Pháp K69-3S"/>
    <s v="Nhóm 2"/>
    <s v="AB"/>
    <x v="2"/>
    <s v="Thứ năm"/>
    <d v="2026-01-22T00:00:00"/>
    <x v="3"/>
    <n v="55"/>
    <s v="Phòng máy TTMT"/>
    <n v="190382"/>
    <s v="Nguyễn Đình Thuận"/>
  </r>
  <r>
    <s v="Trường Công nghệ thông tin và Truyền thông"/>
    <n v="190068"/>
    <n v="161383"/>
    <x v="6"/>
    <s v="Cấu trúc dữ liệu và thuật toán"/>
    <s v="*Việt Nhật K69 -1S"/>
    <s v="Nhóm 2"/>
    <s v="AB"/>
    <x v="1"/>
    <s v="Thứ tư"/>
    <d v="2026-02-04T00:00:00"/>
    <x v="5"/>
    <n v="55"/>
    <s v="Phòng máy TTMT"/>
    <n v="190068"/>
    <s v="Nguyễn Tuấn Dũng"/>
  </r>
  <r>
    <s v="Trường Công nghệ thông tin và Truyền thông"/>
    <n v="190067"/>
    <n v="161383"/>
    <x v="6"/>
    <s v="Cấu trúc dữ liệu và thuật toán"/>
    <s v="*Việt Nhật K69 -1S"/>
    <s v="Nhóm 1"/>
    <s v="AB"/>
    <x v="1"/>
    <s v="Thứ tư"/>
    <d v="2026-02-04T00:00:00"/>
    <x v="5"/>
    <n v="55"/>
    <s v="Phòng máy TTMT"/>
    <n v="190067"/>
    <s v="Nguyễn Tuấn Dũng"/>
  </r>
  <r>
    <s v="Trường Công nghệ thông tin và Truyền thông"/>
    <n v="190069"/>
    <n v="161384"/>
    <x v="6"/>
    <s v="Cấu trúc dữ liệu và thuật toán"/>
    <s v="(Blend)-*Việt Nhật K69 -2S"/>
    <s v="Nhóm 2"/>
    <s v="AB"/>
    <x v="1"/>
    <s v="Thứ tư"/>
    <d v="2026-02-04T00:00:00"/>
    <x v="5"/>
    <n v="53"/>
    <s v="Phòng máy TTMT"/>
    <n v="190069"/>
    <s v="Bùi Quốc Trung"/>
  </r>
  <r>
    <s v="Trường Công nghệ thông tin và Truyền thông"/>
    <n v="190070"/>
    <n v="161384"/>
    <x v="6"/>
    <s v="Cấu trúc dữ liệu và thuật toán"/>
    <s v="(Blend)-*Việt Nhật K69 -2S"/>
    <s v="Nhóm 1"/>
    <s v="AB"/>
    <x v="1"/>
    <s v="Thứ tư"/>
    <d v="2026-02-04T00:00:00"/>
    <x v="5"/>
    <n v="53"/>
    <s v="Phòng máy TTMT"/>
    <n v="190070"/>
    <s v="Bùi Quốc Trung"/>
  </r>
  <r>
    <s v="Trường Công nghệ thông tin và Truyền thông"/>
    <n v="190071"/>
    <n v="161385"/>
    <x v="6"/>
    <s v="Cấu trúc dữ liệu và thuật toán"/>
    <s v="(Blend)-*Việt Nhật K69 + Việt Pháp K69-3S"/>
    <s v="Nhóm 1"/>
    <s v="AB"/>
    <x v="1"/>
    <s v="Thứ tư"/>
    <d v="2026-02-04T00:00:00"/>
    <x v="5"/>
    <n v="54"/>
    <s v="Phòng máy TTMT"/>
    <n v="190071"/>
    <s v="Đỗ Quốc Huy"/>
  </r>
  <r>
    <s v="Trường Công nghệ thông tin và Truyền thông"/>
    <n v="190072"/>
    <n v="161385"/>
    <x v="6"/>
    <s v="Cấu trúc dữ liệu và thuật toán"/>
    <s v="(Blend)-*Việt Nhật K69 + Việt Pháp K69-3S"/>
    <s v="Nhóm 2"/>
    <s v="AB"/>
    <x v="1"/>
    <s v="Thứ tư"/>
    <d v="2026-02-04T00:00:00"/>
    <x v="5"/>
    <n v="53"/>
    <s v="Phòng máy TTMT"/>
    <n v="190072"/>
    <s v="Đỗ Quốc Huy"/>
  </r>
  <r>
    <s v="Trường Công nghệ thông tin và Truyền thông"/>
    <n v="190250"/>
    <n v="161386"/>
    <x v="66"/>
    <s v="Lập trình C cơ bản"/>
    <s v="*Việt Nhật K69 -1 S"/>
    <s v="TC"/>
    <s v="AB"/>
    <x v="2"/>
    <s v="Thứ bảy "/>
    <d v="2026-01-24T00:00:00"/>
    <x v="8"/>
    <n v="40"/>
    <s v="Phòng máy TTMT"/>
    <n v="190250"/>
    <s v="Lã Thế Vinh"/>
  </r>
  <r>
    <s v="Trường Công nghệ thông tin và Truyền thông"/>
    <n v="190251"/>
    <n v="161387"/>
    <x v="66"/>
    <s v="Lập trình C cơ bản"/>
    <s v="*Việt Nhật K69 -2S"/>
    <s v="TC"/>
    <s v="AB"/>
    <x v="2"/>
    <s v="Thứ bảy "/>
    <d v="2026-01-24T00:00:00"/>
    <x v="8"/>
    <n v="40"/>
    <s v="Phòng máy TTMT"/>
    <n v="190251"/>
    <s v="Dương Quang Huy"/>
  </r>
  <r>
    <s v="Trường Công nghệ thông tin và Truyền thông"/>
    <n v="190252"/>
    <n v="161388"/>
    <x v="66"/>
    <s v="Lập trình C cơ bản"/>
    <s v="*Việt Nhật K69 -3S"/>
    <s v="TC"/>
    <s v="AB"/>
    <x v="2"/>
    <s v="Thứ bảy "/>
    <d v="2026-01-24T00:00:00"/>
    <x v="8"/>
    <n v="39"/>
    <s v="Phòng máy TTMT"/>
    <n v="190252"/>
    <s v="Nguyễn Tiến Thành"/>
  </r>
  <r>
    <s v="Trường Công nghệ thông tin và Truyền thông"/>
    <n v="190253"/>
    <n v="161389"/>
    <x v="66"/>
    <s v="Lập trình C cơ bản"/>
    <s v="*Việt Nhật K69 -4 S"/>
    <s v="TC"/>
    <s v="AB"/>
    <x v="2"/>
    <s v="Thứ bảy "/>
    <d v="2026-01-24T00:00:00"/>
    <x v="8"/>
    <n v="40"/>
    <s v="Phòng máy TTMT"/>
    <n v="190253"/>
    <s v="Nguyễn Quốc Tuấn"/>
  </r>
  <r>
    <s v="Trường Công nghệ thông tin và Truyền thông"/>
    <n v="190254"/>
    <n v="161390"/>
    <x v="66"/>
    <s v="Lập trình C cơ bản"/>
    <s v="*Việt Nhật K69 -5 C"/>
    <s v="TC"/>
    <s v="AB"/>
    <x v="2"/>
    <s v="Thứ bảy "/>
    <d v="2026-01-24T00:00:00"/>
    <x v="8"/>
    <n v="40"/>
    <s v="Phòng máy TTMT"/>
    <n v="190254"/>
    <s v="Ngô Thành Trung"/>
  </r>
  <r>
    <s v="Trường Công nghệ thông tin và Truyền thông"/>
    <n v="190255"/>
    <n v="161391"/>
    <x v="66"/>
    <s v="Lập trình C cơ bản"/>
    <s v="*Việt Nhật K69 -6 S"/>
    <s v="TC"/>
    <s v="AB"/>
    <x v="2"/>
    <s v="Thứ bảy "/>
    <d v="2026-01-24T00:00:00"/>
    <x v="8"/>
    <n v="40"/>
    <s v="Phòng máy TTMT"/>
    <n v="190255"/>
    <s v="Nguyễn Hồng Phương"/>
  </r>
  <r>
    <s v="Trường Công nghệ thông tin và Truyền thông"/>
    <n v="190256"/>
    <n v="161392"/>
    <x v="66"/>
    <s v="Lập trình C cơ bản"/>
    <s v="*Việt Nhật K69 -7 C"/>
    <s v="TC"/>
    <s v="AB"/>
    <x v="2"/>
    <s v="Thứ bảy "/>
    <d v="2026-01-24T00:00:00"/>
    <x v="8"/>
    <n v="40"/>
    <s v="Phòng máy TTMT"/>
    <n v="190256"/>
    <s v="Vũ Đức Vượng"/>
  </r>
  <r>
    <s v="Trường Công nghệ thông tin và Truyền thông"/>
    <n v="190257"/>
    <n v="161393"/>
    <x v="66"/>
    <s v="Lập trình C cơ bản"/>
    <s v="*Việt Nhật K69 -8C"/>
    <s v="TC"/>
    <s v="AB"/>
    <x v="2"/>
    <s v="Thứ bảy "/>
    <d v="2026-01-24T00:00:00"/>
    <x v="8"/>
    <n v="40"/>
    <s v="Phòng máy TTMT"/>
    <n v="190257"/>
    <s v="Tạ Duy Hoàng"/>
  </r>
  <r>
    <s v="Trường Công nghệ thông tin và Truyền thông"/>
    <n v="190258"/>
    <n v="161394"/>
    <x v="66"/>
    <s v="Lập trình C cơ bản"/>
    <s v="*Việt Nhật K69 -9S"/>
    <s v="TC"/>
    <s v="AB"/>
    <x v="2"/>
    <s v="Thứ bảy "/>
    <d v="2026-01-24T00:00:00"/>
    <x v="8"/>
    <n v="40"/>
    <s v="Phòng máy TTMT"/>
    <n v="190258"/>
    <s v="Nguyễn Hồng Quang"/>
  </r>
  <r>
    <s v="Trường Công nghệ thông tin và Truyền thông"/>
    <n v="190259"/>
    <n v="161395"/>
    <x v="66"/>
    <s v="Lập trình C cơ bản"/>
    <s v="*Việt Nhật K69 + Việt Pháp K69-10C"/>
    <s v="TC"/>
    <s v="AB"/>
    <x v="2"/>
    <s v="Thứ bảy "/>
    <d v="2026-01-24T00:00:00"/>
    <x v="8"/>
    <n v="40"/>
    <s v="Phòng máy TTMT"/>
    <n v="190259"/>
    <s v="Nguyễn Quốc Tuấn"/>
  </r>
  <r>
    <s v="Trường Công nghệ thông tin và Truyền thông"/>
    <n v="190089"/>
    <n v="161411"/>
    <x v="67"/>
    <s v="Discrete Math"/>
    <s v="*ICT K69-1C"/>
    <s v="Nhóm 2"/>
    <s v="AB"/>
    <x v="1"/>
    <s v="Thứ năm"/>
    <d v="2026-02-05T00:00:00"/>
    <x v="1"/>
    <n v="43"/>
    <s v="Phòng máy TTMT"/>
    <n v="190089"/>
    <s v="Nguyễn Khánh Phương"/>
  </r>
  <r>
    <s v="Trường Công nghệ thông tin và Truyền thông"/>
    <n v="190090"/>
    <n v="161411"/>
    <x v="67"/>
    <s v="Discrete Math"/>
    <s v="*ICT K69-1C"/>
    <s v="Nhóm 1"/>
    <s v="AB"/>
    <x v="1"/>
    <s v="Thứ năm"/>
    <d v="2026-02-05T00:00:00"/>
    <x v="1"/>
    <n v="45"/>
    <s v="Phòng máy TTMT"/>
    <n v="190090"/>
    <s v="Nguyễn Khánh Phương"/>
  </r>
  <r>
    <s v="Trường Công nghệ thông tin và Truyền thông"/>
    <n v="190091"/>
    <n v="161412"/>
    <x v="67"/>
    <s v="Discrete Math"/>
    <s v="*ICT K69-2C"/>
    <s v="Nhóm 1"/>
    <s v="AB"/>
    <x v="1"/>
    <s v="Thứ năm"/>
    <d v="2026-02-05T00:00:00"/>
    <x v="1"/>
    <n v="38"/>
    <s v="Phòng máy TTMT"/>
    <n v="190091"/>
    <s v="Phạm Quang Dũng"/>
  </r>
  <r>
    <s v="Trường Công nghệ thông tin và Truyền thông"/>
    <n v="190092"/>
    <n v="161412"/>
    <x v="67"/>
    <s v="Discrete Math"/>
    <s v="*ICT K69-2C"/>
    <s v="Nhóm 2"/>
    <s v="AB"/>
    <x v="1"/>
    <s v="Thứ năm"/>
    <d v="2026-02-05T00:00:00"/>
    <x v="1"/>
    <n v="38"/>
    <s v="Phòng máy TTMT"/>
    <n v="190092"/>
    <s v="Phạm Quang Dũng"/>
  </r>
  <r>
    <s v="Trường Công nghệ thông tin và Truyền thông"/>
    <n v="190220"/>
    <n v="161413"/>
    <x v="68"/>
    <s v="Applied Algorithms"/>
    <s v="*ICT K69-1C"/>
    <s v="Nhóm 2"/>
    <s v="AB"/>
    <x v="0"/>
    <s v="Thứ tư"/>
    <d v="2026-01-28T00:00:00"/>
    <x v="4"/>
    <n v="54"/>
    <s v="Phòng máy TTMT"/>
    <n v="190220"/>
    <s v="Phạm Quang Dũng"/>
  </r>
  <r>
    <s v="Trường Công nghệ thông tin và Truyền thông"/>
    <n v="190221"/>
    <n v="161413"/>
    <x v="68"/>
    <s v="Applied Algorithms"/>
    <s v="*ICT K69-1C"/>
    <s v="Nhóm 1"/>
    <s v="AB"/>
    <x v="0"/>
    <s v="Thứ tư"/>
    <d v="2026-01-28T00:00:00"/>
    <x v="4"/>
    <n v="55"/>
    <s v="Phòng máy TTMT"/>
    <n v="190221"/>
    <s v="Phạm Quang Dũng"/>
  </r>
  <r>
    <s v="Trường Công nghệ thông tin và Truyền thông"/>
    <n v="190223"/>
    <n v="161414"/>
    <x v="68"/>
    <s v="Applied Algorithms"/>
    <s v="*ICT K69-2C"/>
    <s v="Nhóm 2"/>
    <s v="AB"/>
    <x v="0"/>
    <s v="Thứ tư"/>
    <d v="2026-01-28T00:00:00"/>
    <x v="4"/>
    <n v="38"/>
    <s v="Phòng máy TTMT"/>
    <n v="190223"/>
    <s v="Nguyễn Khánh Phương"/>
  </r>
  <r>
    <s v="Trường Công nghệ thông tin và Truyền thông"/>
    <n v="190222"/>
    <n v="161414"/>
    <x v="68"/>
    <s v="Applied Algorithms"/>
    <s v="*ICT K69-2C"/>
    <s v="Nhóm 1"/>
    <s v="AB"/>
    <x v="0"/>
    <s v="Thứ tư"/>
    <d v="2026-01-28T00:00:00"/>
    <x v="4"/>
    <n v="38"/>
    <s v="Phòng máy TTMT"/>
    <n v="190222"/>
    <s v="Nguyễn Khánh Phương"/>
  </r>
  <r>
    <s v="Trường Công nghệ thông tin và Truyền thông"/>
    <n v="190264"/>
    <n v="161415"/>
    <x v="69"/>
    <s v="Computer Architecture"/>
    <s v="*ICT K69C"/>
    <s v="Nhóm 1"/>
    <s v="AB"/>
    <x v="2"/>
    <s v="Thứ tư"/>
    <d v="2026-01-21T00:00:00"/>
    <x v="4"/>
    <n v="40"/>
    <s v="Phòng máy TTMT"/>
    <n v="190264"/>
    <s v="Phạm Ngọc Hưng"/>
  </r>
  <r>
    <s v="Trường Công nghệ thông tin và Truyền thông"/>
    <n v="190263"/>
    <n v="161415"/>
    <x v="69"/>
    <s v="Computer Architecture"/>
    <s v="*ICT K69C"/>
    <s v="Nhóm 2"/>
    <s v="AB"/>
    <x v="2"/>
    <s v="Thứ tư"/>
    <d v="2026-01-21T00:00:00"/>
    <x v="4"/>
    <n v="40"/>
    <s v="Phòng máy TTMT"/>
    <n v="190263"/>
    <s v="Phạm Ngọc Hưng"/>
  </r>
  <r>
    <s v="Trường Công nghệ thông tin và Truyền thông"/>
    <n v="190266"/>
    <n v="161416"/>
    <x v="69"/>
    <s v="Computer Architecture"/>
    <s v="*ICT K69C"/>
    <s v="Nhóm 2"/>
    <s v="AB"/>
    <x v="2"/>
    <s v="Thứ tư"/>
    <d v="2026-01-21T00:00:00"/>
    <x v="4"/>
    <n v="37"/>
    <s v="Phòng máy TTMT"/>
    <n v="190266"/>
    <s v="Hoàng Văn Hiệp"/>
  </r>
  <r>
    <s v="Trường Công nghệ thông tin và Truyền thông"/>
    <n v="190265"/>
    <n v="161416"/>
    <x v="69"/>
    <s v="Computer Architecture"/>
    <s v="*ICT K69C"/>
    <s v="Nhóm 1"/>
    <s v="AB"/>
    <x v="2"/>
    <s v="Thứ tư"/>
    <d v="2026-01-21T00:00:00"/>
    <x v="4"/>
    <n v="37"/>
    <s v="Phòng máy TTMT"/>
    <n v="190265"/>
    <s v="Hoàng Văn Hiệp"/>
  </r>
  <r>
    <s v="Trường Công nghệ thông tin và Truyền thông"/>
    <n v="190260"/>
    <n v="161417"/>
    <x v="70"/>
    <s v="Assembly Language and Computer Architecture Lab"/>
    <s v="*ICT K69-1C"/>
    <s v="TC"/>
    <s v="AB"/>
    <x v="0"/>
    <s v="Thứ sáu"/>
    <d v="2026-01-30T00:00:00"/>
    <x v="0"/>
    <n v="40"/>
    <s v="Phòng máy TTMT"/>
    <n v="190260"/>
    <s v="Lê Bá Vui (0.5) - Nguyễn Đình Thuận (0.5)"/>
  </r>
  <r>
    <s v="Trường Công nghệ thông tin và Truyền thông"/>
    <n v="190261"/>
    <n v="161418"/>
    <x v="70"/>
    <s v="Assembly Language and Computer Architecture Lab"/>
    <s v="*ICT K69-2S"/>
    <s v="TC"/>
    <s v="AB"/>
    <x v="0"/>
    <s v="Thứ sáu"/>
    <d v="2026-01-30T00:00:00"/>
    <x v="0"/>
    <n v="40"/>
    <s v="Phòng máy TTMT"/>
    <n v="190261"/>
    <s v="Nguyễn Đức Tiến"/>
  </r>
  <r>
    <s v="Trường Công nghệ thông tin và Truyền thông"/>
    <n v="190262"/>
    <n v="161419"/>
    <x v="70"/>
    <s v="Assembly Language and Computer Architecture Lab"/>
    <s v="*ICT K69-3S"/>
    <s v="TC"/>
    <s v="AB"/>
    <x v="0"/>
    <s v="Thứ sáu"/>
    <d v="2026-01-30T00:00:00"/>
    <x v="0"/>
    <n v="40"/>
    <s v="Phòng máy TTMT"/>
    <n v="190262"/>
    <s v="Lê Bá Vui"/>
  </r>
  <r>
    <s v="Trường Công nghệ thông tin và Truyền thông"/>
    <n v="190017"/>
    <n v="161455"/>
    <x v="5"/>
    <s v="Nhập môn CNTT và TT"/>
    <s v="*Việt Nhật K70, Việt Pháp K70C"/>
    <s v="Việt Nhật 03-K70"/>
    <s v="AB"/>
    <x v="1"/>
    <s v="Thứ tư"/>
    <d v="2026-02-04T00:00:00"/>
    <x v="1"/>
    <n v="64"/>
    <s v="Phòng máy TTMT"/>
    <n v="190017"/>
    <s v="Nguyễn Đức Tiến"/>
  </r>
  <r>
    <s v="Trường Công nghệ thông tin và Truyền thông"/>
    <n v="190020"/>
    <n v="161455"/>
    <x v="5"/>
    <s v="Nhập môn CNTT và TT"/>
    <s v="*Việt Nhật K70, Việt Pháp K70C"/>
    <s v="Việt Nhật 01-K70"/>
    <s v="AB"/>
    <x v="1"/>
    <s v="Thứ tư"/>
    <d v="2026-02-04T00:00:00"/>
    <x v="1"/>
    <n v="67"/>
    <s v="Phòng máy TTMT"/>
    <n v="190020"/>
    <s v="Nguyễn Đức Tiến"/>
  </r>
  <r>
    <s v="Trường Công nghệ thông tin và Truyền thông"/>
    <n v="190016"/>
    <n v="161455"/>
    <x v="5"/>
    <s v="Nhập môn CNTT và TT"/>
    <s v="*Việt Nhật K70, Việt Pháp K70C"/>
    <s v="TC"/>
    <s v="AB"/>
    <x v="1"/>
    <s v="Thứ tư"/>
    <d v="2026-02-04T00:00:00"/>
    <x v="1"/>
    <n v="1"/>
    <s v="Phòng máy TTMT"/>
    <n v="190016"/>
    <s v="Nguyễn Đức Tiến"/>
  </r>
  <r>
    <s v="Trường Công nghệ thông tin và Truyền thông"/>
    <n v="190019"/>
    <n v="161455"/>
    <x v="5"/>
    <s v="Nhập môn CNTT và TT"/>
    <s v="*Việt Nhật K70, Việt Pháp K70C"/>
    <s v="Việt Nhật 02-K70"/>
    <s v="AB"/>
    <x v="1"/>
    <s v="Thứ tư"/>
    <d v="2026-02-04T00:00:00"/>
    <x v="1"/>
    <n v="65"/>
    <s v="Phòng máy TTMT"/>
    <n v="190019"/>
    <s v="Nguyễn Đức Tiến"/>
  </r>
  <r>
    <s v="Trường Công nghệ thông tin và Truyền thông"/>
    <n v="190021"/>
    <n v="161455"/>
    <x v="5"/>
    <s v="Nhập môn CNTT và TT"/>
    <s v="*Việt Nhật K70, Việt Pháp K70C"/>
    <s v="CNTT Việt Pháp 01-K70"/>
    <s v="AB"/>
    <x v="1"/>
    <s v="Thứ tư"/>
    <d v="2026-02-04T00:00:00"/>
    <x v="1"/>
    <n v="43"/>
    <s v="Phòng máy TTMT"/>
    <n v="190021"/>
    <s v="Nguyễn Đức Tiến"/>
  </r>
  <r>
    <s v="Trường Công nghệ thông tin và Truyền thông"/>
    <n v="190018"/>
    <n v="161455"/>
    <x v="5"/>
    <s v="Nhập môn CNTT và TT"/>
    <s v="*Việt Nhật K70, Việt Pháp K70C"/>
    <s v="Việt Nhật 04-K70"/>
    <s v="AB"/>
    <x v="1"/>
    <s v="Thứ tư"/>
    <d v="2026-02-04T00:00:00"/>
    <x v="1"/>
    <n v="65"/>
    <s v="Phòng máy TTMT"/>
    <n v="190018"/>
    <s v="Nguyễn Đức Tiến"/>
  </r>
  <r>
    <s v="Trường Công nghệ thông tin và Truyền thông"/>
    <n v="190026"/>
    <n v="161468"/>
    <x v="5"/>
    <s v="Nhập môn CNTT và TT"/>
    <s v="*ICT, KHDL, An toàn KG số - K70S"/>
    <s v="CTTT An toàn không gian số 01-K70"/>
    <s v="AB"/>
    <x v="1"/>
    <s v="Thứ tư"/>
    <d v="2026-02-04T00:00:00"/>
    <x v="1"/>
    <n v="45"/>
    <s v="Phòng máy TTMT"/>
    <n v="190026"/>
    <s v="Lê Thanh Hương"/>
  </r>
  <r>
    <s v="Trường Công nghệ thông tin và Truyền thông"/>
    <n v="190023"/>
    <n v="161468"/>
    <x v="5"/>
    <s v="Nhập môn CNTT và TT"/>
    <s v="*ICT, KHDL, An toàn KG số - K70S"/>
    <s v="TC"/>
    <s v="AB"/>
    <x v="1"/>
    <s v="Thứ tư"/>
    <d v="2026-02-04T00:00:00"/>
    <x v="1"/>
    <n v="1"/>
    <s v="Phòng máy TTMT"/>
    <n v="190023"/>
    <s v="Lê Thanh Hương"/>
  </r>
  <r>
    <s v="Trường Công nghệ thông tin và Truyền thông"/>
    <n v="190022"/>
    <n v="161468"/>
    <x v="5"/>
    <s v="Nhập môn CNTT và TT"/>
    <s v="*ICT, KHDL, An toàn KG số - K70S"/>
    <s v="ICT 02-K70"/>
    <s v="AB"/>
    <x v="1"/>
    <s v="Thứ tư"/>
    <d v="2026-02-04T00:00:00"/>
    <x v="1"/>
    <n v="65"/>
    <s v="Phòng máy TTMT"/>
    <n v="190022"/>
    <s v="Lê Thanh Hương"/>
  </r>
  <r>
    <s v="Trường Công nghệ thông tin và Truyền thông"/>
    <n v="190025"/>
    <n v="161468"/>
    <x v="5"/>
    <s v="Nhập môn CNTT và TT"/>
    <s v="*ICT, KHDL, An toàn KG số - K70S"/>
    <s v="ICT 01-K70"/>
    <s v="AB"/>
    <x v="1"/>
    <s v="Thứ tư"/>
    <d v="2026-02-04T00:00:00"/>
    <x v="1"/>
    <n v="65"/>
    <s v="Phòng máy TTMT"/>
    <n v="190025"/>
    <s v="Lê Thanh Hương"/>
  </r>
  <r>
    <s v="Trường Công nghệ thông tin và Truyền thông"/>
    <n v="190027"/>
    <n v="161468"/>
    <x v="5"/>
    <s v="Nhập môn CNTT và TT"/>
    <s v="*ICT, KHDL, An toàn KG số - K70S"/>
    <s v="CTTT Data Science &amp; AI 01-K70"/>
    <s v="AB"/>
    <x v="1"/>
    <s v="Thứ tư"/>
    <d v="2026-02-04T00:00:00"/>
    <x v="1"/>
    <n v="40"/>
    <s v="Phòng máy TTMT"/>
    <n v="190027"/>
    <s v="Lê Thanh Hương"/>
  </r>
  <r>
    <s v="Trường Công nghệ thông tin và Truyền thông"/>
    <n v="190028"/>
    <n v="161468"/>
    <x v="5"/>
    <s v="Nhập môn CNTT và TT"/>
    <s v="*ICT, KHDL, An toàn KG số - K70S"/>
    <s v="CTTT Data Science &amp; AI 02-K70"/>
    <s v="AB"/>
    <x v="1"/>
    <s v="Thứ tư"/>
    <d v="2026-02-04T00:00:00"/>
    <x v="1"/>
    <n v="38"/>
    <s v="Phòng máy TTMT"/>
    <n v="190028"/>
    <s v="Lê Thanh Hương"/>
  </r>
  <r>
    <s v="Trường Công nghệ thông tin và Truyền thông"/>
    <n v="190024"/>
    <n v="161468"/>
    <x v="5"/>
    <s v="Nhập môn CNTT và TT"/>
    <s v="*ICT, KHDL, An toàn KG số - K70S"/>
    <s v="CTTT Data Science &amp; AI 03-K70"/>
    <s v="AB"/>
    <x v="1"/>
    <s v="Thứ tư"/>
    <d v="2026-02-04T00:00:00"/>
    <x v="1"/>
    <n v="40"/>
    <s v="Phòng máy TTMT"/>
    <n v="190024"/>
    <s v="Lê Thanh Hương"/>
  </r>
  <r>
    <s v="Trường Công nghệ thông tin và Truyền thông"/>
    <n v="190243"/>
    <n v="161469"/>
    <x v="71"/>
    <s v="C Programming Language"/>
    <s v="*ICT K70S"/>
    <s v="ICT 01-K70"/>
    <s v="AB"/>
    <x v="0"/>
    <s v="Thứ sáu"/>
    <d v="2026-01-30T00:00:00"/>
    <x v="1"/>
    <n v="65"/>
    <s v="Phòng máy TTMT"/>
    <n v="190243"/>
    <s v="Dương Quang Huy"/>
  </r>
  <r>
    <s v="Trường Công nghệ thông tin và Truyền thông"/>
    <n v="190245"/>
    <n v="161469"/>
    <x v="71"/>
    <s v="C Programming Language"/>
    <s v="*ICT K70S"/>
    <s v="TC"/>
    <s v="AB"/>
    <x v="0"/>
    <s v="Thứ sáu"/>
    <d v="2026-01-30T00:00:00"/>
    <x v="1"/>
    <n v="5"/>
    <s v="Phòng máy TTMT"/>
    <n v="190245"/>
    <s v="Dương Quang Huy"/>
  </r>
  <r>
    <s v="Trường Công nghệ thông tin và Truyền thông"/>
    <n v="190244"/>
    <n v="161469"/>
    <x v="71"/>
    <s v="C Programming Language"/>
    <s v="*ICT K70S"/>
    <s v="ICT 02-K70"/>
    <s v="AB"/>
    <x v="0"/>
    <s v="Thứ sáu"/>
    <d v="2026-01-30T00:00:00"/>
    <x v="1"/>
    <n v="65"/>
    <s v="Phòng máy TTMT"/>
    <n v="190244"/>
    <s v="Dương Quang Huy"/>
  </r>
  <r>
    <s v="Trường Công nghệ thông tin và Truyền thông"/>
    <n v="190246"/>
    <n v="161470"/>
    <x v="72"/>
    <s v="C Programming (Introduction)"/>
    <s v="*ICT K70-1S"/>
    <s v="TC"/>
    <s v="AB"/>
    <x v="2"/>
    <s v="Thứ sáu "/>
    <d v="2026-01-23T00:00:00"/>
    <x v="7"/>
    <n v="35"/>
    <s v="B1-206"/>
    <n v="190246"/>
    <s v="Đỗ Quốc Huy"/>
  </r>
  <r>
    <s v="Trường Công nghệ thông tin và Truyền thông"/>
    <n v="190247"/>
    <n v="161471"/>
    <x v="72"/>
    <s v="C Programming (Introduction)"/>
    <s v="*ICT K70-2S"/>
    <s v="TC"/>
    <s v="AB"/>
    <x v="2"/>
    <s v="Thứ sáu "/>
    <d v="2026-01-23T00:00:00"/>
    <x v="7"/>
    <n v="34"/>
    <s v="B1-207"/>
    <n v="190247"/>
    <s v="Đoàn Phong Tùng"/>
  </r>
  <r>
    <s v="Trường Công nghệ thông tin và Truyền thông"/>
    <n v="190248"/>
    <n v="161472"/>
    <x v="72"/>
    <s v="C Programming (Introduction)"/>
    <s v="*ICT K70-3S"/>
    <s v="TC"/>
    <s v="AB"/>
    <x v="2"/>
    <s v="Thứ sáu "/>
    <d v="2026-01-23T00:00:00"/>
    <x v="7"/>
    <n v="35"/>
    <s v="B1-204"/>
    <n v="190248"/>
    <s v="Cao Tuấn Dũng (0.8) - Nguyễn Tiến Thành (0.2)"/>
  </r>
  <r>
    <s v="Trường Công nghệ thông tin và Truyền thông"/>
    <n v="190249"/>
    <n v="161473"/>
    <x v="72"/>
    <s v="C Programming (Introduction)"/>
    <s v="*ICT K70-4S"/>
    <s v="TC"/>
    <s v="AB"/>
    <x v="2"/>
    <s v="Thứ sáu "/>
    <d v="2026-01-23T00:00:00"/>
    <x v="7"/>
    <n v="38"/>
    <s v="B1-208"/>
    <n v="190249"/>
    <s v="Nguyễn Duy Hiệp"/>
  </r>
  <r>
    <s v="Trường Công nghệ thông tin và Truyền thông"/>
    <n v="190449"/>
    <n v="161474"/>
    <x v="35"/>
    <s v="Nhập môn kỹ thuật truyền thông"/>
    <s v="*Việt Nhật K68 + Việt Pháp K69-3"/>
    <s v="Nhóm 1"/>
    <s v="AB"/>
    <x v="1"/>
    <s v="Thứ năm"/>
    <d v="2026-02-05T00:00:00"/>
    <x v="9"/>
    <n v="60"/>
    <s v="Phòng máy TTMT"/>
    <n v="190449"/>
    <s v="Trịnh Văn Chiến"/>
  </r>
  <r>
    <s v="Trường Công nghệ thông tin và Truyền thông"/>
    <n v="190450"/>
    <n v="161474"/>
    <x v="35"/>
    <s v="Nhập môn kỹ thuật truyền thông"/>
    <s v="*Việt Nhật K68 + Việt Pháp K69-3"/>
    <s v="Nhóm 2"/>
    <s v="AB"/>
    <x v="1"/>
    <s v="Thứ năm"/>
    <d v="2026-02-05T00:00:00"/>
    <x v="9"/>
    <n v="60"/>
    <s v="Phòng máy TTMT"/>
    <n v="190450"/>
    <s v="Trịnh Văn Chiế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81A79-3D50-E742-AC44-71B60FE4E4D3}" name="PivotTable4" cacheId="10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6" firstHeaderRow="1" firstDataRow="2" firstDataCol="1" rowPageCount="1" colPageCount="1"/>
  <pivotFields count="16">
    <pivotField showAll="0"/>
    <pivotField dataField="1" showAll="0"/>
    <pivotField showAll="0"/>
    <pivotField axis="axisRow" showAll="0">
      <items count="74">
        <item x="0"/>
        <item x="1"/>
        <item x="2"/>
        <item x="3"/>
        <item x="4"/>
        <item x="5"/>
        <item x="6"/>
        <item x="7"/>
        <item x="8"/>
        <item x="67"/>
        <item x="9"/>
        <item x="10"/>
        <item x="11"/>
        <item x="12"/>
        <item x="61"/>
        <item x="13"/>
        <item x="14"/>
        <item x="15"/>
        <item x="16"/>
        <item x="17"/>
        <item x="18"/>
        <item x="19"/>
        <item x="20"/>
        <item x="68"/>
        <item x="21"/>
        <item x="22"/>
        <item x="71"/>
        <item x="72"/>
        <item x="66"/>
        <item x="70"/>
        <item x="69"/>
        <item x="62"/>
        <item x="23"/>
        <item x="54"/>
        <item x="65"/>
        <item x="24"/>
        <item x="60"/>
        <item x="58"/>
        <item x="25"/>
        <item x="59"/>
        <item x="63"/>
        <item x="26"/>
        <item x="27"/>
        <item x="28"/>
        <item x="29"/>
        <item x="30"/>
        <item x="31"/>
        <item x="32"/>
        <item x="57"/>
        <item x="33"/>
        <item x="34"/>
        <item x="35"/>
        <item x="64"/>
        <item x="36"/>
        <item x="37"/>
        <item x="56"/>
        <item x="38"/>
        <item x="39"/>
        <item x="40"/>
        <item x="41"/>
        <item x="55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4">
        <item x="2"/>
        <item h="1" x="0"/>
        <item h="1" x="1"/>
        <item t="default"/>
      </items>
    </pivotField>
    <pivotField showAll="0"/>
    <pivotField showAll="0"/>
    <pivotField axis="axisCol" showAll="0">
      <items count="11">
        <item x="0"/>
        <item x="2"/>
        <item x="8"/>
        <item x="1"/>
        <item x="3"/>
        <item x="7"/>
        <item x="6"/>
        <item x="4"/>
        <item x="9"/>
        <item x="5"/>
        <item t="default"/>
      </items>
    </pivotField>
    <pivotField showAll="0"/>
    <pivotField showAll="0"/>
    <pivotField showAll="0"/>
    <pivotField showAll="0"/>
  </pivotFields>
  <rowFields count="1">
    <field x="3"/>
  </rowFields>
  <rowItems count="22">
    <i>
      <x v="10"/>
    </i>
    <i>
      <x v="11"/>
    </i>
    <i>
      <x v="12"/>
    </i>
    <i>
      <x v="19"/>
    </i>
    <i>
      <x v="24"/>
    </i>
    <i>
      <x v="27"/>
    </i>
    <i>
      <x v="28"/>
    </i>
    <i>
      <x v="30"/>
    </i>
    <i>
      <x v="38"/>
    </i>
    <i>
      <x v="39"/>
    </i>
    <i>
      <x v="40"/>
    </i>
    <i>
      <x v="42"/>
    </i>
    <i>
      <x v="46"/>
    </i>
    <i>
      <x v="47"/>
    </i>
    <i>
      <x v="48"/>
    </i>
    <i>
      <x v="58"/>
    </i>
    <i>
      <x v="59"/>
    </i>
    <i>
      <x v="60"/>
    </i>
    <i>
      <x v="61"/>
    </i>
    <i>
      <x v="67"/>
    </i>
    <i>
      <x v="72"/>
    </i>
    <i t="grand">
      <x/>
    </i>
  </rowItems>
  <colFields count="1">
    <field x="11"/>
  </colFields>
  <colItems count="8">
    <i>
      <x/>
    </i>
    <i>
      <x v="2"/>
    </i>
    <i>
      <x v="3"/>
    </i>
    <i>
      <x v="4"/>
    </i>
    <i>
      <x v="5"/>
    </i>
    <i>
      <x v="7"/>
    </i>
    <i>
      <x v="9"/>
    </i>
    <i t="grand">
      <x/>
    </i>
  </colItems>
  <pageFields count="1">
    <pageField fld="8" hier="-1"/>
  </pageFields>
  <dataFields count="1">
    <dataField name="Count of Mã lớp thi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7F79C9-91D8-B540-8625-4A729F58435F}" name="Table1" displayName="Table1" ref="A6:N278" totalsRowShown="0" headerRowDxfId="47" dataDxfId="46">
  <autoFilter ref="A6:N278" xr:uid="{297F79C9-91D8-B540-8625-4A729F58435F}"/>
  <tableColumns count="14">
    <tableColumn id="1" xr3:uid="{7E067AC1-E56F-9C4C-875B-D03C5D1B2B12}" name="STT" dataDxfId="45">
      <calculatedColumnFormula>ROW()-6</calculatedColumnFormula>
    </tableColumn>
    <tableColumn id="14" xr3:uid="{AC8512F7-1002-B745-AB0E-00E6526435A0}" name="Mã lớp thi" dataDxfId="44"/>
    <tableColumn id="12" xr3:uid="{6770C3D3-0778-084B-AC8E-18E671951B56}" name="Mã lớp" dataDxfId="43"/>
    <tableColumn id="2" xr3:uid="{7B9288F8-1288-524A-83F9-7DE97502F180}" name="Mã học phần" dataDxfId="42"/>
    <tableColumn id="3" xr3:uid="{F62185E4-DDBB-6043-AFB2-2981DABBCCEC}" name="Tên học phần" dataDxfId="41"/>
    <tableColumn id="4" xr3:uid="{019E8593-5431-DD47-97CF-C913008DB262}" name="Tuần thi" dataDxfId="40"/>
    <tableColumn id="5" xr3:uid="{69D59071-96ED-F742-A95C-A2776A398BA1}" name="Thứ" dataDxfId="39"/>
    <tableColumn id="6" xr3:uid="{A52E920E-8896-6647-BBB7-43BFA158F63B}" name="Ngày thi" dataDxfId="38"/>
    <tableColumn id="7" xr3:uid="{8DF5B0AF-7255-9C4A-B935-407F8070999A}" name="Kíp thi" dataDxfId="37"/>
    <tableColumn id="9" xr3:uid="{84CBE8A6-2DE3-7A43-8445-D08CC6C1FB26}" name="Phòng thi" dataDxfId="36"/>
    <tableColumn id="8" xr3:uid="{FE9255F0-BBF6-474D-B28C-C1DC9D07D377}" name="Số lượng sinh viên/1 lớp thi" dataDxfId="35"/>
    <tableColumn id="10" xr3:uid="{650A19CC-2887-B744-B4C6-96829DCB7A38}" name="Cán bộ coi thi" dataDxfId="34"/>
    <tableColumn id="13" xr3:uid="{632690DE-F85A-344D-8DC9-1C0E9EF3E945}" name="Giảng viên phụ trách" dataDxfId="33"/>
    <tableColumn id="11" xr3:uid="{49AA5A9B-73E4-4B8F-828D-5652319371E4}" name="Trực cam" dataDxfId="3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417D1C-E148-BA4C-BD08-C475050AB7C3}" name="tbl_Lichthi" displayName="tbl_Lichthi" ref="A1:P420" totalsRowShown="0" headerRowDxfId="31" tableBorderDxfId="30">
  <autoFilter ref="A1:P420" xr:uid="{32417D1C-E148-BA4C-BD08-C475050AB7C3}"/>
  <tableColumns count="16">
    <tableColumn id="1" xr3:uid="{63DA6F90-9F26-EB4B-AF01-5D4841A28B31}" name="Trường/Khoa" dataDxfId="29"/>
    <tableColumn id="2" xr3:uid="{968F5DDE-5A0A-8348-BA4B-7351ABD62261}" name="Mã lớp thi" dataDxfId="28"/>
    <tableColumn id="3" xr3:uid="{96C341F6-DF24-3E42-81AA-655420B22A14}" name="Mã lớp" dataDxfId="27"/>
    <tableColumn id="4" xr3:uid="{62E58353-AF0A-D149-8F9B-36038E5A0563}" name="Mã học phần" dataDxfId="26"/>
    <tableColumn id="5" xr3:uid="{CA85D8CB-B8E1-044E-BE89-1728C5B23A59}" name="Tên học phần" dataDxfId="25"/>
    <tableColumn id="6" xr3:uid="{3DD76BF6-D10B-FA4F-821F-E73681B31E83}" name="Ghi chú" dataDxfId="24"/>
    <tableColumn id="7" xr3:uid="{AAC965F1-89BE-9C45-B24C-C046ACFA413E}" name="Nhóm" dataDxfId="23"/>
    <tableColumn id="8" xr3:uid="{4CFFD0E7-C878-0F42-A6DA-5D36AFAAEAC9}" name="Đợt" dataDxfId="22"/>
    <tableColumn id="9" xr3:uid="{F00F26E9-5278-AE46-B58F-ABE417395ED3}" name="Tuần" dataDxfId="21"/>
    <tableColumn id="10" xr3:uid="{A62AAA21-1E50-F647-9985-019AE6853A6B}" name="Thứ " dataDxfId="20"/>
    <tableColumn id="11" xr3:uid="{8E4CB0B6-D21E-DC42-B761-2B4293E63EAD}" name="Ngày thi" dataDxfId="19"/>
    <tableColumn id="12" xr3:uid="{8AFF75B5-5301-A441-854A-1FE9810D1F32}" name="Kíp thi" dataDxfId="18"/>
    <tableColumn id="13" xr3:uid="{F0243154-C12E-344A-946E-CF4495E1290D}" name="SL" dataDxfId="17"/>
    <tableColumn id="14" xr3:uid="{4F7BC9C9-0673-E247-B83C-19C9B2A4885B}" name="Phòng thi" dataDxfId="16"/>
    <tableColumn id="15" xr3:uid="{46D00AC5-1D0B-DF43-9C54-EF2162750A62}" name="Mã lớp thi2" dataDxfId="15"/>
    <tableColumn id="16" xr3:uid="{843F0A63-6B31-144B-A7C1-4A89422DB9B4}" name="Giảng viên">
      <calculatedColumnFormula>VLOOKUP(VALUE(C2),Class20251!D:G,4,0)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BAB4FF-0126-8249-8EEC-56492117596B}" name="tbl_LichthiHP" displayName="tbl_LichthiHP" ref="A1:L74" totalsRowShown="0" headerRowDxfId="14" dataDxfId="13" tableBorderDxfId="12">
  <autoFilter ref="A1:L74" xr:uid="{84BAB4FF-0126-8249-8EEC-56492117596B}"/>
  <sortState xmlns:xlrd2="http://schemas.microsoft.com/office/spreadsheetml/2017/richdata2" ref="A2:L74">
    <sortCondition ref="F2:F74"/>
    <sortCondition ref="G2:G74"/>
  </sortState>
  <tableColumns count="12">
    <tableColumn id="1" xr3:uid="{BBF646A4-C8BF-8C41-B4E5-86320A0EC308}" name="TT" dataDxfId="11"/>
    <tableColumn id="2" xr3:uid="{951ECAFA-05DB-8B4E-BED3-165E1F8E2673}" name="Mã học phần" dataDxfId="10"/>
    <tableColumn id="3" xr3:uid="{BF241658-23BA-8149-B176-649AD3552C76}" name="Tên học phần" dataDxfId="9">
      <calculatedColumnFormula>INDEX(tbl_Lichthi[],MATCH(B2,tbl_Lichthi[Mã học phần],0),MATCH(LichThiTheoHocPhan!$C$1,tbl_Lichthi[#Headers],0))</calculatedColumnFormula>
    </tableColumn>
    <tableColumn id="4" xr3:uid="{2CFDA215-0A2C-4042-A050-7CABBFE5BD30}" name="Tuần" dataDxfId="8">
      <calculatedColumnFormula>INDEX(tbl_Lichthi[],MATCH(B2,tbl_Lichthi[Mã học phần],0),MATCH(tbl_LichthiHP[[#Headers],[Tuần]],tbl_Lichthi[#Headers],0))</calculatedColumnFormula>
    </tableColumn>
    <tableColumn id="5" xr3:uid="{66E7C5B0-6AF5-654E-8793-25ECC0425571}" name="Thứ " dataDxfId="7">
      <calculatedColumnFormula>INDEX(tbl_Lichthi[],MATCH(B2,tbl_Lichthi[Mã học phần],0),MATCH(tbl_LichthiHP[[#Headers],[Thứ ]],tbl_Lichthi[#Headers],0))</calculatedColumnFormula>
    </tableColumn>
    <tableColumn id="6" xr3:uid="{6B9C9C20-86F7-5748-BD36-C2E3E8E6ACC2}" name="Ngày thi" dataDxfId="6">
      <calculatedColumnFormula>INDEX(tbl_Lichthi[],MATCH(B2,tbl_Lichthi[Mã học phần],0),MATCH(tbl_LichthiHP[[#Headers],[Ngày thi]],tbl_Lichthi[#Headers],0))</calculatedColumnFormula>
    </tableColumn>
    <tableColumn id="7" xr3:uid="{FB3542ED-6C4B-1D4A-93E0-E289BFEF3C28}" name="Kíp" dataDxfId="5">
      <calculatedColumnFormula>VLOOKUP(B2,'CNTT26.12-Chung'!$D:$M,9,FALSE)</calculatedColumnFormula>
    </tableColumn>
    <tableColumn id="8" xr3:uid="{EE0D39C0-1DC2-454A-9428-25C8E92DD4A8}" name="KÍp2" dataDxfId="4"/>
    <tableColumn id="9" xr3:uid="{8272A8DA-53C3-C541-8D8E-E645C1F7D6DF}" name="số sv" dataDxfId="3">
      <calculatedColumnFormula>SUMIF('CNTT26.12-Chung'!D:D,LichThiTheoHocPhan!$B2,'CNTT26.12-Chung'!M:M)</calculatedColumnFormula>
    </tableColumn>
    <tableColumn id="10" xr3:uid="{DD04741D-6E15-4EFA-B86D-0006B4089608}" name="Course thi cuối kỳ" dataDxfId="2"/>
    <tableColumn id="11" xr3:uid="{11196AFB-BF4B-48DD-9118-0FCAEE6513E0}" name="Giáo viên" dataDxfId="1"/>
    <tableColumn id="12" xr3:uid="{010614AB-74D8-4024-BB5E-3B6217AA1B36}" name="Đề trước 24h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mailto:hai.phamdang@hust.edu.vn" TargetMode="External"/><Relationship Id="rId21" Type="http://schemas.openxmlformats.org/officeDocument/2006/relationships/hyperlink" Target="mailto:vinh.lathe@hust.edu.vn" TargetMode="External"/><Relationship Id="rId42" Type="http://schemas.openxmlformats.org/officeDocument/2006/relationships/hyperlink" Target="https://soict.daotao.ai/courses/course-v1:SoICT+FinalExam-2025-1+IT4663/course/" TargetMode="External"/><Relationship Id="rId47" Type="http://schemas.openxmlformats.org/officeDocument/2006/relationships/hyperlink" Target="mailto:duc.tranquang@hust.edu.vn" TargetMode="External"/><Relationship Id="rId63" Type="http://schemas.openxmlformats.org/officeDocument/2006/relationships/hyperlink" Target="mailto:hiep.hoangvan@hust.edu.vn" TargetMode="External"/><Relationship Id="rId68" Type="http://schemas.openxmlformats.org/officeDocument/2006/relationships/hyperlink" Target="https://studio.daotao.ai/course/course-v1:SoICT+FinalExam-2025-1+IT4651" TargetMode="External"/><Relationship Id="rId84" Type="http://schemas.openxmlformats.org/officeDocument/2006/relationships/hyperlink" Target="https://soict.daotao.ai/courses/course-v1:SoICT+FinalExam-2025-1+IT3320E/course/" TargetMode="External"/><Relationship Id="rId89" Type="http://schemas.openxmlformats.org/officeDocument/2006/relationships/hyperlink" Target="mailto:nga.nguyenthithanh@hust.edu.vn" TargetMode="External"/><Relationship Id="rId112" Type="http://schemas.openxmlformats.org/officeDocument/2006/relationships/hyperlink" Target="https://soict.daotao.ai/courses/course-v1:SoICT+FinalExam-2025-1+IT4593E/course/" TargetMode="External"/><Relationship Id="rId16" Type="http://schemas.openxmlformats.org/officeDocument/2006/relationships/hyperlink" Target="https://soict.daotao.ai/courses/course-v1:SoICT+FinalExam-2025-1+IT3283E/course/" TargetMode="External"/><Relationship Id="rId107" Type="http://schemas.openxmlformats.org/officeDocument/2006/relationships/hyperlink" Target="mailto:thuan.docong@hust.edu.vn" TargetMode="External"/><Relationship Id="rId11" Type="http://schemas.openxmlformats.org/officeDocument/2006/relationships/hyperlink" Target="mailto:tien.nguyenduc@hust.edu.vn" TargetMode="External"/><Relationship Id="rId32" Type="http://schemas.openxmlformats.org/officeDocument/2006/relationships/hyperlink" Target="https://soict.daotao.ai/courses/course-v1:SoICT+FinalExam-2025-1+IT4735E/course/" TargetMode="External"/><Relationship Id="rId37" Type="http://schemas.openxmlformats.org/officeDocument/2006/relationships/hyperlink" Target="mailto:hieu.nguyenkiem@hust.edu.vn" TargetMode="External"/><Relationship Id="rId53" Type="http://schemas.openxmlformats.org/officeDocument/2006/relationships/hyperlink" Target="mailto:huong.lethanh@hust.edu.vn" TargetMode="External"/><Relationship Id="rId58" Type="http://schemas.openxmlformats.org/officeDocument/2006/relationships/hyperlink" Target="https://soict.daotao.ai/courses/course-v1:SoICT+FinalExam-2025-1+IT4142E/course/" TargetMode="External"/><Relationship Id="rId74" Type="http://schemas.openxmlformats.org/officeDocument/2006/relationships/hyperlink" Target="https://studio.daotao.ai/course/course-v1:SoICT+FinalExam-2025-1+IT4651E" TargetMode="External"/><Relationship Id="rId79" Type="http://schemas.openxmlformats.org/officeDocument/2006/relationships/hyperlink" Target="mailto:tien.nguyenduc@hust.edu.vn" TargetMode="External"/><Relationship Id="rId102" Type="http://schemas.openxmlformats.org/officeDocument/2006/relationships/hyperlink" Target="https://soict.daotao.ai/courses/course-v1:SoICT+FinalExam-2025-1+IT4815E/course/" TargetMode="External"/><Relationship Id="rId123" Type="http://schemas.openxmlformats.org/officeDocument/2006/relationships/hyperlink" Target="mailto:trung.leduc@hust.edu.vn" TargetMode="External"/><Relationship Id="rId128" Type="http://schemas.openxmlformats.org/officeDocument/2006/relationships/table" Target="../tables/table3.xml"/><Relationship Id="rId5" Type="http://schemas.openxmlformats.org/officeDocument/2006/relationships/hyperlink" Target="https://soict.daotao.ai/courses/course-v1:SoICT+FinalExam-2025-1+IT4409/course/" TargetMode="External"/><Relationship Id="rId90" Type="http://schemas.openxmlformats.org/officeDocument/2006/relationships/hyperlink" Target="https://soict.daotao.ai/courses/course-v1:SoICT+FinalExam-2025-1+IT4490/course/" TargetMode="External"/><Relationship Id="rId95" Type="http://schemas.openxmlformats.org/officeDocument/2006/relationships/hyperlink" Target="mailto:tien.nguyenduc@hust.edu.vn" TargetMode="External"/><Relationship Id="rId22" Type="http://schemas.openxmlformats.org/officeDocument/2006/relationships/hyperlink" Target="https://soict.daotao.ai/courses/course-v1:SoICT+FinalExam-2025-1+IT4772/course/" TargetMode="External"/><Relationship Id="rId27" Type="http://schemas.openxmlformats.org/officeDocument/2006/relationships/hyperlink" Target="mailto:lan.nguyenthihoang@hust.edu.vn" TargetMode="External"/><Relationship Id="rId43" Type="http://schemas.openxmlformats.org/officeDocument/2006/relationships/hyperlink" Target="mailto:hoang.taduy@hust.edu.vn" TargetMode="External"/><Relationship Id="rId48" Type="http://schemas.openxmlformats.org/officeDocument/2006/relationships/hyperlink" Target="https://soict.daotao.ai/courses/course-v1:SoICT+FinalExam-2025-1+IT3100/course/" TargetMode="External"/><Relationship Id="rId64" Type="http://schemas.openxmlformats.org/officeDocument/2006/relationships/hyperlink" Target="https://soict.daotao.ai/courses/course-v1:SoICT+FinalExam-2025-1+IT4788/course/" TargetMode="External"/><Relationship Id="rId69" Type="http://schemas.openxmlformats.org/officeDocument/2006/relationships/hyperlink" Target="mailto:hoangph@soict.hust.edu.vn" TargetMode="External"/><Relationship Id="rId113" Type="http://schemas.openxmlformats.org/officeDocument/2006/relationships/hyperlink" Target="mailto:thuan.docong@hust.edu.vn" TargetMode="External"/><Relationship Id="rId118" Type="http://schemas.openxmlformats.org/officeDocument/2006/relationships/hyperlink" Target="https://soict.daotao.ai/courses/course-v1:SoICT+FinalExam-2025-1+IT3100E/course/" TargetMode="External"/><Relationship Id="rId80" Type="http://schemas.openxmlformats.org/officeDocument/2006/relationships/hyperlink" Target="https://studio.daotao.ai/course/course-v1:SoICT+FinalExam-2025-1+IT3210" TargetMode="External"/><Relationship Id="rId85" Type="http://schemas.openxmlformats.org/officeDocument/2006/relationships/hyperlink" Target="mailto:khoat.thanquang@hust.edu.vn" TargetMode="External"/><Relationship Id="rId12" Type="http://schemas.openxmlformats.org/officeDocument/2006/relationships/hyperlink" Target="https://soict.daotao.ai/courses/course-v1:SoICT+FinalExam-2025-1+IT3030E/course/" TargetMode="External"/><Relationship Id="rId17" Type="http://schemas.openxmlformats.org/officeDocument/2006/relationships/hyperlink" Target="mailto:hung.phamngoc1@hust.edu.vn" TargetMode="External"/><Relationship Id="rId33" Type="http://schemas.openxmlformats.org/officeDocument/2006/relationships/hyperlink" Target="mailto:hung.phamngoc1@hust.edu.vn" TargetMode="External"/><Relationship Id="rId38" Type="http://schemas.openxmlformats.org/officeDocument/2006/relationships/hyperlink" Target="https://soict.daotao.ai/courses/course-v1:SoICT+FinalExam-2025-1+IT4263/course/" TargetMode="External"/><Relationship Id="rId59" Type="http://schemas.openxmlformats.org/officeDocument/2006/relationships/hyperlink" Target="mailto:anh.nguyenduc@hust.edu.vn" TargetMode="External"/><Relationship Id="rId103" Type="http://schemas.openxmlformats.org/officeDocument/2006/relationships/hyperlink" Target="mailto:toan.nguyenduc1@hust.edu.vn" TargetMode="External"/><Relationship Id="rId108" Type="http://schemas.openxmlformats.org/officeDocument/2006/relationships/hyperlink" Target="https://soict.daotao.ai/courses/course-v1:SoICT+FinalExam-2025-1+IT4613/course/" TargetMode="External"/><Relationship Id="rId124" Type="http://schemas.openxmlformats.org/officeDocument/2006/relationships/hyperlink" Target="https://soict.daotao.ai/courses/course-v1:SoICT+FinalExam-2025-1+IT4868E/course/" TargetMode="External"/><Relationship Id="rId129" Type="http://schemas.microsoft.com/office/2019/04/relationships/namedSheetView" Target="../namedSheetViews/namedSheetView1.xml"/><Relationship Id="rId54" Type="http://schemas.openxmlformats.org/officeDocument/2006/relationships/hyperlink" Target="https://soict.daotao.ai/courses/course-v1:SoICT+FinalExam-2025-1+IT3170E/course/" TargetMode="External"/><Relationship Id="rId70" Type="http://schemas.openxmlformats.org/officeDocument/2006/relationships/hyperlink" Target="https://studio.daotao.ai/course/course-v1:SoICT+FinalExam-2025-1+IT3160E" TargetMode="External"/><Relationship Id="rId75" Type="http://schemas.openxmlformats.org/officeDocument/2006/relationships/hyperlink" Target="mailto:hoangph@soict.hust.edu.vn" TargetMode="External"/><Relationship Id="rId91" Type="http://schemas.openxmlformats.org/officeDocument/2006/relationships/hyperlink" Target="mailto:trang.nguyenthithu@hust.edu.vn" TargetMode="External"/><Relationship Id="rId96" Type="http://schemas.openxmlformats.org/officeDocument/2006/relationships/hyperlink" Target="https://soict.daotao.ai/courses/course-v1:SoICT+FinalExam-2025-1+IT3011/course/" TargetMode="External"/><Relationship Id="rId1" Type="http://schemas.openxmlformats.org/officeDocument/2006/relationships/hyperlink" Target="https://studio.daotao.ai/course/course-v1:SoICT+FinalExam-2025-1+IT4210" TargetMode="External"/><Relationship Id="rId6" Type="http://schemas.openxmlformats.org/officeDocument/2006/relationships/hyperlink" Target="mailto:lam.doba@hust.edu.vn" TargetMode="External"/><Relationship Id="rId23" Type="http://schemas.openxmlformats.org/officeDocument/2006/relationships/hyperlink" Target="mailto:hieu.nguyenkiem@hust.edu.vn" TargetMode="External"/><Relationship Id="rId28" Type="http://schemas.openxmlformats.org/officeDocument/2006/relationships/hyperlink" Target="https://soict.daotao.ai/courses/course-v1:SoICT+FinalExam-2025-1+IT4735/course/" TargetMode="External"/><Relationship Id="rId49" Type="http://schemas.openxmlformats.org/officeDocument/2006/relationships/hyperlink" Target="mailto:dung.nguyentuan@hust.edu.vn" TargetMode="External"/><Relationship Id="rId114" Type="http://schemas.openxmlformats.org/officeDocument/2006/relationships/hyperlink" Target="https://soict.daotao.ai/courses/course-v1:SoICT+FinalExam-2025-1+IT3020E/course/" TargetMode="External"/><Relationship Id="rId119" Type="http://schemas.openxmlformats.org/officeDocument/2006/relationships/hyperlink" Target="mailto:dat.trinhtuan@hust.edu.vn" TargetMode="External"/><Relationship Id="rId44" Type="http://schemas.openxmlformats.org/officeDocument/2006/relationships/hyperlink" Target="https://soict.daotao.ai/courses/course-v1:SoICT+FinalExam-2025-1+IT4015E/course/" TargetMode="External"/><Relationship Id="rId60" Type="http://schemas.openxmlformats.org/officeDocument/2006/relationships/hyperlink" Target="https://soict.daotao.ai/courses/course-v1:SoICT+FinalExam-2025-1+IT4508E/course/" TargetMode="External"/><Relationship Id="rId65" Type="http://schemas.openxmlformats.org/officeDocument/2006/relationships/hyperlink" Target="mailto:thanh.nguyentien2@hust.edu.vn" TargetMode="External"/><Relationship Id="rId81" Type="http://schemas.openxmlformats.org/officeDocument/2006/relationships/hyperlink" Target="mailto:huy.duongquang@hust.edu.vn" TargetMode="External"/><Relationship Id="rId86" Type="http://schemas.openxmlformats.org/officeDocument/2006/relationships/hyperlink" Target="https://soict.daotao.ai/courses/course-v1:SoICT+FinalExam-2025-1+IT4785/course/" TargetMode="External"/><Relationship Id="rId13" Type="http://schemas.openxmlformats.org/officeDocument/2006/relationships/hyperlink" Target="mailto:tien.nguyenduc@hust.edu.vn" TargetMode="External"/><Relationship Id="rId18" Type="http://schemas.openxmlformats.org/officeDocument/2006/relationships/hyperlink" Target="https://soict.daotao.ai/courses/course-v1:SoICT+FinalExam-2025-1+IT4043E/course/" TargetMode="External"/><Relationship Id="rId39" Type="http://schemas.openxmlformats.org/officeDocument/2006/relationships/hyperlink" Target="mailto:giang.nguyenlinh@hust.edu.vn" TargetMode="External"/><Relationship Id="rId109" Type="http://schemas.openxmlformats.org/officeDocument/2006/relationships/hyperlink" Target="mailto:linh.ngovan@hust.edu.vn" TargetMode="External"/><Relationship Id="rId34" Type="http://schemas.openxmlformats.org/officeDocument/2006/relationships/hyperlink" Target="https://soict.daotao.ai/courses/course-v1:SoICT+FinalExam-2025-1+IT1110E/course/" TargetMode="External"/><Relationship Id="rId50" Type="http://schemas.openxmlformats.org/officeDocument/2006/relationships/hyperlink" Target="https://soict.daotao.ai/courses/course-v1:SoICT+FinalExam-2025-1+IT3170/course/" TargetMode="External"/><Relationship Id="rId55" Type="http://schemas.openxmlformats.org/officeDocument/2006/relationships/hyperlink" Target="mailto:dung.phamquang@hust.edu.vn" TargetMode="External"/><Relationship Id="rId76" Type="http://schemas.openxmlformats.org/officeDocument/2006/relationships/hyperlink" Target="https://studio.daotao.ai/course/course-v1:SoICT+FinalExam-2025-1+IT3080" TargetMode="External"/><Relationship Id="rId97" Type="http://schemas.openxmlformats.org/officeDocument/2006/relationships/hyperlink" Target="mailto:dung.nguyentuan@hust.edu.vn" TargetMode="External"/><Relationship Id="rId104" Type="http://schemas.openxmlformats.org/officeDocument/2006/relationships/hyperlink" Target="https://soict.daotao.ai/courses/course-v1:SoICT+FinalExam-2025-1+IT3080Ea/course/" TargetMode="External"/><Relationship Id="rId120" Type="http://schemas.openxmlformats.org/officeDocument/2006/relationships/hyperlink" Target="https://soict.daotao.ai/courses/course-v1:SoICT+FinalExam-2025-1+IT4010E/course/" TargetMode="External"/><Relationship Id="rId125" Type="http://schemas.openxmlformats.org/officeDocument/2006/relationships/hyperlink" Target="mailto:hieu.nguyenkiem@hust.edu.vn" TargetMode="External"/><Relationship Id="rId7" Type="http://schemas.openxmlformats.org/officeDocument/2006/relationships/hyperlink" Target="https://soict.daotao.ai/courses/course-v1:SoICT+FinalExam-2025-1+IT4441/course/" TargetMode="External"/><Relationship Id="rId71" Type="http://schemas.openxmlformats.org/officeDocument/2006/relationships/hyperlink" Target="mailto:tuan.damquang@hust.edu.vn" TargetMode="External"/><Relationship Id="rId92" Type="http://schemas.openxmlformats.org/officeDocument/2006/relationships/hyperlink" Target="https://soict.daotao.ai/courses/course-v1:SoICT+FinalExam-2025-1+IT3323/course/" TargetMode="External"/><Relationship Id="rId2" Type="http://schemas.openxmlformats.org/officeDocument/2006/relationships/hyperlink" Target="mailto:trung.ngolam@hust.edu.vn" TargetMode="External"/><Relationship Id="rId29" Type="http://schemas.openxmlformats.org/officeDocument/2006/relationships/hyperlink" Target="mailto:thuan.nguyendinh@hust.edu.vn" TargetMode="External"/><Relationship Id="rId24" Type="http://schemas.openxmlformats.org/officeDocument/2006/relationships/hyperlink" Target="https://soict.daotao.ai/courses/course-v1:SoICT+FinalExam-2025-1+IT3120E/course/" TargetMode="External"/><Relationship Id="rId40" Type="http://schemas.openxmlformats.org/officeDocument/2006/relationships/hyperlink" Target="https://soict.daotao.ai/courses/course-v1:SoICT+FinalExam-2025-1+IT4931/course/" TargetMode="External"/><Relationship Id="rId45" Type="http://schemas.openxmlformats.org/officeDocument/2006/relationships/hyperlink" Target="mailto:van.nguyenkhanh@hust.edu.vn" TargetMode="External"/><Relationship Id="rId66" Type="http://schemas.openxmlformats.org/officeDocument/2006/relationships/hyperlink" Target="https://soict.daotao.ai/courses/course-v1:SoICT+FinalExam-2025-1+IT3292E/course/" TargetMode="External"/><Relationship Id="rId87" Type="http://schemas.openxmlformats.org/officeDocument/2006/relationships/hyperlink" Target="mailto:hiep.hoangvan@hust.edu.vn" TargetMode="External"/><Relationship Id="rId110" Type="http://schemas.openxmlformats.org/officeDocument/2006/relationships/hyperlink" Target="https://soict.daotao.ai/courses/course-v1:SoICT+FinalExam-2025-1+IT5409/course/" TargetMode="External"/><Relationship Id="rId115" Type="http://schemas.openxmlformats.org/officeDocument/2006/relationships/hyperlink" Target="mailto:phuong.nguyenkhanh@hust.edu.vn" TargetMode="External"/><Relationship Id="rId61" Type="http://schemas.openxmlformats.org/officeDocument/2006/relationships/hyperlink" Target="mailto:dang.tranvan1@hust.edu.vn" TargetMode="External"/><Relationship Id="rId82" Type="http://schemas.openxmlformats.org/officeDocument/2006/relationships/hyperlink" Target="https://soict.daotao.ai/courses/course-v1:SoICT+FinalExam-2025-1+IT3160/course/" TargetMode="External"/><Relationship Id="rId19" Type="http://schemas.openxmlformats.org/officeDocument/2006/relationships/hyperlink" Target="mailto:trung.tranviet@hust.edu.vn" TargetMode="External"/><Relationship Id="rId14" Type="http://schemas.openxmlformats.org/officeDocument/2006/relationships/hyperlink" Target="https://soict.daotao.ai/courses/course-v1:SoICT+FinalExam-2025-1+IT3034/course/" TargetMode="External"/><Relationship Id="rId30" Type="http://schemas.openxmlformats.org/officeDocument/2006/relationships/hyperlink" Target="https://soict.daotao.ai/courses/course-v1:SoICT+FinalExam-2025-1+IT5425/course/" TargetMode="External"/><Relationship Id="rId35" Type="http://schemas.openxmlformats.org/officeDocument/2006/relationships/hyperlink" Target="mailto:thieu.vuvan@hust.edu.vn" TargetMode="External"/><Relationship Id="rId56" Type="http://schemas.openxmlformats.org/officeDocument/2006/relationships/hyperlink" Target="https://soict.daotao.ai/courses/course-v1:SoICT+FinalExam-2025-1+IT3011E/course/" TargetMode="External"/><Relationship Id="rId77" Type="http://schemas.openxmlformats.org/officeDocument/2006/relationships/hyperlink" Target="mailto:tung.buitrong@hust.edu.vn" TargetMode="External"/><Relationship Id="rId100" Type="http://schemas.openxmlformats.org/officeDocument/2006/relationships/hyperlink" Target="https://soict.daotao.ai/courses/course-v1:SoICT+FinalExam-2025-1+IT4653/course/" TargetMode="External"/><Relationship Id="rId105" Type="http://schemas.openxmlformats.org/officeDocument/2006/relationships/hyperlink" Target="mailto:ngoc.trannguyen@hust.edu.vn" TargetMode="External"/><Relationship Id="rId126" Type="http://schemas.openxmlformats.org/officeDocument/2006/relationships/hyperlink" Target="mailto:ngoc.nguyenba@hust.edu.vn" TargetMode="External"/><Relationship Id="rId8" Type="http://schemas.openxmlformats.org/officeDocument/2006/relationships/hyperlink" Target="https://soict.daotao.ai/courses/course-v1:SoICT+FinalExam-2025-1+IT4930/course/" TargetMode="External"/><Relationship Id="rId51" Type="http://schemas.openxmlformats.org/officeDocument/2006/relationships/hyperlink" Target="mailto:trung.buiquoc@hust.edu.vn" TargetMode="External"/><Relationship Id="rId72" Type="http://schemas.openxmlformats.org/officeDocument/2006/relationships/hyperlink" Target="https://studio.daotao.ai/course/course-v1:SoICT+FinalExam-2025-1+IT5412" TargetMode="External"/><Relationship Id="rId93" Type="http://schemas.openxmlformats.org/officeDocument/2006/relationships/hyperlink" Target="mailto:duc.tranvinh@hust.edu.vn" TargetMode="External"/><Relationship Id="rId98" Type="http://schemas.openxmlformats.org/officeDocument/2006/relationships/hyperlink" Target="https://soict.daotao.ai/courses/course-v1:SoICT+FinalExam-2025-1+IT3011Q/course/" TargetMode="External"/><Relationship Id="rId121" Type="http://schemas.openxmlformats.org/officeDocument/2006/relationships/hyperlink" Target="mailto:duc.tranvinh@hust.edu.vn" TargetMode="External"/><Relationship Id="rId3" Type="http://schemas.openxmlformats.org/officeDocument/2006/relationships/hyperlink" Target="https://soict.daotao.ai/courses/course-v1:SoICT+FinalExam-2025-1+IT3180/course/" TargetMode="External"/><Relationship Id="rId25" Type="http://schemas.openxmlformats.org/officeDocument/2006/relationships/hyperlink" Target="mailto:anh.nguyenduc@hust.edu.vn" TargetMode="External"/><Relationship Id="rId46" Type="http://schemas.openxmlformats.org/officeDocument/2006/relationships/hyperlink" Target="https://soict.daotao.ai/courses/course-v1:SoICT+FinalExam-2025-1+IT4015/course/" TargetMode="External"/><Relationship Id="rId67" Type="http://schemas.openxmlformats.org/officeDocument/2006/relationships/hyperlink" Target="mailto:trinh.vutuyet@hust.edu.vn" TargetMode="External"/><Relationship Id="rId116" Type="http://schemas.openxmlformats.org/officeDocument/2006/relationships/hyperlink" Target="https://soict.daotao.ai/courses/course-v1:SoICT+FinalExam-2025-1+IT3070/course/" TargetMode="External"/><Relationship Id="rId20" Type="http://schemas.openxmlformats.org/officeDocument/2006/relationships/hyperlink" Target="https://soict.daotao.ai/courses/course-v1:SoICT+FinalExam-2025-1+IT4172/course/" TargetMode="External"/><Relationship Id="rId41" Type="http://schemas.openxmlformats.org/officeDocument/2006/relationships/hyperlink" Target="mailto:trung.tranviet@hust.edu.vn" TargetMode="External"/><Relationship Id="rId62" Type="http://schemas.openxmlformats.org/officeDocument/2006/relationships/hyperlink" Target="https://soict.daotao.ai/courses/course-v1:SoICT+FinalExam-2025-1+IT4785E/course/" TargetMode="External"/><Relationship Id="rId83" Type="http://schemas.openxmlformats.org/officeDocument/2006/relationships/hyperlink" Target="mailto:huong.lethanh@hust.edu.vn" TargetMode="External"/><Relationship Id="rId88" Type="http://schemas.openxmlformats.org/officeDocument/2006/relationships/hyperlink" Target="https://soict.daotao.ai/courses/course-v1:SoICT+FinalExam-2025-1+IT3420/course/" TargetMode="External"/><Relationship Id="rId111" Type="http://schemas.openxmlformats.org/officeDocument/2006/relationships/hyperlink" Target="mailto:oanh.nguyenthi@hust.edu.vn" TargetMode="External"/><Relationship Id="rId15" Type="http://schemas.openxmlformats.org/officeDocument/2006/relationships/hyperlink" Target="mailto:tien.nguyenduc@hust.edu.vn" TargetMode="External"/><Relationship Id="rId36" Type="http://schemas.openxmlformats.org/officeDocument/2006/relationships/hyperlink" Target="https://soict.daotao.ai/courses/course-v1:SoICT+FinalExam-2025-1+IT3190/course/" TargetMode="External"/><Relationship Id="rId57" Type="http://schemas.openxmlformats.org/officeDocument/2006/relationships/hyperlink" Target="mailto:dung.phamquang@hust.edu.vn" TargetMode="External"/><Relationship Id="rId106" Type="http://schemas.openxmlformats.org/officeDocument/2006/relationships/hyperlink" Target="https://soict.daotao.ai/courses/course-v1:SoICT+FinalExam-2025-1+IT4593/course/" TargetMode="External"/><Relationship Id="rId127" Type="http://schemas.openxmlformats.org/officeDocument/2006/relationships/hyperlink" Target="mailto:trung.trinhthanh@hust.edu.vn" TargetMode="External"/><Relationship Id="rId10" Type="http://schemas.openxmlformats.org/officeDocument/2006/relationships/hyperlink" Target="https://soict.daotao.ai/courses/course-v1:SoICT+FinalExam-2025-1+IT3030/course/" TargetMode="External"/><Relationship Id="rId31" Type="http://schemas.openxmlformats.org/officeDocument/2006/relationships/hyperlink" Target="mailto:duc.nguyenhuu@hust.edu.vn" TargetMode="External"/><Relationship Id="rId52" Type="http://schemas.openxmlformats.org/officeDocument/2006/relationships/hyperlink" Target="https://soict.daotao.ai/courses/course-v1:SoICT+FinalExam-2025-1+IT5411/course/" TargetMode="External"/><Relationship Id="rId73" Type="http://schemas.openxmlformats.org/officeDocument/2006/relationships/hyperlink" Target="mailto:linh.ngovan@hust.edu.vn" TargetMode="External"/><Relationship Id="rId78" Type="http://schemas.openxmlformats.org/officeDocument/2006/relationships/hyperlink" Target="https://studio.daotao.ai/course/course-v1:SoICT+FinalExam-2025-1+IT3280E" TargetMode="External"/><Relationship Id="rId94" Type="http://schemas.openxmlformats.org/officeDocument/2006/relationships/hyperlink" Target="https://soict.daotao.ai/courses/course-v1:SoICT+FinalExam-2025-1+IT2000/course/" TargetMode="External"/><Relationship Id="rId99" Type="http://schemas.openxmlformats.org/officeDocument/2006/relationships/hyperlink" Target="mailto:son.nguyenvan@hust.edu.vn" TargetMode="External"/><Relationship Id="rId101" Type="http://schemas.openxmlformats.org/officeDocument/2006/relationships/hyperlink" Target="mailto:phuc.trinhanh@hust.edu.vn" TargetMode="External"/><Relationship Id="rId122" Type="http://schemas.openxmlformats.org/officeDocument/2006/relationships/hyperlink" Target="https://soict.daotao.ai/courses/course-v1:SoICT+FinalExam-2025-1+IT4244/course/" TargetMode="External"/><Relationship Id="rId4" Type="http://schemas.openxmlformats.org/officeDocument/2006/relationships/hyperlink" Target="mailto:giang.vuthihuong@hust.edu.vn" TargetMode="External"/><Relationship Id="rId9" Type="http://schemas.openxmlformats.org/officeDocument/2006/relationships/hyperlink" Target="mailto:hai.phamvan@hust.edu.vn" TargetMode="External"/><Relationship Id="rId26" Type="http://schemas.openxmlformats.org/officeDocument/2006/relationships/hyperlink" Target="https://soict.daotao.ai/courses/course-v1:SoICT+FinalExam-2025-1+IT4681/cour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1000"/>
  <sheetViews>
    <sheetView workbookViewId="0">
      <pane xSplit="2" ySplit="2" topLeftCell="S3" activePane="bottomRight" state="frozen"/>
      <selection pane="bottomRight" activeCell="S15" sqref="S15"/>
      <selection pane="bottomLeft" activeCell="A3" sqref="A3"/>
      <selection pane="topRight" activeCell="C1" sqref="C1"/>
    </sheetView>
  </sheetViews>
  <sheetFormatPr defaultColWidth="12.42578125" defaultRowHeight="15" customHeight="1"/>
  <cols>
    <col min="1" max="1" width="4" customWidth="1"/>
    <col min="2" max="2" width="10.42578125" customWidth="1"/>
    <col min="3" max="3" width="8.140625" customWidth="1"/>
    <col min="4" max="35" width="8" customWidth="1"/>
  </cols>
  <sheetData>
    <row r="1" spans="1:35" ht="12.75">
      <c r="A1" s="2" t="s">
        <v>0</v>
      </c>
      <c r="D1" s="249" t="s">
        <v>1</v>
      </c>
      <c r="E1" s="302"/>
      <c r="F1" s="302"/>
      <c r="G1" s="302"/>
      <c r="H1" s="303"/>
      <c r="I1" s="248" t="s">
        <v>2</v>
      </c>
      <c r="J1" s="302"/>
      <c r="K1" s="302"/>
      <c r="L1" s="302"/>
      <c r="M1" s="303"/>
      <c r="N1" s="249" t="s">
        <v>3</v>
      </c>
      <c r="O1" s="302"/>
      <c r="P1" s="302"/>
      <c r="Q1" s="302"/>
      <c r="R1" s="303"/>
      <c r="S1" s="248" t="s">
        <v>4</v>
      </c>
      <c r="T1" s="302"/>
      <c r="U1" s="302"/>
      <c r="V1" s="303"/>
      <c r="W1" s="3"/>
      <c r="X1" s="249" t="s">
        <v>5</v>
      </c>
      <c r="Y1" s="302"/>
      <c r="Z1" s="302"/>
      <c r="AA1" s="303"/>
      <c r="AB1" s="248" t="s">
        <v>6</v>
      </c>
      <c r="AC1" s="302"/>
      <c r="AD1" s="302"/>
      <c r="AE1" s="303"/>
      <c r="AF1" s="249" t="s">
        <v>7</v>
      </c>
      <c r="AG1" s="302"/>
      <c r="AH1" s="302"/>
      <c r="AI1" s="303"/>
    </row>
    <row r="2" spans="1:35" ht="15" customHeight="1">
      <c r="A2" s="1" t="s">
        <v>8</v>
      </c>
      <c r="B2" s="1" t="s">
        <v>9</v>
      </c>
      <c r="C2" s="1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4" t="s">
        <v>11</v>
      </c>
      <c r="T2" s="4" t="s">
        <v>12</v>
      </c>
      <c r="U2" s="4" t="s">
        <v>13</v>
      </c>
      <c r="V2" s="4" t="s">
        <v>14</v>
      </c>
      <c r="W2" s="4" t="s">
        <v>14</v>
      </c>
      <c r="X2" s="3" t="s">
        <v>11</v>
      </c>
      <c r="Y2" s="3" t="s">
        <v>12</v>
      </c>
      <c r="Z2" s="3" t="s">
        <v>13</v>
      </c>
      <c r="AA2" s="3" t="s">
        <v>14</v>
      </c>
      <c r="AB2" s="4" t="s">
        <v>11</v>
      </c>
      <c r="AC2" s="4" t="s">
        <v>12</v>
      </c>
      <c r="AD2" s="4" t="s">
        <v>13</v>
      </c>
      <c r="AE2" s="4" t="s">
        <v>14</v>
      </c>
      <c r="AF2" s="3" t="s">
        <v>11</v>
      </c>
      <c r="AG2" s="3" t="s">
        <v>12</v>
      </c>
      <c r="AH2" s="3" t="s">
        <v>13</v>
      </c>
      <c r="AI2" s="3" t="s">
        <v>14</v>
      </c>
    </row>
    <row r="3" spans="1:35" ht="15" customHeight="1">
      <c r="A3" s="1">
        <v>1</v>
      </c>
      <c r="B3" s="1" t="s">
        <v>16</v>
      </c>
      <c r="C3" s="1">
        <v>37</v>
      </c>
      <c r="D3" s="5" t="s">
        <v>17</v>
      </c>
      <c r="E3" s="5" t="s">
        <v>17</v>
      </c>
      <c r="F3" s="5" t="s">
        <v>17</v>
      </c>
      <c r="G3" s="5" t="s">
        <v>17</v>
      </c>
      <c r="H3" s="5"/>
      <c r="I3" s="1" t="s">
        <v>17</v>
      </c>
      <c r="J3" s="1" t="s">
        <v>17</v>
      </c>
      <c r="K3" s="1" t="s">
        <v>17</v>
      </c>
      <c r="L3" s="1" t="s">
        <v>17</v>
      </c>
      <c r="M3" s="1"/>
      <c r="N3" s="5" t="s">
        <v>17</v>
      </c>
      <c r="O3" s="5" t="s">
        <v>17</v>
      </c>
      <c r="P3" s="5" t="s">
        <v>17</v>
      </c>
      <c r="Q3" s="5" t="s">
        <v>17</v>
      </c>
      <c r="R3" s="5"/>
      <c r="S3" s="1" t="s">
        <v>17</v>
      </c>
      <c r="T3" s="1" t="s">
        <v>17</v>
      </c>
      <c r="U3" s="1" t="s">
        <v>17</v>
      </c>
      <c r="V3" s="1" t="s">
        <v>17</v>
      </c>
      <c r="W3" s="1" t="s">
        <v>17</v>
      </c>
      <c r="X3" s="5" t="s">
        <v>17</v>
      </c>
      <c r="Y3" s="5" t="s">
        <v>17</v>
      </c>
      <c r="Z3" s="5" t="s">
        <v>17</v>
      </c>
      <c r="AA3" s="5" t="s">
        <v>17</v>
      </c>
      <c r="AB3" s="1"/>
      <c r="AC3" s="1"/>
      <c r="AD3" s="1"/>
      <c r="AE3" s="1"/>
      <c r="AF3" s="5"/>
      <c r="AG3" s="5"/>
      <c r="AH3" s="5"/>
      <c r="AI3" s="5"/>
    </row>
    <row r="4" spans="1:35" ht="15" customHeight="1">
      <c r="A4" s="1">
        <v>2</v>
      </c>
      <c r="B4" s="1" t="s">
        <v>18</v>
      </c>
      <c r="C4" s="1">
        <v>37</v>
      </c>
      <c r="D4" s="5" t="s">
        <v>17</v>
      </c>
      <c r="E4" s="5" t="s">
        <v>17</v>
      </c>
      <c r="F4" s="5" t="s">
        <v>17</v>
      </c>
      <c r="G4" s="5" t="s">
        <v>17</v>
      </c>
      <c r="H4" s="5"/>
      <c r="I4" s="1" t="s">
        <v>17</v>
      </c>
      <c r="J4" s="1" t="s">
        <v>17</v>
      </c>
      <c r="K4" s="1" t="s">
        <v>17</v>
      </c>
      <c r="L4" s="1" t="s">
        <v>17</v>
      </c>
      <c r="M4" s="1"/>
      <c r="N4" s="5" t="s">
        <v>17</v>
      </c>
      <c r="O4" s="5" t="s">
        <v>17</v>
      </c>
      <c r="P4" s="5" t="s">
        <v>17</v>
      </c>
      <c r="Q4" s="5" t="s">
        <v>17</v>
      </c>
      <c r="R4" s="5"/>
      <c r="S4" s="1" t="s">
        <v>17</v>
      </c>
      <c r="T4" s="1" t="s">
        <v>17</v>
      </c>
      <c r="U4" s="1" t="s">
        <v>17</v>
      </c>
      <c r="V4" s="1" t="s">
        <v>17</v>
      </c>
      <c r="W4" s="1" t="s">
        <v>17</v>
      </c>
      <c r="X4" s="5" t="s">
        <v>17</v>
      </c>
      <c r="Y4" s="5" t="s">
        <v>17</v>
      </c>
      <c r="Z4" s="5" t="s">
        <v>17</v>
      </c>
      <c r="AA4" s="5" t="s">
        <v>17</v>
      </c>
      <c r="AB4" s="1"/>
      <c r="AC4" s="1"/>
      <c r="AD4" s="1"/>
      <c r="AE4" s="1"/>
      <c r="AF4" s="5"/>
      <c r="AG4" s="5"/>
      <c r="AH4" s="5"/>
      <c r="AI4" s="5"/>
    </row>
    <row r="5" spans="1:35" ht="15" customHeight="1">
      <c r="A5" s="1">
        <v>3</v>
      </c>
      <c r="B5" s="1" t="s">
        <v>19</v>
      </c>
      <c r="C5" s="1">
        <v>37</v>
      </c>
      <c r="D5" s="5"/>
      <c r="E5" s="5"/>
      <c r="F5" s="5" t="s">
        <v>17</v>
      </c>
      <c r="G5" s="5" t="s">
        <v>17</v>
      </c>
      <c r="H5" s="5"/>
      <c r="I5" s="1"/>
      <c r="J5" s="1"/>
      <c r="K5" s="1" t="s">
        <v>17</v>
      </c>
      <c r="L5" s="1" t="s">
        <v>17</v>
      </c>
      <c r="M5" s="1"/>
      <c r="N5" s="5"/>
      <c r="O5" s="5"/>
      <c r="P5" s="5"/>
      <c r="Q5" s="5"/>
      <c r="R5" s="5"/>
      <c r="S5" s="1" t="s">
        <v>17</v>
      </c>
      <c r="T5" s="1" t="s">
        <v>17</v>
      </c>
      <c r="U5" s="1"/>
      <c r="V5" s="1"/>
      <c r="W5" s="1"/>
      <c r="X5" s="5" t="s">
        <v>17</v>
      </c>
      <c r="Y5" s="5" t="s">
        <v>17</v>
      </c>
      <c r="Z5" s="5" t="s">
        <v>17</v>
      </c>
      <c r="AA5" s="5" t="s">
        <v>17</v>
      </c>
      <c r="AB5" s="1"/>
      <c r="AC5" s="1"/>
      <c r="AD5" s="1"/>
      <c r="AE5" s="1"/>
      <c r="AF5" s="5"/>
      <c r="AG5" s="5"/>
      <c r="AH5" s="5"/>
      <c r="AI5" s="5"/>
    </row>
    <row r="6" spans="1:35" ht="15" customHeight="1">
      <c r="A6" s="1">
        <v>4</v>
      </c>
      <c r="B6" s="1" t="s">
        <v>20</v>
      </c>
      <c r="C6" s="1">
        <v>37</v>
      </c>
      <c r="D6" s="5" t="s">
        <v>17</v>
      </c>
      <c r="E6" s="5" t="s">
        <v>17</v>
      </c>
      <c r="F6" s="5" t="s">
        <v>17</v>
      </c>
      <c r="G6" s="5" t="s">
        <v>17</v>
      </c>
      <c r="H6" s="5"/>
      <c r="I6" s="1"/>
      <c r="J6" s="1"/>
      <c r="K6" s="1" t="s">
        <v>17</v>
      </c>
      <c r="L6" s="1" t="s">
        <v>17</v>
      </c>
      <c r="M6" s="1"/>
      <c r="N6" s="5"/>
      <c r="O6" s="5"/>
      <c r="P6" s="5"/>
      <c r="Q6" s="5"/>
      <c r="R6" s="5"/>
      <c r="S6" s="1" t="s">
        <v>17</v>
      </c>
      <c r="T6" s="1" t="s">
        <v>17</v>
      </c>
      <c r="U6" s="1"/>
      <c r="V6" s="1"/>
      <c r="W6" s="1"/>
      <c r="X6" s="5"/>
      <c r="Y6" s="5"/>
      <c r="Z6" s="5"/>
      <c r="AA6" s="5"/>
      <c r="AB6" s="1"/>
      <c r="AC6" s="1"/>
      <c r="AD6" s="1"/>
      <c r="AE6" s="1"/>
      <c r="AF6" s="5"/>
      <c r="AG6" s="5"/>
      <c r="AH6" s="5"/>
      <c r="AI6" s="5"/>
    </row>
    <row r="7" spans="1:35" ht="15" customHeight="1">
      <c r="A7" s="1">
        <v>5</v>
      </c>
      <c r="B7" s="1" t="s">
        <v>21</v>
      </c>
      <c r="C7" s="1">
        <v>37</v>
      </c>
      <c r="D7" s="5"/>
      <c r="E7" s="5"/>
      <c r="F7" s="5"/>
      <c r="G7" s="5"/>
      <c r="H7" s="5"/>
      <c r="I7" s="1" t="s">
        <v>17</v>
      </c>
      <c r="J7" s="1" t="s">
        <v>17</v>
      </c>
      <c r="K7" s="1" t="s">
        <v>17</v>
      </c>
      <c r="L7" s="1" t="s">
        <v>17</v>
      </c>
      <c r="M7" s="1"/>
      <c r="N7" s="5" t="s">
        <v>17</v>
      </c>
      <c r="O7" s="5" t="s">
        <v>17</v>
      </c>
      <c r="P7" s="5" t="s">
        <v>17</v>
      </c>
      <c r="Q7" s="5" t="s">
        <v>17</v>
      </c>
      <c r="R7" s="5"/>
      <c r="S7" s="1" t="s">
        <v>17</v>
      </c>
      <c r="T7" s="1" t="s">
        <v>17</v>
      </c>
      <c r="U7" s="1" t="s">
        <v>17</v>
      </c>
      <c r="V7" s="1" t="s">
        <v>17</v>
      </c>
      <c r="W7" s="1" t="s">
        <v>17</v>
      </c>
      <c r="X7" s="5"/>
      <c r="Y7" s="5"/>
      <c r="Z7" s="5"/>
      <c r="AA7" s="5"/>
      <c r="AB7" s="1"/>
      <c r="AC7" s="1"/>
      <c r="AD7" s="1"/>
      <c r="AE7" s="1"/>
      <c r="AF7" s="5"/>
      <c r="AG7" s="5"/>
      <c r="AH7" s="5"/>
      <c r="AI7" s="5"/>
    </row>
    <row r="8" spans="1:35" ht="15" customHeight="1">
      <c r="A8" s="1">
        <v>6</v>
      </c>
      <c r="B8" s="1" t="s">
        <v>22</v>
      </c>
      <c r="C8" s="1">
        <v>30</v>
      </c>
      <c r="D8" s="5"/>
      <c r="E8" s="5"/>
      <c r="F8" s="5"/>
      <c r="G8" s="5"/>
      <c r="H8" s="5"/>
      <c r="I8" s="1" t="s">
        <v>17</v>
      </c>
      <c r="J8" s="1" t="s">
        <v>17</v>
      </c>
      <c r="K8" s="1" t="s">
        <v>17</v>
      </c>
      <c r="L8" s="1" t="s">
        <v>17</v>
      </c>
      <c r="M8" s="1"/>
      <c r="N8" s="5" t="s">
        <v>17</v>
      </c>
      <c r="O8" s="5" t="s">
        <v>17</v>
      </c>
      <c r="P8" s="5" t="s">
        <v>17</v>
      </c>
      <c r="Q8" s="5" t="s">
        <v>17</v>
      </c>
      <c r="R8" s="5"/>
      <c r="S8" s="1" t="s">
        <v>17</v>
      </c>
      <c r="T8" s="1" t="s">
        <v>17</v>
      </c>
      <c r="U8" s="1" t="s">
        <v>17</v>
      </c>
      <c r="V8" s="1" t="s">
        <v>17</v>
      </c>
      <c r="W8" s="1" t="s">
        <v>17</v>
      </c>
      <c r="X8" s="5" t="s">
        <v>17</v>
      </c>
      <c r="Y8" s="5" t="s">
        <v>17</v>
      </c>
      <c r="Z8" s="5" t="s">
        <v>17</v>
      </c>
      <c r="AA8" s="5" t="s">
        <v>17</v>
      </c>
      <c r="AB8" s="1"/>
      <c r="AC8" s="1"/>
      <c r="AD8" s="1"/>
      <c r="AE8" s="1"/>
      <c r="AF8" s="5"/>
      <c r="AG8" s="5"/>
      <c r="AH8" s="5"/>
      <c r="AI8" s="5"/>
    </row>
    <row r="9" spans="1:35" ht="15" customHeight="1">
      <c r="A9" s="1">
        <v>7</v>
      </c>
      <c r="B9" s="1" t="s">
        <v>23</v>
      </c>
      <c r="C9" s="1">
        <v>37</v>
      </c>
      <c r="D9" s="5" t="s">
        <v>17</v>
      </c>
      <c r="E9" s="5" t="s">
        <v>17</v>
      </c>
      <c r="F9" s="5" t="s">
        <v>17</v>
      </c>
      <c r="G9" s="5" t="s">
        <v>17</v>
      </c>
      <c r="H9" s="5"/>
      <c r="I9" s="1" t="s">
        <v>17</v>
      </c>
      <c r="J9" s="1" t="s">
        <v>17</v>
      </c>
      <c r="K9" s="1" t="s">
        <v>17</v>
      </c>
      <c r="L9" s="1" t="s">
        <v>17</v>
      </c>
      <c r="M9" s="1"/>
      <c r="N9" s="5" t="s">
        <v>17</v>
      </c>
      <c r="O9" s="5" t="s">
        <v>17</v>
      </c>
      <c r="P9" s="5" t="s">
        <v>17</v>
      </c>
      <c r="Q9" s="5" t="s">
        <v>17</v>
      </c>
      <c r="R9" s="5"/>
      <c r="S9" s="1" t="s">
        <v>17</v>
      </c>
      <c r="T9" s="1" t="s">
        <v>17</v>
      </c>
      <c r="U9" s="1" t="s">
        <v>17</v>
      </c>
      <c r="V9" s="1" t="s">
        <v>17</v>
      </c>
      <c r="W9" s="1" t="s">
        <v>17</v>
      </c>
      <c r="X9" s="5" t="s">
        <v>17</v>
      </c>
      <c r="Y9" s="5" t="s">
        <v>17</v>
      </c>
      <c r="Z9" s="5" t="s">
        <v>17</v>
      </c>
      <c r="AA9" s="5" t="s">
        <v>17</v>
      </c>
      <c r="AB9" s="1"/>
      <c r="AC9" s="1"/>
      <c r="AD9" s="1"/>
      <c r="AE9" s="1"/>
      <c r="AF9" s="5"/>
      <c r="AG9" s="5"/>
      <c r="AH9" s="5"/>
      <c r="AI9" s="5"/>
    </row>
    <row r="10" spans="1:35" ht="15" customHeight="1">
      <c r="A10" s="1">
        <v>8</v>
      </c>
      <c r="B10" s="1" t="s">
        <v>24</v>
      </c>
      <c r="C10" s="1">
        <v>37</v>
      </c>
      <c r="D10" s="5" t="s">
        <v>17</v>
      </c>
      <c r="E10" s="5" t="s">
        <v>17</v>
      </c>
      <c r="F10" s="5" t="s">
        <v>17</v>
      </c>
      <c r="G10" s="5" t="s">
        <v>17</v>
      </c>
      <c r="H10" s="5"/>
      <c r="I10" s="1"/>
      <c r="J10" s="1"/>
      <c r="K10" s="1" t="s">
        <v>17</v>
      </c>
      <c r="L10" s="1" t="s">
        <v>17</v>
      </c>
      <c r="M10" s="1"/>
      <c r="N10" s="5"/>
      <c r="O10" s="5"/>
      <c r="P10" s="5" t="s">
        <v>17</v>
      </c>
      <c r="Q10" s="5" t="s">
        <v>17</v>
      </c>
      <c r="R10" s="5"/>
      <c r="S10" s="1"/>
      <c r="T10" s="1"/>
      <c r="U10" s="1" t="s">
        <v>17</v>
      </c>
      <c r="V10" s="1" t="s">
        <v>17</v>
      </c>
      <c r="W10" s="1" t="s">
        <v>17</v>
      </c>
      <c r="X10" s="5"/>
      <c r="Y10" s="5"/>
      <c r="Z10" s="5" t="s">
        <v>17</v>
      </c>
      <c r="AA10" s="5" t="s">
        <v>17</v>
      </c>
      <c r="AB10" s="1"/>
      <c r="AC10" s="1"/>
      <c r="AD10" s="1"/>
      <c r="AE10" s="1"/>
      <c r="AF10" s="5"/>
      <c r="AG10" s="5"/>
      <c r="AH10" s="5"/>
      <c r="AI10" s="5"/>
    </row>
    <row r="11" spans="1:35" ht="15" customHeight="1">
      <c r="A11" s="1">
        <v>9</v>
      </c>
      <c r="B11" s="1" t="s">
        <v>25</v>
      </c>
      <c r="C11" s="1">
        <v>37</v>
      </c>
      <c r="D11" s="5" t="s">
        <v>17</v>
      </c>
      <c r="E11" s="5" t="s">
        <v>17</v>
      </c>
      <c r="F11" s="5" t="s">
        <v>17</v>
      </c>
      <c r="G11" s="5" t="s">
        <v>17</v>
      </c>
      <c r="H11" s="5"/>
      <c r="I11" s="1"/>
      <c r="J11" s="1"/>
      <c r="K11" s="1" t="s">
        <v>17</v>
      </c>
      <c r="L11" s="1" t="s">
        <v>17</v>
      </c>
      <c r="M11" s="1"/>
      <c r="N11" s="5" t="s">
        <v>17</v>
      </c>
      <c r="O11" s="5" t="s">
        <v>17</v>
      </c>
      <c r="P11" s="5" t="s">
        <v>17</v>
      </c>
      <c r="Q11" s="5" t="s">
        <v>17</v>
      </c>
      <c r="R11" s="5"/>
      <c r="S11" s="1" t="s">
        <v>17</v>
      </c>
      <c r="T11" s="1" t="s">
        <v>17</v>
      </c>
      <c r="U11" s="1" t="s">
        <v>17</v>
      </c>
      <c r="V11" s="1" t="s">
        <v>17</v>
      </c>
      <c r="W11" s="1" t="s">
        <v>17</v>
      </c>
      <c r="X11" s="5" t="s">
        <v>17</v>
      </c>
      <c r="Y11" s="5" t="s">
        <v>17</v>
      </c>
      <c r="Z11" s="5" t="s">
        <v>17</v>
      </c>
      <c r="AA11" s="5" t="s">
        <v>17</v>
      </c>
      <c r="AB11" s="1"/>
      <c r="AC11" s="1"/>
      <c r="AD11" s="1"/>
      <c r="AE11" s="1"/>
      <c r="AF11" s="5"/>
      <c r="AG11" s="5"/>
      <c r="AH11" s="5"/>
      <c r="AI11" s="5"/>
    </row>
    <row r="12" spans="1:35" ht="15" customHeight="1">
      <c r="A12" s="1">
        <v>10</v>
      </c>
      <c r="B12" s="1" t="s">
        <v>26</v>
      </c>
      <c r="C12" s="1">
        <v>37</v>
      </c>
      <c r="D12" s="5" t="s">
        <v>17</v>
      </c>
      <c r="E12" s="5" t="s">
        <v>17</v>
      </c>
      <c r="F12" s="5" t="s">
        <v>17</v>
      </c>
      <c r="G12" s="5" t="s">
        <v>17</v>
      </c>
      <c r="H12" s="5"/>
      <c r="I12" s="1" t="s">
        <v>17</v>
      </c>
      <c r="J12" s="1" t="s">
        <v>17</v>
      </c>
      <c r="K12" s="1" t="s">
        <v>17</v>
      </c>
      <c r="L12" s="1" t="s">
        <v>17</v>
      </c>
      <c r="M12" s="1"/>
      <c r="N12" s="5" t="s">
        <v>17</v>
      </c>
      <c r="O12" s="5" t="s">
        <v>17</v>
      </c>
      <c r="P12" s="5" t="s">
        <v>17</v>
      </c>
      <c r="Q12" s="5" t="s">
        <v>17</v>
      </c>
      <c r="R12" s="5"/>
      <c r="S12" s="1"/>
      <c r="T12" s="1"/>
      <c r="U12" s="1"/>
      <c r="V12" s="1"/>
      <c r="W12" s="1"/>
      <c r="X12" s="5" t="s">
        <v>17</v>
      </c>
      <c r="Y12" s="5" t="s">
        <v>17</v>
      </c>
      <c r="Z12" s="5" t="s">
        <v>17</v>
      </c>
      <c r="AA12" s="5" t="s">
        <v>17</v>
      </c>
      <c r="AB12" s="1"/>
      <c r="AC12" s="1"/>
      <c r="AD12" s="1"/>
      <c r="AE12" s="1"/>
      <c r="AF12" s="5"/>
      <c r="AG12" s="5"/>
      <c r="AH12" s="5"/>
      <c r="AI12" s="5"/>
    </row>
    <row r="13" spans="1:35" ht="15" customHeight="1">
      <c r="A13" s="1">
        <v>11</v>
      </c>
      <c r="B13" s="1" t="s">
        <v>27</v>
      </c>
      <c r="C13" s="1">
        <v>37</v>
      </c>
      <c r="D13" s="5"/>
      <c r="E13" s="5"/>
      <c r="F13" s="5" t="s">
        <v>17</v>
      </c>
      <c r="G13" s="5" t="s">
        <v>17</v>
      </c>
      <c r="H13" s="5"/>
      <c r="I13" s="1" t="s">
        <v>17</v>
      </c>
      <c r="J13" s="1" t="s">
        <v>17</v>
      </c>
      <c r="K13" s="1" t="s">
        <v>17</v>
      </c>
      <c r="L13" s="1" t="s">
        <v>17</v>
      </c>
      <c r="M13" s="1"/>
      <c r="N13" s="5"/>
      <c r="O13" s="5"/>
      <c r="P13" s="5"/>
      <c r="Q13" s="5"/>
      <c r="R13" s="5"/>
      <c r="S13" s="1" t="s">
        <v>17</v>
      </c>
      <c r="T13" s="1" t="s">
        <v>17</v>
      </c>
      <c r="U13" s="1"/>
      <c r="V13" s="1"/>
      <c r="W13" s="1"/>
      <c r="X13" s="5" t="s">
        <v>17</v>
      </c>
      <c r="Y13" s="5" t="s">
        <v>17</v>
      </c>
      <c r="Z13" s="5" t="s">
        <v>17</v>
      </c>
      <c r="AA13" s="5" t="s">
        <v>17</v>
      </c>
      <c r="AB13" s="1"/>
      <c r="AC13" s="1"/>
      <c r="AD13" s="1"/>
      <c r="AE13" s="1"/>
      <c r="AF13" s="5"/>
      <c r="AG13" s="5"/>
      <c r="AH13" s="5"/>
      <c r="AI13" s="5"/>
    </row>
    <row r="14" spans="1:35" ht="15" customHeight="1">
      <c r="B14" s="40" t="s">
        <v>28</v>
      </c>
      <c r="D14">
        <f>COUNTA(D3:D13)</f>
        <v>7</v>
      </c>
      <c r="E14">
        <f t="shared" ref="E14:AI14" si="0">COUNTA(E3:E13)</f>
        <v>7</v>
      </c>
      <c r="F14">
        <f t="shared" si="0"/>
        <v>9</v>
      </c>
      <c r="G14">
        <f t="shared" si="0"/>
        <v>9</v>
      </c>
      <c r="H14">
        <f t="shared" si="0"/>
        <v>0</v>
      </c>
      <c r="I14">
        <f t="shared" si="0"/>
        <v>7</v>
      </c>
      <c r="J14">
        <f t="shared" si="0"/>
        <v>7</v>
      </c>
      <c r="K14">
        <f t="shared" si="0"/>
        <v>11</v>
      </c>
      <c r="L14">
        <f t="shared" si="0"/>
        <v>11</v>
      </c>
      <c r="M14">
        <f t="shared" si="0"/>
        <v>0</v>
      </c>
      <c r="N14">
        <f t="shared" si="0"/>
        <v>7</v>
      </c>
      <c r="O14">
        <f t="shared" si="0"/>
        <v>7</v>
      </c>
      <c r="P14">
        <f t="shared" si="0"/>
        <v>8</v>
      </c>
      <c r="Q14">
        <f t="shared" si="0"/>
        <v>8</v>
      </c>
      <c r="R14">
        <f t="shared" si="0"/>
        <v>0</v>
      </c>
      <c r="S14">
        <f t="shared" si="0"/>
        <v>9</v>
      </c>
      <c r="T14">
        <f t="shared" si="0"/>
        <v>9</v>
      </c>
      <c r="U14">
        <f t="shared" si="0"/>
        <v>7</v>
      </c>
      <c r="V14">
        <f t="shared" si="0"/>
        <v>7</v>
      </c>
      <c r="W14">
        <f t="shared" si="0"/>
        <v>7</v>
      </c>
      <c r="X14">
        <f t="shared" si="0"/>
        <v>8</v>
      </c>
      <c r="Y14">
        <f t="shared" si="0"/>
        <v>8</v>
      </c>
      <c r="Z14">
        <f t="shared" si="0"/>
        <v>9</v>
      </c>
      <c r="AA14">
        <f t="shared" si="0"/>
        <v>9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  <c r="AF14">
        <f t="shared" si="0"/>
        <v>0</v>
      </c>
      <c r="AG14">
        <f t="shared" si="0"/>
        <v>0</v>
      </c>
      <c r="AH14">
        <f t="shared" si="0"/>
        <v>0</v>
      </c>
      <c r="AI14">
        <f t="shared" si="0"/>
        <v>0</v>
      </c>
    </row>
    <row r="15" spans="1:35" ht="15" customHeight="1">
      <c r="B15" s="41" t="s">
        <v>29</v>
      </c>
      <c r="D15">
        <f>(11-D14)*37-5</f>
        <v>143</v>
      </c>
      <c r="E15">
        <f t="shared" ref="E15:G15" si="1">(11-E14)*37-5</f>
        <v>143</v>
      </c>
      <c r="F15">
        <f t="shared" si="1"/>
        <v>69</v>
      </c>
      <c r="G15">
        <f t="shared" si="1"/>
        <v>69</v>
      </c>
      <c r="H15">
        <f>(11-H14)*37-5</f>
        <v>402</v>
      </c>
      <c r="I15">
        <f t="shared" ref="I15:AA15" si="2">(11-I14)*37</f>
        <v>148</v>
      </c>
      <c r="J15">
        <f t="shared" si="2"/>
        <v>148</v>
      </c>
      <c r="K15">
        <f t="shared" si="2"/>
        <v>0</v>
      </c>
      <c r="L15">
        <f t="shared" si="2"/>
        <v>0</v>
      </c>
      <c r="M15">
        <f t="shared" si="2"/>
        <v>407</v>
      </c>
      <c r="N15">
        <f t="shared" si="2"/>
        <v>148</v>
      </c>
      <c r="O15">
        <f t="shared" si="2"/>
        <v>148</v>
      </c>
      <c r="P15">
        <f t="shared" si="2"/>
        <v>111</v>
      </c>
      <c r="Q15">
        <f t="shared" si="2"/>
        <v>111</v>
      </c>
      <c r="R15">
        <f t="shared" si="2"/>
        <v>407</v>
      </c>
      <c r="S15">
        <f t="shared" si="2"/>
        <v>74</v>
      </c>
      <c r="T15">
        <f t="shared" si="2"/>
        <v>74</v>
      </c>
      <c r="U15">
        <f t="shared" si="2"/>
        <v>148</v>
      </c>
      <c r="V15">
        <f t="shared" si="2"/>
        <v>148</v>
      </c>
      <c r="W15">
        <f t="shared" si="2"/>
        <v>148</v>
      </c>
      <c r="X15">
        <f t="shared" si="2"/>
        <v>111</v>
      </c>
      <c r="Y15">
        <f t="shared" si="2"/>
        <v>111</v>
      </c>
      <c r="Z15">
        <f t="shared" si="2"/>
        <v>74</v>
      </c>
      <c r="AA15">
        <f t="shared" si="2"/>
        <v>74</v>
      </c>
      <c r="AB15">
        <f>(11-AB14)*37-5</f>
        <v>402</v>
      </c>
      <c r="AC15">
        <f t="shared" ref="AC15:AI15" si="3">(11-AC14)*37-5</f>
        <v>402</v>
      </c>
      <c r="AD15">
        <f t="shared" si="3"/>
        <v>402</v>
      </c>
      <c r="AE15">
        <f t="shared" si="3"/>
        <v>402</v>
      </c>
      <c r="AF15">
        <f t="shared" si="3"/>
        <v>402</v>
      </c>
      <c r="AG15">
        <f t="shared" si="3"/>
        <v>402</v>
      </c>
      <c r="AH15">
        <f t="shared" si="3"/>
        <v>402</v>
      </c>
      <c r="AI15">
        <f t="shared" si="3"/>
        <v>402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S1:V1"/>
    <mergeCell ref="X1:AA1"/>
    <mergeCell ref="AB1:AE1"/>
    <mergeCell ref="AF1:AI1"/>
    <mergeCell ref="D1:H1"/>
    <mergeCell ref="I1:M1"/>
    <mergeCell ref="N1:R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5787-6BAD-426D-828E-0328C462CB3C}">
  <dimension ref="A1:G11"/>
  <sheetViews>
    <sheetView workbookViewId="0">
      <selection activeCell="K9" sqref="K9"/>
    </sheetView>
  </sheetViews>
  <sheetFormatPr defaultColWidth="8.85546875" defaultRowHeight="12.75"/>
  <cols>
    <col min="1" max="1" width="5" customWidth="1"/>
    <col min="2" max="2" width="24.7109375" customWidth="1"/>
  </cols>
  <sheetData>
    <row r="1" spans="1:7" ht="15.75">
      <c r="A1" s="58" t="s">
        <v>8</v>
      </c>
      <c r="B1" s="58" t="s">
        <v>30</v>
      </c>
      <c r="C1" s="61" t="s">
        <v>31</v>
      </c>
      <c r="D1" s="61" t="s">
        <v>32</v>
      </c>
      <c r="E1" s="61" t="s">
        <v>33</v>
      </c>
      <c r="F1" s="37" t="s">
        <v>34</v>
      </c>
    </row>
    <row r="2" spans="1:7" ht="15.75">
      <c r="A2" s="58">
        <v>1</v>
      </c>
      <c r="B2" s="60" t="s">
        <v>35</v>
      </c>
      <c r="C2" s="58">
        <f>COUNTIF(Tuan20!$18:$19,TrucKyThuat!B2)</f>
        <v>2</v>
      </c>
      <c r="D2" s="58">
        <f>COUNTIF(Tuan21!$18:$19,TrucKyThuat!B2)</f>
        <v>1</v>
      </c>
      <c r="E2" s="58">
        <f>COUNTIF(Tuan22!$18:$19,TrucKyThuat!B2)</f>
        <v>3</v>
      </c>
      <c r="F2" s="47">
        <f>SUM(C2:E2)</f>
        <v>6</v>
      </c>
      <c r="G2" s="37"/>
    </row>
    <row r="3" spans="1:7" ht="15.75">
      <c r="A3" s="58">
        <v>2</v>
      </c>
      <c r="B3" s="60" t="s">
        <v>36</v>
      </c>
      <c r="C3" s="58">
        <f>COUNTIF(Tuan20!$18:$19,TrucKyThuat!B3)</f>
        <v>0</v>
      </c>
      <c r="D3" s="58">
        <f>COUNTIF(Tuan21!$18:$19,TrucKyThuat!B3)</f>
        <v>0</v>
      </c>
      <c r="E3" s="58">
        <f>COUNTIF(Tuan22!$18:$19,TrucKyThuat!B3)</f>
        <v>2</v>
      </c>
      <c r="F3" s="47">
        <f t="shared" ref="F3:F10" si="0">SUM(C3:E3)</f>
        <v>2</v>
      </c>
      <c r="G3" s="37"/>
    </row>
    <row r="4" spans="1:7" ht="15.75">
      <c r="A4" s="58">
        <v>3</v>
      </c>
      <c r="B4" s="60" t="s">
        <v>37</v>
      </c>
      <c r="C4" s="58">
        <f>COUNTIF(Tuan20!$18:$19,TrucKyThuat!B4)</f>
        <v>0</v>
      </c>
      <c r="D4" s="58">
        <f>COUNTIF(Tuan21!$18:$19,TrucKyThuat!B4)</f>
        <v>0</v>
      </c>
      <c r="E4" s="58">
        <f>COUNTIF(Tuan22!$18:$19,TrucKyThuat!B4)</f>
        <v>2</v>
      </c>
      <c r="F4" s="47">
        <f t="shared" si="0"/>
        <v>2</v>
      </c>
      <c r="G4" s="37"/>
    </row>
    <row r="5" spans="1:7" ht="15.75">
      <c r="A5" s="58">
        <v>4</v>
      </c>
      <c r="B5" s="60" t="s">
        <v>38</v>
      </c>
      <c r="C5" s="58">
        <f>COUNTIF(Tuan20!$18:$19,TrucKyThuat!B5)</f>
        <v>4</v>
      </c>
      <c r="D5" s="58">
        <f>COUNTIF(Tuan21!$18:$19,TrucKyThuat!B5)</f>
        <v>3</v>
      </c>
      <c r="E5" s="58">
        <f>COUNTIF(Tuan22!$18:$19,TrucKyThuat!B5)</f>
        <v>2</v>
      </c>
      <c r="F5" s="47">
        <f t="shared" si="0"/>
        <v>9</v>
      </c>
      <c r="G5" s="37"/>
    </row>
    <row r="6" spans="1:7" ht="15.75">
      <c r="A6" s="58">
        <v>5</v>
      </c>
      <c r="B6" s="60" t="s">
        <v>39</v>
      </c>
      <c r="C6" s="58">
        <f>COUNTIF(Tuan20!$18:$19,TrucKyThuat!B6)</f>
        <v>3</v>
      </c>
      <c r="D6" s="58">
        <f>COUNTIF(Tuan21!$18:$19,TrucKyThuat!B6)</f>
        <v>3</v>
      </c>
      <c r="E6" s="58">
        <f>COUNTIF(Tuan22!$18:$19,TrucKyThuat!B6)</f>
        <v>3</v>
      </c>
      <c r="F6" s="47">
        <f t="shared" si="0"/>
        <v>9</v>
      </c>
      <c r="G6" s="37"/>
    </row>
    <row r="7" spans="1:7" ht="15.75">
      <c r="A7" s="58">
        <v>6</v>
      </c>
      <c r="B7" s="60" t="s">
        <v>40</v>
      </c>
      <c r="C7" s="58">
        <f>COUNTIF(Tuan20!$18:$19,TrucKyThuat!B7)</f>
        <v>0</v>
      </c>
      <c r="D7" s="58">
        <f>COUNTIF(Tuan21!$18:$19,TrucKyThuat!B7)</f>
        <v>4</v>
      </c>
      <c r="E7" s="58">
        <f>COUNTIF(Tuan22!$18:$19,TrucKyThuat!B7)</f>
        <v>5</v>
      </c>
      <c r="F7" s="47">
        <f t="shared" si="0"/>
        <v>9</v>
      </c>
      <c r="G7" s="37"/>
    </row>
    <row r="8" spans="1:7" ht="15.75">
      <c r="A8" s="58">
        <v>7</v>
      </c>
      <c r="B8" s="60" t="s">
        <v>41</v>
      </c>
      <c r="C8" s="58">
        <f>COUNTIF(Tuan20!$18:$19,TrucKyThuat!B8)</f>
        <v>3</v>
      </c>
      <c r="D8" s="58">
        <f>COUNTIF(Tuan21!$18:$19,TrucKyThuat!B8)</f>
        <v>1</v>
      </c>
      <c r="E8" s="58">
        <f>COUNTIF(Tuan22!$18:$19,TrucKyThuat!B8)</f>
        <v>6</v>
      </c>
      <c r="F8" s="47">
        <f t="shared" si="0"/>
        <v>10</v>
      </c>
      <c r="G8" s="37" t="s">
        <v>42</v>
      </c>
    </row>
    <row r="9" spans="1:7" ht="15.75">
      <c r="A9" s="58">
        <v>8</v>
      </c>
      <c r="B9" s="60" t="s">
        <v>43</v>
      </c>
      <c r="C9" s="58">
        <f>COUNTIF(Tuan20!$18:$19,TrucKyThuat!B9)</f>
        <v>1</v>
      </c>
      <c r="D9" s="58">
        <f>COUNTIF(Tuan21!$18:$19,TrucKyThuat!B9)</f>
        <v>3</v>
      </c>
      <c r="E9" s="58">
        <f>COUNTIF(Tuan22!$18:$19,TrucKyThuat!B9)</f>
        <v>6</v>
      </c>
      <c r="F9" s="47">
        <f t="shared" si="0"/>
        <v>10</v>
      </c>
      <c r="G9" s="37" t="s">
        <v>42</v>
      </c>
    </row>
    <row r="10" spans="1:7" ht="15.75">
      <c r="A10" s="58">
        <v>9</v>
      </c>
      <c r="B10" s="60" t="s">
        <v>44</v>
      </c>
      <c r="C10" s="58">
        <f>COUNTIF(Tuan20!$18:$19,TrucKyThuat!B10)</f>
        <v>4</v>
      </c>
      <c r="D10" s="58">
        <f>COUNTIF(Tuan21!$18:$19,TrucKyThuat!B10)</f>
        <v>2</v>
      </c>
      <c r="E10" s="58">
        <f>COUNTIF(Tuan22!$18:$19,TrucKyThuat!B10)</f>
        <v>4</v>
      </c>
      <c r="F10" s="47">
        <f t="shared" si="0"/>
        <v>10</v>
      </c>
      <c r="G10" s="37" t="s">
        <v>42</v>
      </c>
    </row>
    <row r="11" spans="1:7">
      <c r="A11" s="37"/>
      <c r="B11" s="37"/>
      <c r="C11" s="37"/>
      <c r="D11" s="37"/>
      <c r="E11" s="37"/>
      <c r="F11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757F-DCD7-4E12-B203-97DDFFC5611C}">
  <sheetPr>
    <outlinePr summaryBelow="0" summaryRight="0"/>
  </sheetPr>
  <dimension ref="A1:AK1000"/>
  <sheetViews>
    <sheetView zoomScale="125" zoomScaleNormal="85" workbookViewId="0">
      <pane xSplit="2" ySplit="2" topLeftCell="AD27" activePane="bottomRight" state="frozen"/>
      <selection pane="bottomRight" activeCell="AD27" sqref="AD27"/>
      <selection pane="bottomLeft" activeCell="A3" sqref="A3"/>
      <selection pane="topRight" activeCell="C1" sqref="C1"/>
    </sheetView>
  </sheetViews>
  <sheetFormatPr defaultColWidth="12.42578125" defaultRowHeight="15" customHeight="1"/>
  <cols>
    <col min="1" max="1" width="4" customWidth="1"/>
    <col min="2" max="2" width="21.7109375" customWidth="1"/>
    <col min="3" max="3" width="8.140625" customWidth="1"/>
    <col min="4" max="5" width="25.5703125" customWidth="1"/>
    <col min="6" max="6" width="18" customWidth="1"/>
    <col min="7" max="7" width="20.28515625" customWidth="1"/>
    <col min="8" max="8" width="25" customWidth="1"/>
    <col min="9" max="9" width="13.5703125" customWidth="1"/>
    <col min="10" max="10" width="11.85546875" customWidth="1"/>
    <col min="11" max="11" width="27.42578125" customWidth="1"/>
    <col min="12" max="12" width="12.42578125" customWidth="1"/>
    <col min="13" max="13" width="13" customWidth="1"/>
    <col min="14" max="14" width="17.5703125" customWidth="1"/>
    <col min="15" max="15" width="20.5703125" customWidth="1"/>
    <col min="16" max="16" width="8" customWidth="1"/>
    <col min="17" max="17" width="17.85546875" customWidth="1"/>
    <col min="18" max="18" width="18.28515625" customWidth="1"/>
    <col min="19" max="19" width="21.28515625" customWidth="1"/>
    <col min="20" max="20" width="17.5703125" customWidth="1"/>
    <col min="21" max="21" width="8.42578125" customWidth="1"/>
    <col min="22" max="22" width="12.7109375" customWidth="1"/>
    <col min="23" max="23" width="13.42578125" customWidth="1"/>
    <col min="24" max="24" width="17.140625" customWidth="1"/>
    <col min="25" max="25" width="13.5703125" customWidth="1"/>
    <col min="26" max="26" width="13.28515625" customWidth="1"/>
    <col min="27" max="27" width="9.140625" customWidth="1"/>
    <col min="28" max="28" width="8.85546875" customWidth="1"/>
    <col min="29" max="29" width="14.42578125" customWidth="1"/>
    <col min="30" max="30" width="7.28515625" customWidth="1"/>
    <col min="31" max="31" width="7.140625" customWidth="1"/>
    <col min="32" max="32" width="8" customWidth="1"/>
    <col min="33" max="33" width="6.5703125" customWidth="1"/>
    <col min="34" max="34" width="8" customWidth="1"/>
    <col min="35" max="35" width="13.140625" customWidth="1"/>
    <col min="36" max="37" width="8" customWidth="1"/>
  </cols>
  <sheetData>
    <row r="1" spans="1:37" ht="12.75">
      <c r="A1" s="2" t="s">
        <v>31</v>
      </c>
      <c r="D1" s="249" t="s">
        <v>45</v>
      </c>
      <c r="E1" s="255"/>
      <c r="F1" s="255"/>
      <c r="G1" s="255"/>
      <c r="H1" s="255"/>
      <c r="I1" s="248" t="s">
        <v>46</v>
      </c>
      <c r="J1" s="302"/>
      <c r="K1" s="302"/>
      <c r="L1" s="302"/>
      <c r="M1" s="303"/>
      <c r="N1" s="249" t="s">
        <v>47</v>
      </c>
      <c r="O1" s="255"/>
      <c r="P1" s="255"/>
      <c r="Q1" s="255"/>
      <c r="R1" s="255"/>
      <c r="S1" s="119"/>
      <c r="T1" s="248" t="s">
        <v>48</v>
      </c>
      <c r="U1" s="256"/>
      <c r="V1" s="256"/>
      <c r="W1" s="256"/>
      <c r="X1" s="256"/>
      <c r="Y1" s="249" t="s">
        <v>49</v>
      </c>
      <c r="Z1" s="302"/>
      <c r="AA1" s="302"/>
      <c r="AB1" s="302"/>
      <c r="AC1" s="303"/>
      <c r="AD1" s="248" t="s">
        <v>50</v>
      </c>
      <c r="AE1" s="302"/>
      <c r="AF1" s="302"/>
      <c r="AG1" s="303"/>
      <c r="AH1" s="249" t="s">
        <v>51</v>
      </c>
      <c r="AI1" s="302"/>
      <c r="AJ1" s="302"/>
      <c r="AK1" s="303"/>
    </row>
    <row r="2" spans="1:37" ht="15" customHeight="1">
      <c r="A2" s="1" t="s">
        <v>8</v>
      </c>
      <c r="B2" s="1" t="s">
        <v>9</v>
      </c>
      <c r="C2" s="1" t="s">
        <v>10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52</v>
      </c>
      <c r="O2" s="3" t="s">
        <v>53</v>
      </c>
      <c r="P2" s="3" t="s">
        <v>54</v>
      </c>
      <c r="Q2" s="3" t="s">
        <v>55</v>
      </c>
      <c r="R2" s="3" t="s">
        <v>56</v>
      </c>
      <c r="S2" s="46" t="s">
        <v>57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4" t="s">
        <v>11</v>
      </c>
      <c r="AE2" s="4" t="s">
        <v>12</v>
      </c>
      <c r="AF2" s="4" t="s">
        <v>13</v>
      </c>
      <c r="AG2" s="4" t="s">
        <v>14</v>
      </c>
      <c r="AH2" s="3" t="s">
        <v>11</v>
      </c>
      <c r="AI2" s="3" t="s">
        <v>12</v>
      </c>
      <c r="AJ2" s="3" t="s">
        <v>13</v>
      </c>
      <c r="AK2" s="3" t="s">
        <v>14</v>
      </c>
    </row>
    <row r="3" spans="1:37" ht="15" customHeight="1">
      <c r="A3" s="1">
        <v>1</v>
      </c>
      <c r="B3" s="1" t="s">
        <v>16</v>
      </c>
      <c r="C3" s="1">
        <v>37</v>
      </c>
      <c r="D3" s="5" t="s">
        <v>58</v>
      </c>
      <c r="E3" s="5" t="s">
        <v>59</v>
      </c>
      <c r="F3" s="124" t="s">
        <v>60</v>
      </c>
      <c r="G3" s="1"/>
      <c r="H3" s="5" t="s">
        <v>61</v>
      </c>
      <c r="I3" s="1"/>
      <c r="J3" s="1"/>
      <c r="K3" s="155" t="s">
        <v>62</v>
      </c>
      <c r="L3" s="155" t="s">
        <v>63</v>
      </c>
      <c r="M3" s="1"/>
      <c r="N3" s="240" t="s">
        <v>64</v>
      </c>
      <c r="O3" s="240" t="s">
        <v>65</v>
      </c>
      <c r="P3" s="5"/>
      <c r="Q3" s="5"/>
      <c r="R3" s="236" t="s">
        <v>66</v>
      </c>
      <c r="S3" s="236" t="s">
        <v>66</v>
      </c>
      <c r="T3" s="44" t="s">
        <v>67</v>
      </c>
      <c r="U3" s="1"/>
      <c r="V3" s="42" t="s">
        <v>68</v>
      </c>
      <c r="W3" s="10" t="s">
        <v>69</v>
      </c>
      <c r="X3" s="123" t="s">
        <v>68</v>
      </c>
      <c r="Y3" s="123" t="s">
        <v>70</v>
      </c>
      <c r="Z3" s="133" t="s">
        <v>70</v>
      </c>
      <c r="AA3" s="47"/>
      <c r="AB3" s="47"/>
      <c r="AC3" s="134" t="s">
        <v>71</v>
      </c>
      <c r="AD3" s="263" t="s">
        <v>72</v>
      </c>
      <c r="AE3" s="264"/>
      <c r="AF3" s="264"/>
      <c r="AG3" s="265"/>
      <c r="AH3" s="272" t="s">
        <v>72</v>
      </c>
      <c r="AI3" s="273"/>
      <c r="AJ3" s="5"/>
      <c r="AK3" s="5"/>
    </row>
    <row r="4" spans="1:37" ht="15" customHeight="1">
      <c r="A4" s="1">
        <v>2</v>
      </c>
      <c r="B4" s="1" t="s">
        <v>18</v>
      </c>
      <c r="C4" s="1">
        <v>37</v>
      </c>
      <c r="D4" s="5" t="s">
        <v>73</v>
      </c>
      <c r="E4" s="5" t="s">
        <v>74</v>
      </c>
      <c r="F4" s="124" t="s">
        <v>75</v>
      </c>
      <c r="G4" s="1"/>
      <c r="H4" s="5" t="s">
        <v>61</v>
      </c>
      <c r="I4" s="1"/>
      <c r="J4" s="1"/>
      <c r="K4" s="156" t="s">
        <v>76</v>
      </c>
      <c r="L4" s="156" t="s">
        <v>63</v>
      </c>
      <c r="M4" s="1"/>
      <c r="N4" s="240" t="s">
        <v>77</v>
      </c>
      <c r="O4" s="240" t="s">
        <v>77</v>
      </c>
      <c r="P4" s="5"/>
      <c r="Q4" s="5"/>
      <c r="R4" s="236" t="s">
        <v>78</v>
      </c>
      <c r="S4" s="238" t="s">
        <v>78</v>
      </c>
      <c r="T4" s="45"/>
      <c r="U4" s="1"/>
      <c r="V4" s="42" t="s">
        <v>68</v>
      </c>
      <c r="W4" s="10" t="s">
        <v>69</v>
      </c>
      <c r="X4" s="123" t="s">
        <v>68</v>
      </c>
      <c r="Y4" s="123" t="s">
        <v>70</v>
      </c>
      <c r="Z4" s="133" t="s">
        <v>70</v>
      </c>
      <c r="AA4" s="5"/>
      <c r="AB4" s="5"/>
      <c r="AC4" s="134" t="s">
        <v>71</v>
      </c>
      <c r="AD4" s="266"/>
      <c r="AE4" s="267"/>
      <c r="AF4" s="267"/>
      <c r="AG4" s="268"/>
      <c r="AH4" s="274"/>
      <c r="AI4" s="275"/>
      <c r="AJ4" s="5"/>
      <c r="AK4" s="5"/>
    </row>
    <row r="5" spans="1:37" ht="15" customHeight="1">
      <c r="A5" s="1">
        <v>3</v>
      </c>
      <c r="B5" s="1" t="s">
        <v>19</v>
      </c>
      <c r="C5" s="1">
        <v>37</v>
      </c>
      <c r="D5" s="5" t="s">
        <v>79</v>
      </c>
      <c r="E5" s="5" t="s">
        <v>80</v>
      </c>
      <c r="F5" s="124" t="s">
        <v>81</v>
      </c>
      <c r="G5" s="32"/>
      <c r="H5" s="5" t="s">
        <v>82</v>
      </c>
      <c r="I5" s="1"/>
      <c r="J5" s="36"/>
      <c r="K5" s="157" t="s">
        <v>83</v>
      </c>
      <c r="L5" s="157" t="s">
        <v>63</v>
      </c>
      <c r="M5" s="45"/>
      <c r="N5" s="240" t="s">
        <v>84</v>
      </c>
      <c r="O5" s="240" t="s">
        <v>84</v>
      </c>
      <c r="P5" s="5"/>
      <c r="Q5" s="5"/>
      <c r="R5" s="236" t="s">
        <v>85</v>
      </c>
      <c r="S5" s="236" t="s">
        <v>85</v>
      </c>
      <c r="T5" s="45"/>
      <c r="U5" s="1"/>
      <c r="V5" s="42" t="s">
        <v>68</v>
      </c>
      <c r="W5" s="10" t="s">
        <v>69</v>
      </c>
      <c r="X5" s="123" t="s">
        <v>68</v>
      </c>
      <c r="Y5" s="123" t="s">
        <v>70</v>
      </c>
      <c r="Z5" s="133" t="s">
        <v>70</v>
      </c>
      <c r="AA5" s="5"/>
      <c r="AB5" s="5"/>
      <c r="AC5" s="134" t="s">
        <v>71</v>
      </c>
      <c r="AD5" s="266"/>
      <c r="AE5" s="267"/>
      <c r="AF5" s="267"/>
      <c r="AG5" s="268"/>
      <c r="AH5" s="274"/>
      <c r="AI5" s="275"/>
      <c r="AJ5" s="5"/>
      <c r="AK5" s="5"/>
    </row>
    <row r="6" spans="1:37" ht="15" customHeight="1">
      <c r="A6" s="1">
        <v>4</v>
      </c>
      <c r="B6" s="1" t="s">
        <v>20</v>
      </c>
      <c r="C6" s="1">
        <v>37</v>
      </c>
      <c r="D6" s="5" t="s">
        <v>86</v>
      </c>
      <c r="E6" s="5" t="s">
        <v>87</v>
      </c>
      <c r="F6" s="124" t="s">
        <v>88</v>
      </c>
      <c r="G6" s="32"/>
      <c r="H6" s="5" t="s">
        <v>82</v>
      </c>
      <c r="I6" s="1"/>
      <c r="J6" s="1"/>
      <c r="K6" s="158" t="s">
        <v>89</v>
      </c>
      <c r="L6" s="158" t="s">
        <v>63</v>
      </c>
      <c r="M6" s="1"/>
      <c r="N6" s="241"/>
      <c r="O6" s="240" t="s">
        <v>90</v>
      </c>
      <c r="P6" s="5"/>
      <c r="Q6" s="5"/>
      <c r="R6" s="236" t="s">
        <v>91</v>
      </c>
      <c r="S6" s="238" t="s">
        <v>91</v>
      </c>
      <c r="T6" s="45"/>
      <c r="U6" s="1"/>
      <c r="V6" s="42" t="s">
        <v>68</v>
      </c>
      <c r="W6" s="10" t="s">
        <v>69</v>
      </c>
      <c r="X6" s="123" t="s">
        <v>68</v>
      </c>
      <c r="Y6" s="5"/>
      <c r="Z6" s="5"/>
      <c r="AA6" s="78"/>
      <c r="AB6" s="78"/>
      <c r="AC6" s="123" t="s">
        <v>71</v>
      </c>
      <c r="AD6" s="266"/>
      <c r="AE6" s="267"/>
      <c r="AF6" s="267"/>
      <c r="AG6" s="268"/>
      <c r="AH6" s="274"/>
      <c r="AI6" s="275"/>
      <c r="AJ6" s="5"/>
      <c r="AK6" s="5"/>
    </row>
    <row r="7" spans="1:37" ht="15" customHeight="1">
      <c r="A7" s="1">
        <v>5</v>
      </c>
      <c r="B7" s="1" t="s">
        <v>21</v>
      </c>
      <c r="C7" s="1">
        <v>37</v>
      </c>
      <c r="D7" s="42" t="s">
        <v>92</v>
      </c>
      <c r="E7" s="5"/>
      <c r="F7" s="124" t="s">
        <v>88</v>
      </c>
      <c r="G7" s="1"/>
      <c r="H7" s="5" t="s">
        <v>82</v>
      </c>
      <c r="I7" s="1"/>
      <c r="J7" s="1"/>
      <c r="K7" s="154" t="s">
        <v>93</v>
      </c>
      <c r="L7" s="154" t="s">
        <v>63</v>
      </c>
      <c r="M7" s="43" t="s">
        <v>94</v>
      </c>
      <c r="N7" s="5"/>
      <c r="O7" s="5"/>
      <c r="P7" s="5"/>
      <c r="Q7" s="5"/>
      <c r="R7" s="236" t="s">
        <v>95</v>
      </c>
      <c r="S7" s="236"/>
      <c r="T7" s="45"/>
      <c r="U7" s="1"/>
      <c r="V7" s="42" t="s">
        <v>68</v>
      </c>
      <c r="W7" s="1"/>
      <c r="X7" s="123" t="s">
        <v>68</v>
      </c>
      <c r="Y7" s="5"/>
      <c r="Z7" s="5"/>
      <c r="AA7" s="5"/>
      <c r="AB7" s="5"/>
      <c r="AC7" s="123" t="s">
        <v>71</v>
      </c>
      <c r="AD7" s="266"/>
      <c r="AE7" s="267"/>
      <c r="AF7" s="267"/>
      <c r="AG7" s="268"/>
      <c r="AH7" s="274"/>
      <c r="AI7" s="275"/>
      <c r="AJ7" s="5"/>
      <c r="AK7" s="5"/>
    </row>
    <row r="8" spans="1:37" s="31" customFormat="1" ht="15" customHeight="1">
      <c r="A8" s="6">
        <v>6</v>
      </c>
      <c r="B8" s="6" t="s">
        <v>96</v>
      </c>
      <c r="C8" s="6">
        <v>30</v>
      </c>
      <c r="D8" s="6"/>
      <c r="E8" s="6"/>
      <c r="F8" s="6"/>
      <c r="G8" s="6"/>
      <c r="H8" s="6" t="s">
        <v>97</v>
      </c>
      <c r="I8" s="6"/>
      <c r="J8" s="6"/>
      <c r="K8" s="154" t="s">
        <v>98</v>
      </c>
      <c r="L8" s="154" t="s">
        <v>63</v>
      </c>
      <c r="M8" s="6"/>
      <c r="N8" s="122"/>
      <c r="O8" s="122"/>
      <c r="P8" s="122"/>
      <c r="Q8" s="122"/>
      <c r="R8" s="237"/>
      <c r="S8" s="242"/>
      <c r="T8" s="71"/>
      <c r="U8" s="71"/>
      <c r="V8" s="71"/>
      <c r="W8" s="71"/>
      <c r="X8" s="129"/>
      <c r="Y8" s="6"/>
      <c r="Z8" s="6"/>
      <c r="AA8" s="6"/>
      <c r="AB8" s="6"/>
      <c r="AC8" s="129" t="s">
        <v>71</v>
      </c>
      <c r="AD8" s="266"/>
      <c r="AE8" s="267"/>
      <c r="AF8" s="267"/>
      <c r="AG8" s="268"/>
      <c r="AH8" s="274"/>
      <c r="AI8" s="275"/>
      <c r="AJ8" s="6"/>
      <c r="AK8" s="6"/>
    </row>
    <row r="9" spans="1:37" ht="15" customHeight="1">
      <c r="A9" s="1">
        <v>7</v>
      </c>
      <c r="B9" s="1" t="s">
        <v>23</v>
      </c>
      <c r="C9" s="1">
        <v>37</v>
      </c>
      <c r="D9" s="42" t="s">
        <v>99</v>
      </c>
      <c r="E9" s="42" t="s">
        <v>100</v>
      </c>
      <c r="F9" s="124" t="s">
        <v>88</v>
      </c>
      <c r="G9" s="1" t="s">
        <v>101</v>
      </c>
      <c r="H9" s="5" t="s">
        <v>102</v>
      </c>
      <c r="I9" s="1"/>
      <c r="J9" s="10" t="s">
        <v>103</v>
      </c>
      <c r="K9" s="221" t="s">
        <v>104</v>
      </c>
      <c r="L9" s="222" t="s">
        <v>63</v>
      </c>
      <c r="M9" s="43" t="s">
        <v>94</v>
      </c>
      <c r="N9" s="47"/>
      <c r="O9" s="120"/>
      <c r="P9" s="49"/>
      <c r="Q9" s="235" t="s">
        <v>105</v>
      </c>
      <c r="R9" s="238" t="s">
        <v>106</v>
      </c>
      <c r="S9" s="238" t="s">
        <v>107</v>
      </c>
      <c r="T9" s="45"/>
      <c r="U9" s="1"/>
      <c r="V9" s="42" t="s">
        <v>68</v>
      </c>
      <c r="W9" s="1"/>
      <c r="X9" s="123" t="s">
        <v>68</v>
      </c>
      <c r="Y9" s="5"/>
      <c r="Z9" s="5"/>
      <c r="AA9" s="278" t="s">
        <v>108</v>
      </c>
      <c r="AB9" s="279"/>
      <c r="AC9" s="123" t="s">
        <v>71</v>
      </c>
      <c r="AD9" s="266"/>
      <c r="AE9" s="267"/>
      <c r="AF9" s="267"/>
      <c r="AG9" s="268"/>
      <c r="AH9" s="274"/>
      <c r="AI9" s="275"/>
      <c r="AJ9" s="5"/>
      <c r="AK9" s="5"/>
    </row>
    <row r="10" spans="1:37" ht="15" customHeight="1">
      <c r="A10" s="1">
        <v>8</v>
      </c>
      <c r="B10" s="1" t="s">
        <v>24</v>
      </c>
      <c r="C10" s="1">
        <v>37</v>
      </c>
      <c r="D10" s="42" t="s">
        <v>99</v>
      </c>
      <c r="E10" s="42" t="s">
        <v>100</v>
      </c>
      <c r="F10" s="124" t="s">
        <v>88</v>
      </c>
      <c r="G10" s="1" t="s">
        <v>101</v>
      </c>
      <c r="H10" s="5" t="s">
        <v>109</v>
      </c>
      <c r="I10" s="1"/>
      <c r="J10" s="10" t="s">
        <v>103</v>
      </c>
      <c r="K10" s="154" t="s">
        <v>110</v>
      </c>
      <c r="L10" s="154" t="s">
        <v>63</v>
      </c>
      <c r="M10" s="43" t="s">
        <v>94</v>
      </c>
      <c r="N10" s="47"/>
      <c r="O10" s="120"/>
      <c r="P10" s="49"/>
      <c r="Q10" s="235" t="s">
        <v>111</v>
      </c>
      <c r="R10" s="239" t="s">
        <v>112</v>
      </c>
      <c r="S10" s="239" t="s">
        <v>112</v>
      </c>
      <c r="T10" s="45"/>
      <c r="U10" s="1"/>
      <c r="V10" s="42" t="s">
        <v>68</v>
      </c>
      <c r="W10" s="1"/>
      <c r="X10" s="123" t="s">
        <v>68</v>
      </c>
      <c r="Y10" s="5"/>
      <c r="Z10" s="5"/>
      <c r="AA10" s="280" t="s">
        <v>113</v>
      </c>
      <c r="AB10" s="281"/>
      <c r="AC10" s="123" t="s">
        <v>71</v>
      </c>
      <c r="AD10" s="266"/>
      <c r="AE10" s="267"/>
      <c r="AF10" s="267"/>
      <c r="AG10" s="268"/>
      <c r="AH10" s="274"/>
      <c r="AI10" s="275"/>
      <c r="AJ10" s="5"/>
      <c r="AK10" s="5"/>
    </row>
    <row r="11" spans="1:37" ht="15" customHeight="1">
      <c r="A11" s="1">
        <v>9</v>
      </c>
      <c r="B11" s="1" t="s">
        <v>25</v>
      </c>
      <c r="C11" s="1">
        <v>37</v>
      </c>
      <c r="D11" s="42" t="s">
        <v>99</v>
      </c>
      <c r="E11" s="42" t="s">
        <v>100</v>
      </c>
      <c r="F11" s="124" t="s">
        <v>114</v>
      </c>
      <c r="G11" s="32" t="s">
        <v>115</v>
      </c>
      <c r="H11" s="5" t="s">
        <v>116</v>
      </c>
      <c r="I11" s="1"/>
      <c r="J11" s="10" t="s">
        <v>103</v>
      </c>
      <c r="K11" s="154" t="s">
        <v>117</v>
      </c>
      <c r="L11" s="154" t="s">
        <v>63</v>
      </c>
      <c r="M11" s="70" t="s">
        <v>118</v>
      </c>
      <c r="N11" s="47"/>
      <c r="O11" s="120"/>
      <c r="P11" s="49"/>
      <c r="Q11" s="235" t="s">
        <v>119</v>
      </c>
      <c r="R11" s="239" t="s">
        <v>120</v>
      </c>
      <c r="S11" s="239" t="s">
        <v>120</v>
      </c>
      <c r="T11" s="45"/>
      <c r="U11" s="1"/>
      <c r="V11" s="42" t="s">
        <v>68</v>
      </c>
      <c r="W11" s="1"/>
      <c r="X11" s="123" t="s">
        <v>68</v>
      </c>
      <c r="Y11" s="5"/>
      <c r="Z11" s="5"/>
      <c r="AA11" s="280" t="s">
        <v>121</v>
      </c>
      <c r="AB11" s="281"/>
      <c r="AC11" s="123" t="s">
        <v>71</v>
      </c>
      <c r="AD11" s="266"/>
      <c r="AE11" s="267"/>
      <c r="AF11" s="267"/>
      <c r="AG11" s="268"/>
      <c r="AH11" s="274"/>
      <c r="AI11" s="275"/>
      <c r="AJ11" s="5"/>
      <c r="AK11" s="5"/>
    </row>
    <row r="12" spans="1:37" ht="15" customHeight="1">
      <c r="A12" s="1">
        <v>10</v>
      </c>
      <c r="B12" s="1" t="s">
        <v>26</v>
      </c>
      <c r="C12" s="1">
        <v>37</v>
      </c>
      <c r="D12" s="42" t="s">
        <v>122</v>
      </c>
      <c r="E12" s="42" t="s">
        <v>123</v>
      </c>
      <c r="F12" s="124" t="s">
        <v>114</v>
      </c>
      <c r="G12" s="32" t="s">
        <v>115</v>
      </c>
      <c r="H12" s="5" t="s">
        <v>124</v>
      </c>
      <c r="I12" s="1"/>
      <c r="J12" s="10" t="s">
        <v>103</v>
      </c>
      <c r="K12" s="154" t="s">
        <v>125</v>
      </c>
      <c r="L12" s="154" t="s">
        <v>63</v>
      </c>
      <c r="M12" s="70" t="s">
        <v>118</v>
      </c>
      <c r="N12" s="47"/>
      <c r="O12" s="120"/>
      <c r="P12" s="49"/>
      <c r="Q12" s="235" t="s">
        <v>126</v>
      </c>
      <c r="R12" s="239" t="s">
        <v>127</v>
      </c>
      <c r="S12" s="238" t="s">
        <v>128</v>
      </c>
      <c r="T12" s="45"/>
      <c r="U12" s="1"/>
      <c r="V12" s="42" t="s">
        <v>68</v>
      </c>
      <c r="W12" s="1"/>
      <c r="X12" s="123" t="s">
        <v>68</v>
      </c>
      <c r="Y12" s="5"/>
      <c r="Z12" s="5"/>
      <c r="AA12" s="282" t="s">
        <v>129</v>
      </c>
      <c r="AB12" s="283"/>
      <c r="AC12" s="123" t="s">
        <v>71</v>
      </c>
      <c r="AD12" s="266"/>
      <c r="AE12" s="267"/>
      <c r="AF12" s="267"/>
      <c r="AG12" s="268"/>
      <c r="AH12" s="274"/>
      <c r="AI12" s="275"/>
      <c r="AJ12" s="5"/>
      <c r="AK12" s="5"/>
    </row>
    <row r="13" spans="1:37" ht="15" customHeight="1">
      <c r="A13" s="1">
        <v>11</v>
      </c>
      <c r="B13" s="1" t="s">
        <v>27</v>
      </c>
      <c r="C13" s="1">
        <v>37</v>
      </c>
      <c r="D13" s="42" t="s">
        <v>130</v>
      </c>
      <c r="E13" s="42" t="s">
        <v>130</v>
      </c>
      <c r="F13" s="124" t="s">
        <v>114</v>
      </c>
      <c r="G13" s="32" t="s">
        <v>115</v>
      </c>
      <c r="H13" s="5" t="s">
        <v>131</v>
      </c>
      <c r="I13" s="1"/>
      <c r="J13" s="10" t="s">
        <v>103</v>
      </c>
      <c r="K13" s="154" t="s">
        <v>132</v>
      </c>
      <c r="L13" s="154" t="s">
        <v>63</v>
      </c>
      <c r="M13" s="70" t="s">
        <v>118</v>
      </c>
      <c r="N13" s="47"/>
      <c r="O13" s="120"/>
      <c r="P13" s="49"/>
      <c r="Q13" s="235" t="s">
        <v>133</v>
      </c>
      <c r="R13" s="238" t="s">
        <v>134</v>
      </c>
      <c r="S13" s="238" t="s">
        <v>134</v>
      </c>
      <c r="T13" s="45"/>
      <c r="U13" s="1"/>
      <c r="V13" s="42" t="s">
        <v>68</v>
      </c>
      <c r="W13" s="1"/>
      <c r="X13" s="123" t="s">
        <v>68</v>
      </c>
      <c r="Y13" s="5"/>
      <c r="Z13" s="5"/>
      <c r="AA13" s="125" t="s">
        <v>135</v>
      </c>
      <c r="AB13" s="125" t="s">
        <v>136</v>
      </c>
      <c r="AC13" s="42" t="s">
        <v>137</v>
      </c>
      <c r="AD13" s="269"/>
      <c r="AE13" s="270"/>
      <c r="AF13" s="270"/>
      <c r="AG13" s="271"/>
      <c r="AH13" s="276"/>
      <c r="AI13" s="277"/>
      <c r="AJ13" s="5"/>
      <c r="AK13" s="5"/>
    </row>
    <row r="14" spans="1:37" ht="15" customHeight="1">
      <c r="D14">
        <f>COUNTA(D3:D13)</f>
        <v>10</v>
      </c>
      <c r="E14">
        <f>COUNTA(E3:E13)</f>
        <v>9</v>
      </c>
      <c r="F14">
        <f>COUNTA(Tuan20!F3:F13)</f>
        <v>10</v>
      </c>
      <c r="G14">
        <f>COUNTA(G3:G13)</f>
        <v>5</v>
      </c>
      <c r="H14">
        <f>COUNTA(H3:H13)</f>
        <v>11</v>
      </c>
      <c r="I14">
        <f>COUNTA(I3:I8)</f>
        <v>0</v>
      </c>
      <c r="J14">
        <f>COUNTA(J3:J13)</f>
        <v>5</v>
      </c>
      <c r="K14">
        <f>COUNTA(K3:K13)</f>
        <v>11</v>
      </c>
      <c r="L14">
        <f>COUNTA(L3:L13)</f>
        <v>11</v>
      </c>
      <c r="M14">
        <f>COUNTA(M5:M13)</f>
        <v>6</v>
      </c>
      <c r="N14">
        <f>COUNTA(N3:N13)</f>
        <v>3</v>
      </c>
      <c r="O14">
        <f t="shared" ref="O14:Z14" si="0">COUNTA(O3:O13)</f>
        <v>4</v>
      </c>
      <c r="P14">
        <f t="shared" si="0"/>
        <v>0</v>
      </c>
      <c r="Q14" s="37">
        <f>COUNTA(Q3:Q13)</f>
        <v>5</v>
      </c>
      <c r="R14">
        <f t="shared" si="0"/>
        <v>10</v>
      </c>
      <c r="S14" s="37"/>
      <c r="T14">
        <f t="shared" si="0"/>
        <v>1</v>
      </c>
      <c r="U14">
        <f t="shared" si="0"/>
        <v>0</v>
      </c>
      <c r="V14">
        <f t="shared" si="0"/>
        <v>10</v>
      </c>
      <c r="W14">
        <f t="shared" si="0"/>
        <v>4</v>
      </c>
      <c r="X14">
        <f t="shared" si="0"/>
        <v>10</v>
      </c>
      <c r="Y14">
        <f t="shared" si="0"/>
        <v>3</v>
      </c>
      <c r="Z14">
        <f t="shared" si="0"/>
        <v>3</v>
      </c>
      <c r="AA14">
        <f>COUNTA(AA4:AA13)</f>
        <v>5</v>
      </c>
      <c r="AC14">
        <f t="shared" ref="AC14:AK14" si="1">COUNTA(AC3:AC13)</f>
        <v>11</v>
      </c>
      <c r="AD14">
        <f t="shared" si="1"/>
        <v>1</v>
      </c>
      <c r="AE14">
        <f t="shared" si="1"/>
        <v>0</v>
      </c>
      <c r="AF14">
        <f t="shared" si="1"/>
        <v>0</v>
      </c>
      <c r="AG14">
        <f t="shared" si="1"/>
        <v>0</v>
      </c>
      <c r="AH14">
        <f t="shared" si="1"/>
        <v>1</v>
      </c>
      <c r="AI14">
        <f t="shared" si="1"/>
        <v>0</v>
      </c>
      <c r="AJ14">
        <f t="shared" si="1"/>
        <v>0</v>
      </c>
      <c r="AK14">
        <f t="shared" si="1"/>
        <v>0</v>
      </c>
    </row>
    <row r="15" spans="1:37" ht="15" customHeight="1">
      <c r="B15" s="41" t="s">
        <v>29</v>
      </c>
      <c r="D15">
        <f>(11-D14)*37-5</f>
        <v>32</v>
      </c>
      <c r="E15">
        <f t="shared" ref="E15:G15" si="2">(11-E14)*37-5</f>
        <v>69</v>
      </c>
      <c r="F15">
        <f t="shared" si="2"/>
        <v>32</v>
      </c>
      <c r="G15">
        <f t="shared" si="2"/>
        <v>217</v>
      </c>
      <c r="H15">
        <f>(11-H14)*37-5</f>
        <v>-5</v>
      </c>
      <c r="I15">
        <f t="shared" ref="I15:AC15" si="3">(11-I14)*37</f>
        <v>407</v>
      </c>
      <c r="J15">
        <f t="shared" si="3"/>
        <v>222</v>
      </c>
      <c r="K15">
        <f t="shared" si="3"/>
        <v>0</v>
      </c>
      <c r="L15">
        <f t="shared" si="3"/>
        <v>0</v>
      </c>
      <c r="M15">
        <f t="shared" si="3"/>
        <v>185</v>
      </c>
      <c r="N15">
        <f t="shared" si="3"/>
        <v>296</v>
      </c>
      <c r="O15">
        <f t="shared" si="3"/>
        <v>259</v>
      </c>
      <c r="P15">
        <f t="shared" si="3"/>
        <v>407</v>
      </c>
      <c r="Q15">
        <f t="shared" si="3"/>
        <v>222</v>
      </c>
      <c r="R15">
        <f t="shared" si="3"/>
        <v>37</v>
      </c>
      <c r="T15">
        <f t="shared" si="3"/>
        <v>370</v>
      </c>
      <c r="U15">
        <f t="shared" si="3"/>
        <v>407</v>
      </c>
      <c r="V15">
        <f t="shared" si="3"/>
        <v>37</v>
      </c>
      <c r="W15">
        <f t="shared" si="3"/>
        <v>259</v>
      </c>
      <c r="X15">
        <f t="shared" si="3"/>
        <v>37</v>
      </c>
      <c r="Y15">
        <f t="shared" si="3"/>
        <v>296</v>
      </c>
      <c r="Z15">
        <f t="shared" si="3"/>
        <v>296</v>
      </c>
      <c r="AA15">
        <f t="shared" si="3"/>
        <v>222</v>
      </c>
      <c r="AC15">
        <f t="shared" si="3"/>
        <v>0</v>
      </c>
      <c r="AD15">
        <f>(11-AD14)*37-5</f>
        <v>365</v>
      </c>
      <c r="AE15">
        <f t="shared" ref="AE15:AK15" si="4">(11-AE14)*37-5</f>
        <v>402</v>
      </c>
      <c r="AF15">
        <f t="shared" si="4"/>
        <v>402</v>
      </c>
      <c r="AG15">
        <f t="shared" si="4"/>
        <v>402</v>
      </c>
      <c r="AH15">
        <f t="shared" si="4"/>
        <v>365</v>
      </c>
      <c r="AI15">
        <f t="shared" si="4"/>
        <v>402</v>
      </c>
      <c r="AJ15">
        <f t="shared" si="4"/>
        <v>402</v>
      </c>
      <c r="AK15">
        <f t="shared" si="4"/>
        <v>402</v>
      </c>
    </row>
    <row r="16" spans="1:37" ht="15" customHeight="1">
      <c r="K16" s="223" t="s">
        <v>138</v>
      </c>
    </row>
    <row r="17" spans="1:34" ht="15" customHeight="1">
      <c r="A17" s="260" t="s">
        <v>139</v>
      </c>
      <c r="B17" s="260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</row>
    <row r="18" spans="1:34" ht="15" customHeight="1">
      <c r="B18" t="s">
        <v>140</v>
      </c>
      <c r="C18" s="37"/>
      <c r="D18" s="251" t="s">
        <v>39</v>
      </c>
      <c r="E18" s="251"/>
      <c r="F18" s="251" t="s">
        <v>44</v>
      </c>
      <c r="G18" s="251"/>
      <c r="H18" s="257"/>
      <c r="I18" s="250"/>
      <c r="J18" s="250"/>
      <c r="K18" s="47" t="s">
        <v>41</v>
      </c>
      <c r="L18" s="47"/>
      <c r="M18" s="47"/>
      <c r="N18" s="259" t="s">
        <v>41</v>
      </c>
      <c r="O18" s="251"/>
      <c r="P18" s="257" t="s">
        <v>38</v>
      </c>
      <c r="Q18" s="258"/>
      <c r="R18" s="258"/>
      <c r="S18" s="259"/>
      <c r="T18" s="251" t="s">
        <v>35</v>
      </c>
      <c r="U18" s="251"/>
      <c r="V18" s="284" t="s">
        <v>39</v>
      </c>
      <c r="W18" s="285"/>
      <c r="X18" s="285"/>
      <c r="Y18" s="251" t="s">
        <v>43</v>
      </c>
      <c r="Z18" s="251"/>
      <c r="AA18" s="252" t="s">
        <v>44</v>
      </c>
      <c r="AB18" s="253"/>
      <c r="AC18" s="254"/>
      <c r="AD18" s="250"/>
      <c r="AE18" s="250"/>
      <c r="AF18" s="250"/>
      <c r="AG18" s="250"/>
      <c r="AH18" s="37"/>
    </row>
    <row r="19" spans="1:34" ht="15" customHeight="1">
      <c r="B19" t="s">
        <v>141</v>
      </c>
      <c r="C19" s="37"/>
      <c r="D19" s="251" t="s">
        <v>44</v>
      </c>
      <c r="E19" s="251"/>
      <c r="F19" s="251" t="s">
        <v>38</v>
      </c>
      <c r="G19" s="251"/>
      <c r="H19" s="257"/>
      <c r="I19" s="250" t="s">
        <v>44</v>
      </c>
      <c r="J19" s="250"/>
      <c r="K19" s="47" t="s">
        <v>39</v>
      </c>
      <c r="L19" s="47" t="s">
        <v>35</v>
      </c>
      <c r="M19" s="135"/>
      <c r="N19" s="259"/>
      <c r="O19" s="251"/>
      <c r="P19" s="257" t="s">
        <v>41</v>
      </c>
      <c r="Q19" s="258"/>
      <c r="R19" s="258"/>
      <c r="S19" s="259"/>
      <c r="T19" s="250"/>
      <c r="U19" s="250"/>
      <c r="V19" s="284" t="s">
        <v>38</v>
      </c>
      <c r="W19" s="285"/>
      <c r="X19" s="285"/>
      <c r="Y19" s="251"/>
      <c r="Z19" s="251"/>
      <c r="AA19" s="251" t="s">
        <v>38</v>
      </c>
      <c r="AB19" s="251"/>
      <c r="AC19" s="251"/>
      <c r="AD19" s="250"/>
      <c r="AE19" s="250"/>
      <c r="AF19" s="250"/>
      <c r="AG19" s="250"/>
      <c r="AH19" s="37"/>
    </row>
    <row r="20" spans="1:34" ht="15" customHeight="1">
      <c r="B20" t="s">
        <v>142</v>
      </c>
      <c r="D20" s="261" t="s">
        <v>143</v>
      </c>
      <c r="E20" s="261"/>
      <c r="F20" s="261"/>
      <c r="G20" s="261"/>
      <c r="H20" s="261"/>
      <c r="I20" s="262"/>
      <c r="J20" s="262"/>
      <c r="K20" s="262"/>
      <c r="L20" s="262"/>
      <c r="M20" s="262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</row>
    <row r="21" spans="1:34" ht="15.75" customHeight="1">
      <c r="I21" s="37"/>
      <c r="J21" s="37"/>
      <c r="K21" s="37"/>
      <c r="L21" s="37"/>
      <c r="M21" s="37"/>
    </row>
    <row r="22" spans="1:34" ht="15.75" customHeight="1"/>
    <row r="23" spans="1:34" ht="15.75" customHeight="1"/>
    <row r="24" spans="1:34" ht="15.75" customHeight="1"/>
    <row r="25" spans="1:34" ht="15.75" customHeight="1"/>
    <row r="26" spans="1:34" ht="15.75" customHeight="1"/>
    <row r="27" spans="1:34" ht="15.75" customHeight="1"/>
    <row r="28" spans="1:34" ht="15.75" customHeight="1"/>
    <row r="29" spans="1:34" ht="15.75" customHeight="1"/>
    <row r="30" spans="1:34" ht="15.75" customHeight="1"/>
    <row r="31" spans="1:34" ht="15.75" customHeight="1"/>
    <row r="32" spans="1:3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D20:H20"/>
    <mergeCell ref="I20:M20"/>
    <mergeCell ref="AD3:AG13"/>
    <mergeCell ref="AH3:AI13"/>
    <mergeCell ref="AA9:AB9"/>
    <mergeCell ref="AA10:AB10"/>
    <mergeCell ref="AA11:AB11"/>
    <mergeCell ref="AA12:AB12"/>
    <mergeCell ref="V18:X18"/>
    <mergeCell ref="V19:X19"/>
    <mergeCell ref="I18:J18"/>
    <mergeCell ref="I19:J19"/>
    <mergeCell ref="N18:O18"/>
    <mergeCell ref="T18:U18"/>
    <mergeCell ref="T19:U19"/>
    <mergeCell ref="N19:O19"/>
    <mergeCell ref="P18:S18"/>
    <mergeCell ref="P19:S19"/>
    <mergeCell ref="A17:B17"/>
    <mergeCell ref="D18:E18"/>
    <mergeCell ref="D19:E19"/>
    <mergeCell ref="F18:H18"/>
    <mergeCell ref="F19:H19"/>
    <mergeCell ref="AH1:AK1"/>
    <mergeCell ref="I1:M1"/>
    <mergeCell ref="Y1:AC1"/>
    <mergeCell ref="AD1:AG1"/>
    <mergeCell ref="D1:H1"/>
    <mergeCell ref="T1:X1"/>
    <mergeCell ref="N1:R1"/>
    <mergeCell ref="AF18:AG18"/>
    <mergeCell ref="AD19:AE19"/>
    <mergeCell ref="AF19:AG19"/>
    <mergeCell ref="Y18:Z18"/>
    <mergeCell ref="AA19:AC19"/>
    <mergeCell ref="Y19:Z19"/>
    <mergeCell ref="AD18:AE18"/>
    <mergeCell ref="AA18:AC18"/>
  </mergeCells>
  <phoneticPr fontId="1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A357-4D3B-4700-B3FF-EC3113700B8A}">
  <sheetPr>
    <tabColor rgb="FFFFFF00"/>
  </sheetPr>
  <dimension ref="A1:AD428"/>
  <sheetViews>
    <sheetView workbookViewId="0">
      <selection activeCell="B2" sqref="B2:B428"/>
    </sheetView>
  </sheetViews>
  <sheetFormatPr defaultColWidth="8.85546875" defaultRowHeight="12.75"/>
  <cols>
    <col min="3" max="3" width="11.42578125" customWidth="1"/>
    <col min="4" max="4" width="14" customWidth="1"/>
    <col min="5" max="5" width="15.42578125" customWidth="1"/>
    <col min="13" max="13" width="32" customWidth="1"/>
    <col min="14" max="14" width="15.28515625" customWidth="1"/>
    <col min="15" max="15" width="11.42578125" customWidth="1"/>
    <col min="16" max="16" width="14.42578125" customWidth="1"/>
  </cols>
  <sheetData>
    <row r="1" spans="1:17" ht="16.5">
      <c r="A1" t="s">
        <v>144</v>
      </c>
      <c r="B1" t="s">
        <v>145</v>
      </c>
      <c r="C1" s="8" t="s">
        <v>146</v>
      </c>
      <c r="D1" s="8" t="s">
        <v>147</v>
      </c>
      <c r="E1" s="8" t="s">
        <v>148</v>
      </c>
      <c r="F1" s="8" t="s">
        <v>149</v>
      </c>
      <c r="G1" s="8" t="s">
        <v>150</v>
      </c>
      <c r="H1" s="8" t="s">
        <v>151</v>
      </c>
      <c r="I1" s="8" t="s">
        <v>152</v>
      </c>
      <c r="J1" s="9" t="s">
        <v>153</v>
      </c>
      <c r="K1" s="8" t="s">
        <v>154</v>
      </c>
      <c r="L1" s="8" t="s">
        <v>155</v>
      </c>
      <c r="M1" s="8" t="s">
        <v>156</v>
      </c>
      <c r="N1" s="8" t="s">
        <v>144</v>
      </c>
      <c r="O1" s="65" t="s">
        <v>157</v>
      </c>
      <c r="P1" s="7" t="s">
        <v>158</v>
      </c>
    </row>
    <row r="2" spans="1:17" ht="16.5">
      <c r="A2" s="11">
        <v>189921</v>
      </c>
      <c r="B2" s="11">
        <v>164907</v>
      </c>
      <c r="C2" s="10" t="s">
        <v>159</v>
      </c>
      <c r="D2" s="10" t="s">
        <v>160</v>
      </c>
      <c r="E2" s="10" t="s">
        <v>161</v>
      </c>
      <c r="F2" s="10" t="s">
        <v>162</v>
      </c>
      <c r="G2" s="11" t="s">
        <v>163</v>
      </c>
      <c r="H2" s="11" t="s">
        <v>164</v>
      </c>
      <c r="I2" s="10" t="s">
        <v>165</v>
      </c>
      <c r="J2" s="12">
        <v>46048</v>
      </c>
      <c r="K2" s="10" t="s">
        <v>11</v>
      </c>
      <c r="L2" s="11">
        <v>50</v>
      </c>
      <c r="M2" s="10" t="s">
        <v>166</v>
      </c>
      <c r="N2" s="11">
        <v>189921</v>
      </c>
      <c r="O2" s="66"/>
      <c r="P2" s="66"/>
      <c r="Q2" s="7"/>
    </row>
    <row r="3" spans="1:17" ht="16.5">
      <c r="A3" s="11">
        <v>189924</v>
      </c>
      <c r="B3" s="11">
        <v>165278</v>
      </c>
      <c r="C3" s="10" t="s">
        <v>159</v>
      </c>
      <c r="D3" s="10" t="s">
        <v>160</v>
      </c>
      <c r="E3" s="10" t="s">
        <v>167</v>
      </c>
      <c r="F3" s="10" t="s">
        <v>168</v>
      </c>
      <c r="G3" s="11" t="s">
        <v>163</v>
      </c>
      <c r="H3" s="11" t="s">
        <v>164</v>
      </c>
      <c r="I3" s="10" t="s">
        <v>165</v>
      </c>
      <c r="J3" s="12">
        <v>46048</v>
      </c>
      <c r="K3" s="10" t="s">
        <v>11</v>
      </c>
      <c r="L3" s="11">
        <v>40</v>
      </c>
      <c r="M3" s="10" t="s">
        <v>166</v>
      </c>
      <c r="N3" s="11">
        <v>189924</v>
      </c>
      <c r="O3" s="66"/>
      <c r="P3" s="66"/>
      <c r="Q3" s="7"/>
    </row>
    <row r="4" spans="1:17" ht="16.5">
      <c r="A4" s="11">
        <v>189922</v>
      </c>
      <c r="B4" s="11">
        <v>165278</v>
      </c>
      <c r="C4" s="10" t="s">
        <v>159</v>
      </c>
      <c r="D4" s="10" t="s">
        <v>160</v>
      </c>
      <c r="E4" s="10" t="s">
        <v>167</v>
      </c>
      <c r="F4" s="10" t="s">
        <v>169</v>
      </c>
      <c r="G4" s="11" t="s">
        <v>163</v>
      </c>
      <c r="H4" s="11" t="s">
        <v>164</v>
      </c>
      <c r="I4" s="10" t="s">
        <v>165</v>
      </c>
      <c r="J4" s="12">
        <v>46048</v>
      </c>
      <c r="K4" s="10" t="s">
        <v>12</v>
      </c>
      <c r="L4" s="11">
        <v>20</v>
      </c>
      <c r="M4" s="10" t="s">
        <v>166</v>
      </c>
      <c r="N4" s="11">
        <v>189922</v>
      </c>
      <c r="O4" s="66"/>
      <c r="P4" s="66"/>
      <c r="Q4" s="7"/>
    </row>
    <row r="5" spans="1:17" ht="16.5">
      <c r="A5" s="11">
        <v>189926</v>
      </c>
      <c r="B5" s="11">
        <v>165278</v>
      </c>
      <c r="C5" s="10" t="s">
        <v>159</v>
      </c>
      <c r="D5" s="10" t="s">
        <v>160</v>
      </c>
      <c r="E5" s="10" t="s">
        <v>167</v>
      </c>
      <c r="F5" s="10" t="s">
        <v>170</v>
      </c>
      <c r="G5" s="11" t="s">
        <v>163</v>
      </c>
      <c r="H5" s="11" t="s">
        <v>164</v>
      </c>
      <c r="I5" s="10" t="s">
        <v>165</v>
      </c>
      <c r="J5" s="12">
        <v>46048</v>
      </c>
      <c r="K5" s="10" t="s">
        <v>11</v>
      </c>
      <c r="L5" s="11">
        <v>42</v>
      </c>
      <c r="M5" s="10" t="s">
        <v>166</v>
      </c>
      <c r="N5" s="11">
        <v>189926</v>
      </c>
      <c r="O5" s="66"/>
      <c r="P5" s="66"/>
      <c r="Q5" s="7"/>
    </row>
    <row r="6" spans="1:17" ht="16.5">
      <c r="A6" s="11">
        <v>189923</v>
      </c>
      <c r="B6" s="11">
        <v>165278</v>
      </c>
      <c r="C6" s="10" t="s">
        <v>159</v>
      </c>
      <c r="D6" s="10" t="s">
        <v>160</v>
      </c>
      <c r="E6" s="10" t="s">
        <v>167</v>
      </c>
      <c r="F6" s="10" t="s">
        <v>171</v>
      </c>
      <c r="G6" s="11" t="s">
        <v>163</v>
      </c>
      <c r="H6" s="11" t="s">
        <v>164</v>
      </c>
      <c r="I6" s="10" t="s">
        <v>165</v>
      </c>
      <c r="J6" s="12">
        <v>46048</v>
      </c>
      <c r="K6" s="10" t="s">
        <v>11</v>
      </c>
      <c r="L6" s="11">
        <v>42</v>
      </c>
      <c r="M6" s="10" t="s">
        <v>166</v>
      </c>
      <c r="N6" s="11">
        <v>189923</v>
      </c>
      <c r="O6" s="66"/>
      <c r="P6" s="66"/>
      <c r="Q6" s="7"/>
    </row>
    <row r="7" spans="1:17" ht="16.5">
      <c r="A7" s="11">
        <v>189925</v>
      </c>
      <c r="B7" s="11">
        <v>165278</v>
      </c>
      <c r="C7" s="10" t="s">
        <v>159</v>
      </c>
      <c r="D7" s="10" t="s">
        <v>160</v>
      </c>
      <c r="E7" s="10" t="s">
        <v>167</v>
      </c>
      <c r="F7" s="10" t="s">
        <v>172</v>
      </c>
      <c r="G7" s="11" t="s">
        <v>163</v>
      </c>
      <c r="H7" s="11" t="s">
        <v>164</v>
      </c>
      <c r="I7" s="10" t="s">
        <v>165</v>
      </c>
      <c r="J7" s="12">
        <v>46048</v>
      </c>
      <c r="K7" s="10" t="s">
        <v>11</v>
      </c>
      <c r="L7" s="11">
        <v>40</v>
      </c>
      <c r="M7" s="10" t="s">
        <v>166</v>
      </c>
      <c r="N7" s="11">
        <v>189925</v>
      </c>
      <c r="O7" s="66"/>
      <c r="P7" s="66"/>
      <c r="Q7" s="7"/>
    </row>
    <row r="8" spans="1:17" ht="16.5">
      <c r="A8" s="11">
        <v>189929</v>
      </c>
      <c r="B8" s="11">
        <v>165286</v>
      </c>
      <c r="C8" s="10" t="s">
        <v>159</v>
      </c>
      <c r="D8" s="10" t="s">
        <v>160</v>
      </c>
      <c r="E8" s="10" t="s">
        <v>173</v>
      </c>
      <c r="F8" s="10" t="s">
        <v>174</v>
      </c>
      <c r="G8" s="11" t="s">
        <v>163</v>
      </c>
      <c r="H8" s="11" t="s">
        <v>164</v>
      </c>
      <c r="I8" s="10" t="s">
        <v>165</v>
      </c>
      <c r="J8" s="12">
        <v>46048</v>
      </c>
      <c r="K8" s="10" t="s">
        <v>11</v>
      </c>
      <c r="L8" s="11">
        <v>40</v>
      </c>
      <c r="M8" s="10" t="s">
        <v>166</v>
      </c>
      <c r="N8" s="11">
        <v>189929</v>
      </c>
      <c r="O8" s="66"/>
      <c r="P8" s="66"/>
      <c r="Q8" s="7"/>
    </row>
    <row r="9" spans="1:17" ht="16.5">
      <c r="A9" s="11">
        <v>189928</v>
      </c>
      <c r="B9" s="11">
        <v>165286</v>
      </c>
      <c r="C9" s="10" t="s">
        <v>159</v>
      </c>
      <c r="D9" s="10" t="s">
        <v>160</v>
      </c>
      <c r="E9" s="10" t="s">
        <v>173</v>
      </c>
      <c r="F9" s="10" t="s">
        <v>169</v>
      </c>
      <c r="G9" s="11" t="s">
        <v>163</v>
      </c>
      <c r="H9" s="11" t="s">
        <v>164</v>
      </c>
      <c r="I9" s="10" t="s">
        <v>165</v>
      </c>
      <c r="J9" s="12">
        <v>46048</v>
      </c>
      <c r="K9" s="10" t="s">
        <v>12</v>
      </c>
      <c r="L9" s="11">
        <v>12</v>
      </c>
      <c r="M9" s="10" t="s">
        <v>166</v>
      </c>
      <c r="N9" s="11">
        <v>189928</v>
      </c>
      <c r="O9" s="66"/>
      <c r="P9" s="66"/>
      <c r="Q9" s="7"/>
    </row>
    <row r="10" spans="1:17" ht="16.5">
      <c r="A10" s="11">
        <v>189927</v>
      </c>
      <c r="B10" s="11">
        <v>165286</v>
      </c>
      <c r="C10" s="10" t="s">
        <v>159</v>
      </c>
      <c r="D10" s="10" t="s">
        <v>160</v>
      </c>
      <c r="E10" s="10" t="s">
        <v>173</v>
      </c>
      <c r="F10" s="10" t="s">
        <v>175</v>
      </c>
      <c r="G10" s="11" t="s">
        <v>163</v>
      </c>
      <c r="H10" s="11" t="s">
        <v>164</v>
      </c>
      <c r="I10" s="10" t="s">
        <v>165</v>
      </c>
      <c r="J10" s="12">
        <v>46048</v>
      </c>
      <c r="K10" s="10" t="s">
        <v>11</v>
      </c>
      <c r="L10" s="11">
        <v>41</v>
      </c>
      <c r="M10" s="10" t="s">
        <v>166</v>
      </c>
      <c r="N10" s="11">
        <v>189927</v>
      </c>
      <c r="O10" s="66"/>
      <c r="P10" s="66"/>
      <c r="Q10" s="7"/>
    </row>
    <row r="11" spans="1:17" ht="16.5">
      <c r="A11" s="11">
        <v>189931</v>
      </c>
      <c r="B11" s="11">
        <v>165286</v>
      </c>
      <c r="C11" s="10" t="s">
        <v>159</v>
      </c>
      <c r="D11" s="10" t="s">
        <v>160</v>
      </c>
      <c r="E11" s="10" t="s">
        <v>173</v>
      </c>
      <c r="F11" s="10" t="s">
        <v>176</v>
      </c>
      <c r="G11" s="11" t="s">
        <v>163</v>
      </c>
      <c r="H11" s="11" t="s">
        <v>164</v>
      </c>
      <c r="I11" s="10" t="s">
        <v>165</v>
      </c>
      <c r="J11" s="12">
        <v>46048</v>
      </c>
      <c r="K11" s="10" t="s">
        <v>11</v>
      </c>
      <c r="L11" s="11">
        <v>44</v>
      </c>
      <c r="M11" s="10" t="s">
        <v>166</v>
      </c>
      <c r="N11" s="11">
        <v>189931</v>
      </c>
      <c r="O11" s="66"/>
      <c r="P11" s="66"/>
      <c r="Q11" s="7"/>
    </row>
    <row r="12" spans="1:17" ht="16.5">
      <c r="A12" s="11">
        <v>189930</v>
      </c>
      <c r="B12" s="11">
        <v>165286</v>
      </c>
      <c r="C12" s="10" t="s">
        <v>159</v>
      </c>
      <c r="D12" s="10" t="s">
        <v>160</v>
      </c>
      <c r="E12" s="10" t="s">
        <v>173</v>
      </c>
      <c r="F12" s="10" t="s">
        <v>177</v>
      </c>
      <c r="G12" s="11" t="s">
        <v>163</v>
      </c>
      <c r="H12" s="11" t="s">
        <v>164</v>
      </c>
      <c r="I12" s="10" t="s">
        <v>165</v>
      </c>
      <c r="J12" s="12">
        <v>46048</v>
      </c>
      <c r="K12" s="10" t="s">
        <v>11</v>
      </c>
      <c r="L12" s="11">
        <v>41</v>
      </c>
      <c r="M12" s="10" t="s">
        <v>166</v>
      </c>
      <c r="N12" s="11">
        <v>189930</v>
      </c>
      <c r="O12" s="66"/>
      <c r="P12" s="66"/>
      <c r="Q12" s="7"/>
    </row>
    <row r="13" spans="1:17" ht="16.5">
      <c r="A13" s="11">
        <v>189935</v>
      </c>
      <c r="B13" s="11">
        <v>165293</v>
      </c>
      <c r="C13" s="10" t="s">
        <v>159</v>
      </c>
      <c r="D13" s="10" t="s">
        <v>160</v>
      </c>
      <c r="E13" s="10" t="s">
        <v>178</v>
      </c>
      <c r="F13" s="10" t="s">
        <v>179</v>
      </c>
      <c r="G13" s="11" t="s">
        <v>163</v>
      </c>
      <c r="H13" s="11" t="s">
        <v>164</v>
      </c>
      <c r="I13" s="10" t="s">
        <v>165</v>
      </c>
      <c r="J13" s="12">
        <v>46048</v>
      </c>
      <c r="K13" s="10" t="s">
        <v>12</v>
      </c>
      <c r="L13" s="11">
        <v>44</v>
      </c>
      <c r="M13" s="10" t="s">
        <v>166</v>
      </c>
      <c r="N13" s="11">
        <v>189935</v>
      </c>
      <c r="O13" s="66"/>
      <c r="P13" s="66"/>
      <c r="Q13" s="7"/>
    </row>
    <row r="14" spans="1:17" ht="16.5">
      <c r="A14" s="11">
        <v>189934</v>
      </c>
      <c r="B14" s="11">
        <v>165293</v>
      </c>
      <c r="C14" s="10" t="s">
        <v>159</v>
      </c>
      <c r="D14" s="10" t="s">
        <v>160</v>
      </c>
      <c r="E14" s="10" t="s">
        <v>178</v>
      </c>
      <c r="F14" s="10" t="s">
        <v>180</v>
      </c>
      <c r="G14" s="11" t="s">
        <v>163</v>
      </c>
      <c r="H14" s="11" t="s">
        <v>164</v>
      </c>
      <c r="I14" s="10" t="s">
        <v>165</v>
      </c>
      <c r="J14" s="12">
        <v>46048</v>
      </c>
      <c r="K14" s="10" t="s">
        <v>12</v>
      </c>
      <c r="L14" s="11">
        <v>47</v>
      </c>
      <c r="M14" s="10" t="s">
        <v>166</v>
      </c>
      <c r="N14" s="11">
        <v>189934</v>
      </c>
      <c r="O14" s="66"/>
      <c r="P14" s="66"/>
      <c r="Q14" s="7"/>
    </row>
    <row r="15" spans="1:17" ht="16.5">
      <c r="A15" s="11">
        <v>189933</v>
      </c>
      <c r="B15" s="11">
        <v>165293</v>
      </c>
      <c r="C15" s="10" t="s">
        <v>159</v>
      </c>
      <c r="D15" s="10" t="s">
        <v>160</v>
      </c>
      <c r="E15" s="10" t="s">
        <v>178</v>
      </c>
      <c r="F15" s="10" t="s">
        <v>169</v>
      </c>
      <c r="G15" s="11" t="s">
        <v>163</v>
      </c>
      <c r="H15" s="11" t="s">
        <v>164</v>
      </c>
      <c r="I15" s="10" t="s">
        <v>165</v>
      </c>
      <c r="J15" s="12">
        <v>46048</v>
      </c>
      <c r="K15" s="10" t="s">
        <v>12</v>
      </c>
      <c r="L15" s="11">
        <v>7</v>
      </c>
      <c r="M15" s="10" t="s">
        <v>166</v>
      </c>
      <c r="N15" s="11">
        <v>189933</v>
      </c>
      <c r="O15" s="66"/>
      <c r="P15" s="66"/>
      <c r="Q15" s="7"/>
    </row>
    <row r="16" spans="1:17" ht="16.5">
      <c r="A16" s="11">
        <v>189936</v>
      </c>
      <c r="B16" s="11">
        <v>165293</v>
      </c>
      <c r="C16" s="10" t="s">
        <v>159</v>
      </c>
      <c r="D16" s="10" t="s">
        <v>160</v>
      </c>
      <c r="E16" s="10" t="s">
        <v>178</v>
      </c>
      <c r="F16" s="10" t="s">
        <v>181</v>
      </c>
      <c r="G16" s="11" t="s">
        <v>163</v>
      </c>
      <c r="H16" s="11" t="s">
        <v>164</v>
      </c>
      <c r="I16" s="10" t="s">
        <v>165</v>
      </c>
      <c r="J16" s="12">
        <v>46048</v>
      </c>
      <c r="K16" s="10" t="s">
        <v>12</v>
      </c>
      <c r="L16" s="11">
        <v>44</v>
      </c>
      <c r="M16" s="10" t="s">
        <v>166</v>
      </c>
      <c r="N16" s="11">
        <v>189936</v>
      </c>
      <c r="O16" s="66"/>
      <c r="P16" s="66"/>
      <c r="Q16" s="7"/>
    </row>
    <row r="17" spans="1:17" ht="16.5">
      <c r="A17" s="11">
        <v>189932</v>
      </c>
      <c r="B17" s="11">
        <v>165293</v>
      </c>
      <c r="C17" s="10" t="s">
        <v>159</v>
      </c>
      <c r="D17" s="10" t="s">
        <v>160</v>
      </c>
      <c r="E17" s="10" t="s">
        <v>178</v>
      </c>
      <c r="F17" s="10" t="s">
        <v>182</v>
      </c>
      <c r="G17" s="11" t="s">
        <v>163</v>
      </c>
      <c r="H17" s="11" t="s">
        <v>164</v>
      </c>
      <c r="I17" s="10" t="s">
        <v>165</v>
      </c>
      <c r="J17" s="12">
        <v>46048</v>
      </c>
      <c r="K17" s="10" t="s">
        <v>12</v>
      </c>
      <c r="L17" s="11">
        <v>44</v>
      </c>
      <c r="M17" s="10" t="s">
        <v>166</v>
      </c>
      <c r="N17" s="11">
        <v>189932</v>
      </c>
      <c r="O17" s="66"/>
      <c r="P17" s="66"/>
      <c r="Q17" s="7"/>
    </row>
    <row r="18" spans="1:17" ht="16.5">
      <c r="A18" s="11">
        <v>189941</v>
      </c>
      <c r="B18" s="11">
        <v>164951</v>
      </c>
      <c r="C18" s="10" t="s">
        <v>183</v>
      </c>
      <c r="D18" s="10" t="s">
        <v>160</v>
      </c>
      <c r="E18" s="10" t="s">
        <v>184</v>
      </c>
      <c r="F18" s="10" t="s">
        <v>169</v>
      </c>
      <c r="G18" s="11" t="s">
        <v>163</v>
      </c>
      <c r="H18" s="11" t="s">
        <v>164</v>
      </c>
      <c r="I18" s="10" t="s">
        <v>165</v>
      </c>
      <c r="J18" s="12">
        <v>46048</v>
      </c>
      <c r="K18" s="10" t="s">
        <v>12</v>
      </c>
      <c r="L18" s="11">
        <v>3</v>
      </c>
      <c r="M18" s="10" t="s">
        <v>166</v>
      </c>
      <c r="N18" s="11">
        <v>189941</v>
      </c>
      <c r="O18" s="66"/>
      <c r="P18" s="66"/>
      <c r="Q18" s="7"/>
    </row>
    <row r="19" spans="1:17" ht="16.5">
      <c r="A19" s="11">
        <v>189940</v>
      </c>
      <c r="B19" s="11">
        <v>164951</v>
      </c>
      <c r="C19" s="10" t="s">
        <v>183</v>
      </c>
      <c r="D19" s="10" t="s">
        <v>160</v>
      </c>
      <c r="E19" s="10" t="s">
        <v>184</v>
      </c>
      <c r="F19" s="10" t="s">
        <v>185</v>
      </c>
      <c r="G19" s="11" t="s">
        <v>163</v>
      </c>
      <c r="H19" s="11" t="s">
        <v>164</v>
      </c>
      <c r="I19" s="10" t="s">
        <v>165</v>
      </c>
      <c r="J19" s="12">
        <v>46048</v>
      </c>
      <c r="K19" s="10" t="s">
        <v>12</v>
      </c>
      <c r="L19" s="11">
        <v>40</v>
      </c>
      <c r="M19" s="10" t="s">
        <v>166</v>
      </c>
      <c r="N19" s="11">
        <v>189940</v>
      </c>
      <c r="O19" s="66"/>
      <c r="P19" s="66"/>
      <c r="Q19" s="7"/>
    </row>
    <row r="20" spans="1:17" ht="16.5">
      <c r="A20" s="11">
        <v>189939</v>
      </c>
      <c r="B20" s="11">
        <v>164951</v>
      </c>
      <c r="C20" s="10" t="s">
        <v>183</v>
      </c>
      <c r="D20" s="10" t="s">
        <v>160</v>
      </c>
      <c r="E20" s="10" t="s">
        <v>184</v>
      </c>
      <c r="F20" s="10" t="s">
        <v>186</v>
      </c>
      <c r="G20" s="11" t="s">
        <v>163</v>
      </c>
      <c r="H20" s="11" t="s">
        <v>164</v>
      </c>
      <c r="I20" s="10" t="s">
        <v>165</v>
      </c>
      <c r="J20" s="12">
        <v>46048</v>
      </c>
      <c r="K20" s="10" t="s">
        <v>12</v>
      </c>
      <c r="L20" s="11">
        <v>36</v>
      </c>
      <c r="M20" s="10" t="s">
        <v>166</v>
      </c>
      <c r="N20" s="11">
        <v>189939</v>
      </c>
      <c r="O20" s="66"/>
      <c r="P20" s="66"/>
      <c r="Q20" s="7"/>
    </row>
    <row r="21" spans="1:17" ht="16.5">
      <c r="A21" s="11">
        <v>189944</v>
      </c>
      <c r="B21" s="11">
        <v>164952</v>
      </c>
      <c r="C21" s="10" t="s">
        <v>183</v>
      </c>
      <c r="D21" s="10" t="s">
        <v>160</v>
      </c>
      <c r="E21" s="10" t="s">
        <v>187</v>
      </c>
      <c r="F21" s="10" t="s">
        <v>188</v>
      </c>
      <c r="G21" s="11" t="s">
        <v>163</v>
      </c>
      <c r="H21" s="11" t="s">
        <v>164</v>
      </c>
      <c r="I21" s="10" t="s">
        <v>165</v>
      </c>
      <c r="J21" s="12">
        <v>46048</v>
      </c>
      <c r="K21" s="10" t="s">
        <v>12</v>
      </c>
      <c r="L21" s="11">
        <v>45</v>
      </c>
      <c r="M21" s="10" t="s">
        <v>166</v>
      </c>
      <c r="N21" s="11">
        <v>189944</v>
      </c>
      <c r="O21" s="66"/>
      <c r="P21" s="66"/>
      <c r="Q21" s="7"/>
    </row>
    <row r="22" spans="1:17" ht="16.5">
      <c r="A22" s="11">
        <v>189942</v>
      </c>
      <c r="B22" s="11">
        <v>164952</v>
      </c>
      <c r="C22" s="10" t="s">
        <v>183</v>
      </c>
      <c r="D22" s="10" t="s">
        <v>160</v>
      </c>
      <c r="E22" s="10" t="s">
        <v>187</v>
      </c>
      <c r="F22" s="10" t="s">
        <v>169</v>
      </c>
      <c r="G22" s="11" t="s">
        <v>163</v>
      </c>
      <c r="H22" s="11" t="s">
        <v>164</v>
      </c>
      <c r="I22" s="10" t="s">
        <v>165</v>
      </c>
      <c r="J22" s="12">
        <v>46048</v>
      </c>
      <c r="K22" s="10" t="s">
        <v>12</v>
      </c>
      <c r="L22" s="11">
        <v>5</v>
      </c>
      <c r="M22" s="10" t="s">
        <v>166</v>
      </c>
      <c r="N22" s="11">
        <v>189942</v>
      </c>
      <c r="O22" s="66"/>
      <c r="P22" s="66"/>
      <c r="Q22" s="7"/>
    </row>
    <row r="23" spans="1:17" ht="16.5">
      <c r="A23" s="11">
        <v>189943</v>
      </c>
      <c r="B23" s="11">
        <v>164952</v>
      </c>
      <c r="C23" s="10" t="s">
        <v>183</v>
      </c>
      <c r="D23" s="10" t="s">
        <v>160</v>
      </c>
      <c r="E23" s="10" t="s">
        <v>187</v>
      </c>
      <c r="F23" s="10" t="s">
        <v>189</v>
      </c>
      <c r="G23" s="11" t="s">
        <v>163</v>
      </c>
      <c r="H23" s="11" t="s">
        <v>164</v>
      </c>
      <c r="I23" s="10" t="s">
        <v>165</v>
      </c>
      <c r="J23" s="12">
        <v>46048</v>
      </c>
      <c r="K23" s="10" t="s">
        <v>12</v>
      </c>
      <c r="L23" s="11">
        <v>40</v>
      </c>
      <c r="M23" s="10" t="s">
        <v>166</v>
      </c>
      <c r="N23" s="11">
        <v>189943</v>
      </c>
      <c r="O23" s="66"/>
      <c r="P23" s="66"/>
      <c r="Q23" s="7"/>
    </row>
    <row r="24" spans="1:17" ht="16.5">
      <c r="A24" s="11">
        <v>189946</v>
      </c>
      <c r="B24" s="11">
        <v>161112</v>
      </c>
      <c r="C24" s="10" t="s">
        <v>190</v>
      </c>
      <c r="D24" s="10" t="s">
        <v>191</v>
      </c>
      <c r="E24" s="10" t="s">
        <v>192</v>
      </c>
      <c r="F24" s="10" t="s">
        <v>193</v>
      </c>
      <c r="G24" s="11" t="s">
        <v>163</v>
      </c>
      <c r="H24" s="11" t="s">
        <v>194</v>
      </c>
      <c r="I24" s="10" t="s">
        <v>7</v>
      </c>
      <c r="J24" s="12">
        <v>46061</v>
      </c>
      <c r="K24" s="10" t="s">
        <v>195</v>
      </c>
      <c r="L24" s="11">
        <v>50</v>
      </c>
      <c r="M24" s="10" t="s">
        <v>166</v>
      </c>
      <c r="N24" s="11">
        <v>189946</v>
      </c>
      <c r="O24" s="66"/>
      <c r="P24" s="66"/>
      <c r="Q24" s="7"/>
    </row>
    <row r="25" spans="1:17" ht="16.5">
      <c r="A25" s="11">
        <v>189947</v>
      </c>
      <c r="B25" s="11">
        <v>161112</v>
      </c>
      <c r="C25" s="10" t="s">
        <v>190</v>
      </c>
      <c r="D25" s="10" t="s">
        <v>191</v>
      </c>
      <c r="E25" s="10" t="s">
        <v>192</v>
      </c>
      <c r="F25" s="10" t="s">
        <v>196</v>
      </c>
      <c r="G25" s="11" t="s">
        <v>163</v>
      </c>
      <c r="H25" s="11" t="s">
        <v>194</v>
      </c>
      <c r="I25" s="10" t="s">
        <v>7</v>
      </c>
      <c r="J25" s="12">
        <v>46061</v>
      </c>
      <c r="K25" s="10" t="s">
        <v>195</v>
      </c>
      <c r="L25" s="11">
        <v>50</v>
      </c>
      <c r="M25" s="10" t="s">
        <v>166</v>
      </c>
      <c r="N25" s="11">
        <v>189947</v>
      </c>
      <c r="O25" s="66"/>
      <c r="P25" s="66"/>
      <c r="Q25" s="7"/>
    </row>
    <row r="26" spans="1:17" ht="16.5">
      <c r="A26" s="11">
        <v>189945</v>
      </c>
      <c r="B26" s="11">
        <v>161112</v>
      </c>
      <c r="C26" s="10" t="s">
        <v>190</v>
      </c>
      <c r="D26" s="10" t="s">
        <v>191</v>
      </c>
      <c r="E26" s="10" t="s">
        <v>192</v>
      </c>
      <c r="F26" s="10" t="s">
        <v>197</v>
      </c>
      <c r="G26" s="11" t="s">
        <v>163</v>
      </c>
      <c r="H26" s="11" t="s">
        <v>194</v>
      </c>
      <c r="I26" s="10" t="s">
        <v>7</v>
      </c>
      <c r="J26" s="12">
        <v>46061</v>
      </c>
      <c r="K26" s="10" t="s">
        <v>195</v>
      </c>
      <c r="L26" s="11">
        <v>50</v>
      </c>
      <c r="M26" s="10" t="s">
        <v>166</v>
      </c>
      <c r="N26" s="11">
        <v>189945</v>
      </c>
      <c r="O26" s="66"/>
      <c r="P26" s="66"/>
      <c r="Q26" s="7"/>
    </row>
    <row r="27" spans="1:17" ht="16.5">
      <c r="A27" s="33">
        <v>189951</v>
      </c>
      <c r="B27" s="33">
        <v>162080</v>
      </c>
      <c r="C27" s="32" t="s">
        <v>42</v>
      </c>
      <c r="D27" s="32" t="s">
        <v>191</v>
      </c>
      <c r="E27" s="32" t="s">
        <v>198</v>
      </c>
      <c r="F27" s="32" t="s">
        <v>199</v>
      </c>
      <c r="G27" s="33" t="s">
        <v>163</v>
      </c>
      <c r="H27" s="33" t="s">
        <v>194</v>
      </c>
      <c r="I27" s="32" t="s">
        <v>6</v>
      </c>
      <c r="J27" s="34">
        <v>46060</v>
      </c>
      <c r="K27" s="32" t="s">
        <v>13</v>
      </c>
      <c r="L27" s="33">
        <v>54</v>
      </c>
      <c r="M27" s="32" t="s">
        <v>166</v>
      </c>
      <c r="N27" s="33">
        <v>189951</v>
      </c>
      <c r="O27" s="67"/>
      <c r="P27" s="67"/>
      <c r="Q27" s="35"/>
    </row>
    <row r="28" spans="1:17" ht="16.5">
      <c r="A28" s="33">
        <v>189949</v>
      </c>
      <c r="B28" s="33">
        <v>162080</v>
      </c>
      <c r="C28" s="32" t="s">
        <v>42</v>
      </c>
      <c r="D28" s="32" t="s">
        <v>191</v>
      </c>
      <c r="E28" s="32" t="s">
        <v>198</v>
      </c>
      <c r="F28" s="32" t="s">
        <v>196</v>
      </c>
      <c r="G28" s="33" t="s">
        <v>163</v>
      </c>
      <c r="H28" s="33" t="s">
        <v>194</v>
      </c>
      <c r="I28" s="32" t="s">
        <v>6</v>
      </c>
      <c r="J28" s="34">
        <v>46060</v>
      </c>
      <c r="K28" s="32" t="s">
        <v>13</v>
      </c>
      <c r="L28" s="33">
        <v>55</v>
      </c>
      <c r="M28" s="32" t="s">
        <v>166</v>
      </c>
      <c r="N28" s="33">
        <v>189949</v>
      </c>
      <c r="O28" s="67"/>
      <c r="P28" s="67"/>
      <c r="Q28" s="35"/>
    </row>
    <row r="29" spans="1:17" ht="16.5">
      <c r="A29" s="33">
        <v>189950</v>
      </c>
      <c r="B29" s="33">
        <v>162080</v>
      </c>
      <c r="C29" s="32" t="s">
        <v>42</v>
      </c>
      <c r="D29" s="32" t="s">
        <v>191</v>
      </c>
      <c r="E29" s="32" t="s">
        <v>198</v>
      </c>
      <c r="F29" s="32" t="s">
        <v>193</v>
      </c>
      <c r="G29" s="33" t="s">
        <v>163</v>
      </c>
      <c r="H29" s="33" t="s">
        <v>194</v>
      </c>
      <c r="I29" s="32" t="s">
        <v>6</v>
      </c>
      <c r="J29" s="34">
        <v>46060</v>
      </c>
      <c r="K29" s="32" t="s">
        <v>13</v>
      </c>
      <c r="L29" s="33">
        <v>55</v>
      </c>
      <c r="M29" s="32" t="s">
        <v>166</v>
      </c>
      <c r="N29" s="33">
        <v>189950</v>
      </c>
      <c r="O29" s="67"/>
      <c r="P29" s="67"/>
      <c r="Q29" s="35"/>
    </row>
    <row r="30" spans="1:17" ht="16.5">
      <c r="A30" s="33">
        <v>189948</v>
      </c>
      <c r="B30" s="33">
        <v>162080</v>
      </c>
      <c r="C30" s="32" t="s">
        <v>42</v>
      </c>
      <c r="D30" s="32" t="s">
        <v>191</v>
      </c>
      <c r="E30" s="32" t="s">
        <v>198</v>
      </c>
      <c r="F30" s="32" t="s">
        <v>197</v>
      </c>
      <c r="G30" s="33" t="s">
        <v>163</v>
      </c>
      <c r="H30" s="33" t="s">
        <v>194</v>
      </c>
      <c r="I30" s="32" t="s">
        <v>6</v>
      </c>
      <c r="J30" s="34">
        <v>46060</v>
      </c>
      <c r="K30" s="32" t="s">
        <v>13</v>
      </c>
      <c r="L30" s="33">
        <v>55</v>
      </c>
      <c r="M30" s="32" t="s">
        <v>166</v>
      </c>
      <c r="N30" s="33">
        <v>189948</v>
      </c>
      <c r="O30" s="67"/>
      <c r="P30" s="67"/>
      <c r="Q30" s="35"/>
    </row>
    <row r="31" spans="1:17" ht="16.5">
      <c r="A31" s="33">
        <v>189953</v>
      </c>
      <c r="B31" s="33">
        <v>162081</v>
      </c>
      <c r="C31" s="32" t="s">
        <v>42</v>
      </c>
      <c r="D31" s="32" t="s">
        <v>191</v>
      </c>
      <c r="E31" s="32" t="s">
        <v>198</v>
      </c>
      <c r="F31" s="32" t="s">
        <v>193</v>
      </c>
      <c r="G31" s="33" t="s">
        <v>163</v>
      </c>
      <c r="H31" s="33" t="s">
        <v>194</v>
      </c>
      <c r="I31" s="32" t="s">
        <v>6</v>
      </c>
      <c r="J31" s="34">
        <v>46060</v>
      </c>
      <c r="K31" s="32" t="s">
        <v>13</v>
      </c>
      <c r="L31" s="33">
        <v>51</v>
      </c>
      <c r="M31" s="32" t="s">
        <v>166</v>
      </c>
      <c r="N31" s="33">
        <v>189953</v>
      </c>
      <c r="O31" s="67"/>
      <c r="P31" s="67"/>
      <c r="Q31" s="35"/>
    </row>
    <row r="32" spans="1:17" ht="16.5">
      <c r="A32" s="33">
        <v>189952</v>
      </c>
      <c r="B32" s="33">
        <v>162081</v>
      </c>
      <c r="C32" s="32" t="s">
        <v>42</v>
      </c>
      <c r="D32" s="32" t="s">
        <v>191</v>
      </c>
      <c r="E32" s="32" t="s">
        <v>198</v>
      </c>
      <c r="F32" s="32" t="s">
        <v>196</v>
      </c>
      <c r="G32" s="33" t="s">
        <v>163</v>
      </c>
      <c r="H32" s="33" t="s">
        <v>194</v>
      </c>
      <c r="I32" s="32" t="s">
        <v>6</v>
      </c>
      <c r="J32" s="34">
        <v>46060</v>
      </c>
      <c r="K32" s="32" t="s">
        <v>13</v>
      </c>
      <c r="L32" s="33">
        <v>51</v>
      </c>
      <c r="M32" s="32" t="s">
        <v>166</v>
      </c>
      <c r="N32" s="33">
        <v>189952</v>
      </c>
      <c r="O32" s="67"/>
      <c r="P32" s="67"/>
      <c r="Q32" s="35"/>
    </row>
    <row r="33" spans="1:17" ht="16.5">
      <c r="A33" s="33">
        <v>189954</v>
      </c>
      <c r="B33" s="33">
        <v>162081</v>
      </c>
      <c r="C33" s="32" t="s">
        <v>42</v>
      </c>
      <c r="D33" s="32" t="s">
        <v>191</v>
      </c>
      <c r="E33" s="32" t="s">
        <v>198</v>
      </c>
      <c r="F33" s="32" t="s">
        <v>197</v>
      </c>
      <c r="G33" s="33" t="s">
        <v>163</v>
      </c>
      <c r="H33" s="33" t="s">
        <v>194</v>
      </c>
      <c r="I33" s="32" t="s">
        <v>6</v>
      </c>
      <c r="J33" s="34">
        <v>46060</v>
      </c>
      <c r="K33" s="32" t="s">
        <v>13</v>
      </c>
      <c r="L33" s="33">
        <v>50</v>
      </c>
      <c r="M33" s="32" t="s">
        <v>166</v>
      </c>
      <c r="N33" s="33">
        <v>189954</v>
      </c>
      <c r="O33" s="67"/>
      <c r="P33" s="67"/>
      <c r="Q33" s="35"/>
    </row>
    <row r="34" spans="1:17" ht="16.5">
      <c r="A34" s="11">
        <v>189959</v>
      </c>
      <c r="B34" s="11">
        <v>162603</v>
      </c>
      <c r="C34" s="10" t="s">
        <v>200</v>
      </c>
      <c r="D34" s="10" t="s">
        <v>191</v>
      </c>
      <c r="E34" s="10" t="s">
        <v>201</v>
      </c>
      <c r="F34" s="10" t="s">
        <v>199</v>
      </c>
      <c r="G34" s="11" t="s">
        <v>163</v>
      </c>
      <c r="H34" s="11" t="s">
        <v>194</v>
      </c>
      <c r="I34" s="10" t="s">
        <v>7</v>
      </c>
      <c r="J34" s="12">
        <v>46061</v>
      </c>
      <c r="K34" s="10" t="s">
        <v>195</v>
      </c>
      <c r="L34" s="11">
        <v>50</v>
      </c>
      <c r="M34" s="10" t="s">
        <v>166</v>
      </c>
      <c r="N34" s="11">
        <v>189959</v>
      </c>
      <c r="O34" s="66"/>
      <c r="P34" s="66"/>
      <c r="Q34" s="7"/>
    </row>
    <row r="35" spans="1:17" ht="16.5">
      <c r="A35" s="11">
        <v>189955</v>
      </c>
      <c r="B35" s="11">
        <v>162603</v>
      </c>
      <c r="C35" s="10" t="s">
        <v>200</v>
      </c>
      <c r="D35" s="10" t="s">
        <v>191</v>
      </c>
      <c r="E35" s="10" t="s">
        <v>201</v>
      </c>
      <c r="F35" s="10" t="s">
        <v>202</v>
      </c>
      <c r="G35" s="11" t="s">
        <v>163</v>
      </c>
      <c r="H35" s="11" t="s">
        <v>194</v>
      </c>
      <c r="I35" s="10" t="s">
        <v>7</v>
      </c>
      <c r="J35" s="12">
        <v>46061</v>
      </c>
      <c r="K35" s="10" t="s">
        <v>195</v>
      </c>
      <c r="L35" s="11">
        <v>49</v>
      </c>
      <c r="M35" s="10" t="s">
        <v>166</v>
      </c>
      <c r="N35" s="11">
        <v>189955</v>
      </c>
      <c r="O35" s="66"/>
      <c r="P35" s="66"/>
      <c r="Q35" s="7"/>
    </row>
    <row r="36" spans="1:17" ht="16.5">
      <c r="A36" s="11">
        <v>189958</v>
      </c>
      <c r="B36" s="11">
        <v>162603</v>
      </c>
      <c r="C36" s="10" t="s">
        <v>200</v>
      </c>
      <c r="D36" s="10" t="s">
        <v>191</v>
      </c>
      <c r="E36" s="10" t="s">
        <v>201</v>
      </c>
      <c r="F36" s="10" t="s">
        <v>196</v>
      </c>
      <c r="G36" s="11" t="s">
        <v>163</v>
      </c>
      <c r="H36" s="11" t="s">
        <v>194</v>
      </c>
      <c r="I36" s="10" t="s">
        <v>7</v>
      </c>
      <c r="J36" s="12">
        <v>46061</v>
      </c>
      <c r="K36" s="10" t="s">
        <v>195</v>
      </c>
      <c r="L36" s="11">
        <v>50</v>
      </c>
      <c r="M36" s="10" t="s">
        <v>166</v>
      </c>
      <c r="N36" s="11">
        <v>189958</v>
      </c>
      <c r="O36" s="66"/>
      <c r="P36" s="66"/>
      <c r="Q36" s="7"/>
    </row>
    <row r="37" spans="1:17" ht="16.5">
      <c r="A37" s="11">
        <v>189957</v>
      </c>
      <c r="B37" s="11">
        <v>162603</v>
      </c>
      <c r="C37" s="10" t="s">
        <v>200</v>
      </c>
      <c r="D37" s="10" t="s">
        <v>191</v>
      </c>
      <c r="E37" s="10" t="s">
        <v>201</v>
      </c>
      <c r="F37" s="10" t="s">
        <v>193</v>
      </c>
      <c r="G37" s="11" t="s">
        <v>163</v>
      </c>
      <c r="H37" s="11" t="s">
        <v>194</v>
      </c>
      <c r="I37" s="10" t="s">
        <v>7</v>
      </c>
      <c r="J37" s="12">
        <v>46061</v>
      </c>
      <c r="K37" s="10" t="s">
        <v>195</v>
      </c>
      <c r="L37" s="11">
        <v>50</v>
      </c>
      <c r="M37" s="10" t="s">
        <v>166</v>
      </c>
      <c r="N37" s="11">
        <v>189957</v>
      </c>
      <c r="O37" s="66"/>
      <c r="P37" s="66"/>
      <c r="Q37" s="7"/>
    </row>
    <row r="38" spans="1:17" ht="16.5">
      <c r="A38" s="11">
        <v>189956</v>
      </c>
      <c r="B38" s="11">
        <v>162603</v>
      </c>
      <c r="C38" s="10" t="s">
        <v>200</v>
      </c>
      <c r="D38" s="10" t="s">
        <v>191</v>
      </c>
      <c r="E38" s="10" t="s">
        <v>201</v>
      </c>
      <c r="F38" s="10" t="s">
        <v>197</v>
      </c>
      <c r="G38" s="11" t="s">
        <v>163</v>
      </c>
      <c r="H38" s="11" t="s">
        <v>194</v>
      </c>
      <c r="I38" s="10" t="s">
        <v>7</v>
      </c>
      <c r="J38" s="12">
        <v>46061</v>
      </c>
      <c r="K38" s="10" t="s">
        <v>195</v>
      </c>
      <c r="L38" s="11">
        <v>50</v>
      </c>
      <c r="M38" s="10" t="s">
        <v>166</v>
      </c>
      <c r="N38" s="11">
        <v>189956</v>
      </c>
      <c r="O38" s="66"/>
      <c r="P38" s="66"/>
      <c r="Q38" s="7"/>
    </row>
    <row r="39" spans="1:17" ht="16.5">
      <c r="A39" s="11">
        <v>189961</v>
      </c>
      <c r="B39" s="11">
        <v>162604</v>
      </c>
      <c r="C39" s="10" t="s">
        <v>200</v>
      </c>
      <c r="D39" s="10" t="s">
        <v>191</v>
      </c>
      <c r="E39" s="10" t="s">
        <v>203</v>
      </c>
      <c r="F39" s="10" t="s">
        <v>199</v>
      </c>
      <c r="G39" s="11" t="s">
        <v>163</v>
      </c>
      <c r="H39" s="11" t="s">
        <v>194</v>
      </c>
      <c r="I39" s="10" t="s">
        <v>7</v>
      </c>
      <c r="J39" s="12">
        <v>46061</v>
      </c>
      <c r="K39" s="10" t="s">
        <v>195</v>
      </c>
      <c r="L39" s="11">
        <v>50</v>
      </c>
      <c r="M39" s="10" t="s">
        <v>166</v>
      </c>
      <c r="N39" s="11">
        <v>189961</v>
      </c>
      <c r="O39" s="66"/>
      <c r="P39" s="66"/>
      <c r="Q39" s="7"/>
    </row>
    <row r="40" spans="1:17" ht="16.5">
      <c r="A40" s="11">
        <v>189962</v>
      </c>
      <c r="B40" s="11">
        <v>162604</v>
      </c>
      <c r="C40" s="10" t="s">
        <v>200</v>
      </c>
      <c r="D40" s="10" t="s">
        <v>191</v>
      </c>
      <c r="E40" s="10" t="s">
        <v>203</v>
      </c>
      <c r="F40" s="10" t="s">
        <v>202</v>
      </c>
      <c r="G40" s="11" t="s">
        <v>163</v>
      </c>
      <c r="H40" s="11" t="s">
        <v>194</v>
      </c>
      <c r="I40" s="10" t="s">
        <v>7</v>
      </c>
      <c r="J40" s="12">
        <v>46061</v>
      </c>
      <c r="K40" s="10" t="s">
        <v>195</v>
      </c>
      <c r="L40" s="11">
        <v>49</v>
      </c>
      <c r="M40" s="10" t="s">
        <v>166</v>
      </c>
      <c r="N40" s="11">
        <v>189962</v>
      </c>
      <c r="O40" s="66"/>
      <c r="P40" s="66"/>
      <c r="Q40" s="7"/>
    </row>
    <row r="41" spans="1:17" ht="16.5">
      <c r="A41" s="11">
        <v>189964</v>
      </c>
      <c r="B41" s="11">
        <v>162604</v>
      </c>
      <c r="C41" s="10" t="s">
        <v>200</v>
      </c>
      <c r="D41" s="10" t="s">
        <v>191</v>
      </c>
      <c r="E41" s="10" t="s">
        <v>203</v>
      </c>
      <c r="F41" s="10" t="s">
        <v>193</v>
      </c>
      <c r="G41" s="11" t="s">
        <v>163</v>
      </c>
      <c r="H41" s="11" t="s">
        <v>194</v>
      </c>
      <c r="I41" s="10" t="s">
        <v>7</v>
      </c>
      <c r="J41" s="12">
        <v>46061</v>
      </c>
      <c r="K41" s="10" t="s">
        <v>195</v>
      </c>
      <c r="L41" s="11">
        <v>50</v>
      </c>
      <c r="M41" s="10" t="s">
        <v>166</v>
      </c>
      <c r="N41" s="11">
        <v>189964</v>
      </c>
      <c r="O41" s="66"/>
      <c r="P41" s="66"/>
      <c r="Q41" s="7"/>
    </row>
    <row r="42" spans="1:17" ht="16.5">
      <c r="A42" s="11">
        <v>189960</v>
      </c>
      <c r="B42" s="11">
        <v>162604</v>
      </c>
      <c r="C42" s="10" t="s">
        <v>200</v>
      </c>
      <c r="D42" s="10" t="s">
        <v>191</v>
      </c>
      <c r="E42" s="10" t="s">
        <v>203</v>
      </c>
      <c r="F42" s="10" t="s">
        <v>196</v>
      </c>
      <c r="G42" s="11" t="s">
        <v>163</v>
      </c>
      <c r="H42" s="11" t="s">
        <v>194</v>
      </c>
      <c r="I42" s="10" t="s">
        <v>7</v>
      </c>
      <c r="J42" s="12">
        <v>46061</v>
      </c>
      <c r="K42" s="10" t="s">
        <v>195</v>
      </c>
      <c r="L42" s="11">
        <v>50</v>
      </c>
      <c r="M42" s="10" t="s">
        <v>166</v>
      </c>
      <c r="N42" s="11">
        <v>189960</v>
      </c>
      <c r="O42" s="66"/>
      <c r="P42" s="66"/>
      <c r="Q42" s="7"/>
    </row>
    <row r="43" spans="1:17" ht="16.5">
      <c r="A43" s="11">
        <v>189963</v>
      </c>
      <c r="B43" s="11">
        <v>162604</v>
      </c>
      <c r="C43" s="10" t="s">
        <v>200</v>
      </c>
      <c r="D43" s="10" t="s">
        <v>191</v>
      </c>
      <c r="E43" s="10" t="s">
        <v>203</v>
      </c>
      <c r="F43" s="10" t="s">
        <v>197</v>
      </c>
      <c r="G43" s="11" t="s">
        <v>163</v>
      </c>
      <c r="H43" s="11" t="s">
        <v>194</v>
      </c>
      <c r="I43" s="10" t="s">
        <v>7</v>
      </c>
      <c r="J43" s="12">
        <v>46061</v>
      </c>
      <c r="K43" s="10" t="s">
        <v>195</v>
      </c>
      <c r="L43" s="11">
        <v>50</v>
      </c>
      <c r="M43" s="10" t="s">
        <v>166</v>
      </c>
      <c r="N43" s="11">
        <v>189963</v>
      </c>
      <c r="O43" s="66"/>
      <c r="P43" s="66"/>
      <c r="Q43" s="7"/>
    </row>
    <row r="44" spans="1:17" ht="16.5">
      <c r="A44" s="11">
        <v>189969</v>
      </c>
      <c r="B44" s="11">
        <v>162755</v>
      </c>
      <c r="C44" s="10" t="s">
        <v>200</v>
      </c>
      <c r="D44" s="10" t="s">
        <v>191</v>
      </c>
      <c r="E44" s="10" t="s">
        <v>204</v>
      </c>
      <c r="F44" s="10" t="s">
        <v>193</v>
      </c>
      <c r="G44" s="11" t="s">
        <v>163</v>
      </c>
      <c r="H44" s="11" t="s">
        <v>194</v>
      </c>
      <c r="I44" s="10" t="s">
        <v>7</v>
      </c>
      <c r="J44" s="12">
        <v>46061</v>
      </c>
      <c r="K44" s="10" t="s">
        <v>195</v>
      </c>
      <c r="L44" s="11">
        <v>50</v>
      </c>
      <c r="M44" s="10" t="s">
        <v>166</v>
      </c>
      <c r="N44" s="11">
        <v>189969</v>
      </c>
      <c r="O44" s="66"/>
      <c r="P44" s="66"/>
      <c r="Q44" s="7"/>
    </row>
    <row r="45" spans="1:17" ht="16.5">
      <c r="A45" s="11">
        <v>189967</v>
      </c>
      <c r="B45" s="11">
        <v>162755</v>
      </c>
      <c r="C45" s="10" t="s">
        <v>200</v>
      </c>
      <c r="D45" s="10" t="s">
        <v>191</v>
      </c>
      <c r="E45" s="10" t="s">
        <v>204</v>
      </c>
      <c r="F45" s="10" t="s">
        <v>196</v>
      </c>
      <c r="G45" s="11" t="s">
        <v>163</v>
      </c>
      <c r="H45" s="11" t="s">
        <v>194</v>
      </c>
      <c r="I45" s="10" t="s">
        <v>7</v>
      </c>
      <c r="J45" s="12">
        <v>46061</v>
      </c>
      <c r="K45" s="10" t="s">
        <v>195</v>
      </c>
      <c r="L45" s="11">
        <v>50</v>
      </c>
      <c r="M45" s="10" t="s">
        <v>166</v>
      </c>
      <c r="N45" s="11">
        <v>189967</v>
      </c>
      <c r="O45" s="66"/>
      <c r="P45" s="66"/>
      <c r="Q45" s="7"/>
    </row>
    <row r="46" spans="1:17" ht="16.5">
      <c r="A46" s="11">
        <v>189968</v>
      </c>
      <c r="B46" s="11">
        <v>162755</v>
      </c>
      <c r="C46" s="10" t="s">
        <v>200</v>
      </c>
      <c r="D46" s="10" t="s">
        <v>191</v>
      </c>
      <c r="E46" s="10" t="s">
        <v>204</v>
      </c>
      <c r="F46" s="10" t="s">
        <v>199</v>
      </c>
      <c r="G46" s="11" t="s">
        <v>163</v>
      </c>
      <c r="H46" s="11" t="s">
        <v>194</v>
      </c>
      <c r="I46" s="10" t="s">
        <v>7</v>
      </c>
      <c r="J46" s="12">
        <v>46061</v>
      </c>
      <c r="K46" s="10" t="s">
        <v>195</v>
      </c>
      <c r="L46" s="11">
        <v>50</v>
      </c>
      <c r="M46" s="10" t="s">
        <v>166</v>
      </c>
      <c r="N46" s="11">
        <v>189968</v>
      </c>
      <c r="O46" s="66"/>
      <c r="P46" s="66"/>
      <c r="Q46" s="7"/>
    </row>
    <row r="47" spans="1:17" ht="16.5">
      <c r="A47" s="11">
        <v>189966</v>
      </c>
      <c r="B47" s="11">
        <v>162755</v>
      </c>
      <c r="C47" s="10" t="s">
        <v>200</v>
      </c>
      <c r="D47" s="10" t="s">
        <v>191</v>
      </c>
      <c r="E47" s="10" t="s">
        <v>204</v>
      </c>
      <c r="F47" s="10" t="s">
        <v>197</v>
      </c>
      <c r="G47" s="11" t="s">
        <v>163</v>
      </c>
      <c r="H47" s="11" t="s">
        <v>194</v>
      </c>
      <c r="I47" s="10" t="s">
        <v>7</v>
      </c>
      <c r="J47" s="12">
        <v>46061</v>
      </c>
      <c r="K47" s="10" t="s">
        <v>195</v>
      </c>
      <c r="L47" s="11">
        <v>50</v>
      </c>
      <c r="M47" s="10" t="s">
        <v>166</v>
      </c>
      <c r="N47" s="11">
        <v>189966</v>
      </c>
      <c r="O47" s="66"/>
      <c r="P47" s="66"/>
      <c r="Q47" s="7"/>
    </row>
    <row r="48" spans="1:17" ht="16.5">
      <c r="A48" s="11">
        <v>189965</v>
      </c>
      <c r="B48" s="11">
        <v>162755</v>
      </c>
      <c r="C48" s="10" t="s">
        <v>200</v>
      </c>
      <c r="D48" s="10" t="s">
        <v>191</v>
      </c>
      <c r="E48" s="10" t="s">
        <v>204</v>
      </c>
      <c r="F48" s="10" t="s">
        <v>202</v>
      </c>
      <c r="G48" s="11" t="s">
        <v>163</v>
      </c>
      <c r="H48" s="11" t="s">
        <v>194</v>
      </c>
      <c r="I48" s="10" t="s">
        <v>7</v>
      </c>
      <c r="J48" s="12">
        <v>46061</v>
      </c>
      <c r="K48" s="10" t="s">
        <v>195</v>
      </c>
      <c r="L48" s="11">
        <v>50</v>
      </c>
      <c r="M48" s="10" t="s">
        <v>166</v>
      </c>
      <c r="N48" s="11">
        <v>189965</v>
      </c>
      <c r="O48" s="66"/>
      <c r="P48" s="66"/>
      <c r="Q48" s="7"/>
    </row>
    <row r="49" spans="1:17" ht="16.5">
      <c r="A49" s="11">
        <v>189975</v>
      </c>
      <c r="B49" s="11">
        <v>163217</v>
      </c>
      <c r="C49" s="10" t="s">
        <v>200</v>
      </c>
      <c r="D49" s="10" t="s">
        <v>191</v>
      </c>
      <c r="E49" s="10" t="s">
        <v>205</v>
      </c>
      <c r="F49" s="10" t="s">
        <v>206</v>
      </c>
      <c r="G49" s="11" t="s">
        <v>163</v>
      </c>
      <c r="H49" s="11" t="s">
        <v>194</v>
      </c>
      <c r="I49" s="10" t="s">
        <v>7</v>
      </c>
      <c r="J49" s="12">
        <v>46061</v>
      </c>
      <c r="K49" s="10" t="s">
        <v>195</v>
      </c>
      <c r="L49" s="11">
        <v>48</v>
      </c>
      <c r="M49" s="10" t="s">
        <v>166</v>
      </c>
      <c r="N49" s="11">
        <v>189975</v>
      </c>
      <c r="O49" s="66"/>
      <c r="P49" s="66"/>
      <c r="Q49" s="7"/>
    </row>
    <row r="50" spans="1:17" ht="16.5">
      <c r="A50" s="11">
        <v>189971</v>
      </c>
      <c r="B50" s="11">
        <v>163217</v>
      </c>
      <c r="C50" s="10" t="s">
        <v>200</v>
      </c>
      <c r="D50" s="10" t="s">
        <v>191</v>
      </c>
      <c r="E50" s="10" t="s">
        <v>205</v>
      </c>
      <c r="F50" s="10" t="s">
        <v>197</v>
      </c>
      <c r="G50" s="11" t="s">
        <v>163</v>
      </c>
      <c r="H50" s="11" t="s">
        <v>194</v>
      </c>
      <c r="I50" s="10" t="s">
        <v>7</v>
      </c>
      <c r="J50" s="12">
        <v>46061</v>
      </c>
      <c r="K50" s="10" t="s">
        <v>195</v>
      </c>
      <c r="L50" s="11">
        <v>48</v>
      </c>
      <c r="M50" s="10" t="s">
        <v>166</v>
      </c>
      <c r="N50" s="11">
        <v>189971</v>
      </c>
      <c r="O50" s="66"/>
      <c r="P50" s="66"/>
      <c r="Q50" s="7"/>
    </row>
    <row r="51" spans="1:17" ht="16.5">
      <c r="A51" s="11">
        <v>189972</v>
      </c>
      <c r="B51" s="11">
        <v>163217</v>
      </c>
      <c r="C51" s="10" t="s">
        <v>200</v>
      </c>
      <c r="D51" s="10" t="s">
        <v>191</v>
      </c>
      <c r="E51" s="10" t="s">
        <v>205</v>
      </c>
      <c r="F51" s="10" t="s">
        <v>199</v>
      </c>
      <c r="G51" s="11" t="s">
        <v>163</v>
      </c>
      <c r="H51" s="11" t="s">
        <v>194</v>
      </c>
      <c r="I51" s="10" t="s">
        <v>7</v>
      </c>
      <c r="J51" s="12">
        <v>46061</v>
      </c>
      <c r="K51" s="10" t="s">
        <v>195</v>
      </c>
      <c r="L51" s="11">
        <v>48</v>
      </c>
      <c r="M51" s="10" t="s">
        <v>166</v>
      </c>
      <c r="N51" s="11">
        <v>189972</v>
      </c>
      <c r="O51" s="66"/>
      <c r="P51" s="66"/>
      <c r="Q51" s="7"/>
    </row>
    <row r="52" spans="1:17" ht="16.5">
      <c r="A52" s="11">
        <v>189973</v>
      </c>
      <c r="B52" s="11">
        <v>163217</v>
      </c>
      <c r="C52" s="10" t="s">
        <v>200</v>
      </c>
      <c r="D52" s="10" t="s">
        <v>191</v>
      </c>
      <c r="E52" s="10" t="s">
        <v>205</v>
      </c>
      <c r="F52" s="10" t="s">
        <v>193</v>
      </c>
      <c r="G52" s="11" t="s">
        <v>163</v>
      </c>
      <c r="H52" s="11" t="s">
        <v>194</v>
      </c>
      <c r="I52" s="10" t="s">
        <v>7</v>
      </c>
      <c r="J52" s="12">
        <v>46061</v>
      </c>
      <c r="K52" s="10" t="s">
        <v>195</v>
      </c>
      <c r="L52" s="11">
        <v>49</v>
      </c>
      <c r="M52" s="10" t="s">
        <v>166</v>
      </c>
      <c r="N52" s="11">
        <v>189973</v>
      </c>
      <c r="O52" s="66"/>
      <c r="P52" s="66"/>
      <c r="Q52" s="7"/>
    </row>
    <row r="53" spans="1:17" ht="16.5">
      <c r="A53" s="11">
        <v>189974</v>
      </c>
      <c r="B53" s="11">
        <v>163217</v>
      </c>
      <c r="C53" s="10" t="s">
        <v>200</v>
      </c>
      <c r="D53" s="10" t="s">
        <v>191</v>
      </c>
      <c r="E53" s="10" t="s">
        <v>205</v>
      </c>
      <c r="F53" s="10" t="s">
        <v>202</v>
      </c>
      <c r="G53" s="11" t="s">
        <v>163</v>
      </c>
      <c r="H53" s="11" t="s">
        <v>194</v>
      </c>
      <c r="I53" s="10" t="s">
        <v>7</v>
      </c>
      <c r="J53" s="12">
        <v>46061</v>
      </c>
      <c r="K53" s="10" t="s">
        <v>195</v>
      </c>
      <c r="L53" s="11">
        <v>48</v>
      </c>
      <c r="M53" s="10" t="s">
        <v>166</v>
      </c>
      <c r="N53" s="11">
        <v>189974</v>
      </c>
      <c r="O53" s="66"/>
      <c r="P53" s="66"/>
      <c r="Q53" s="7"/>
    </row>
    <row r="54" spans="1:17" ht="16.5">
      <c r="A54" s="11">
        <v>189970</v>
      </c>
      <c r="B54" s="11">
        <v>163217</v>
      </c>
      <c r="C54" s="10" t="s">
        <v>200</v>
      </c>
      <c r="D54" s="10" t="s">
        <v>191</v>
      </c>
      <c r="E54" s="10" t="s">
        <v>205</v>
      </c>
      <c r="F54" s="10" t="s">
        <v>196</v>
      </c>
      <c r="G54" s="11" t="s">
        <v>163</v>
      </c>
      <c r="H54" s="11" t="s">
        <v>194</v>
      </c>
      <c r="I54" s="10" t="s">
        <v>7</v>
      </c>
      <c r="J54" s="12">
        <v>46061</v>
      </c>
      <c r="K54" s="10" t="s">
        <v>195</v>
      </c>
      <c r="L54" s="11">
        <v>49</v>
      </c>
      <c r="M54" s="10" t="s">
        <v>166</v>
      </c>
      <c r="N54" s="11">
        <v>189970</v>
      </c>
      <c r="O54" s="66"/>
      <c r="P54" s="66"/>
      <c r="Q54" s="7"/>
    </row>
    <row r="55" spans="1:17" ht="16.5">
      <c r="A55" s="11">
        <v>189980</v>
      </c>
      <c r="B55" s="11">
        <v>163218</v>
      </c>
      <c r="C55" s="10" t="s">
        <v>200</v>
      </c>
      <c r="D55" s="10" t="s">
        <v>191</v>
      </c>
      <c r="E55" s="10" t="s">
        <v>205</v>
      </c>
      <c r="F55" s="10" t="s">
        <v>199</v>
      </c>
      <c r="G55" s="11" t="s">
        <v>163</v>
      </c>
      <c r="H55" s="11" t="s">
        <v>194</v>
      </c>
      <c r="I55" s="10" t="s">
        <v>7</v>
      </c>
      <c r="J55" s="12">
        <v>46061</v>
      </c>
      <c r="K55" s="10" t="s">
        <v>195</v>
      </c>
      <c r="L55" s="11">
        <v>50</v>
      </c>
      <c r="M55" s="10" t="s">
        <v>166</v>
      </c>
      <c r="N55" s="11">
        <v>189980</v>
      </c>
      <c r="O55" s="66"/>
      <c r="P55" s="66"/>
      <c r="Q55" s="7"/>
    </row>
    <row r="56" spans="1:17" ht="16.5">
      <c r="A56" s="11">
        <v>189977</v>
      </c>
      <c r="B56" s="11">
        <v>163218</v>
      </c>
      <c r="C56" s="10" t="s">
        <v>200</v>
      </c>
      <c r="D56" s="10" t="s">
        <v>191</v>
      </c>
      <c r="E56" s="10" t="s">
        <v>205</v>
      </c>
      <c r="F56" s="10" t="s">
        <v>196</v>
      </c>
      <c r="G56" s="11" t="s">
        <v>163</v>
      </c>
      <c r="H56" s="11" t="s">
        <v>194</v>
      </c>
      <c r="I56" s="10" t="s">
        <v>7</v>
      </c>
      <c r="J56" s="12">
        <v>46061</v>
      </c>
      <c r="K56" s="10" t="s">
        <v>195</v>
      </c>
      <c r="L56" s="11">
        <v>50</v>
      </c>
      <c r="M56" s="10" t="s">
        <v>166</v>
      </c>
      <c r="N56" s="11">
        <v>189977</v>
      </c>
      <c r="O56" s="66"/>
      <c r="P56" s="66"/>
      <c r="Q56" s="7"/>
    </row>
    <row r="57" spans="1:17" ht="16.5">
      <c r="A57" s="11">
        <v>189978</v>
      </c>
      <c r="B57" s="11">
        <v>163218</v>
      </c>
      <c r="C57" s="10" t="s">
        <v>200</v>
      </c>
      <c r="D57" s="10" t="s">
        <v>191</v>
      </c>
      <c r="E57" s="10" t="s">
        <v>205</v>
      </c>
      <c r="F57" s="10" t="s">
        <v>193</v>
      </c>
      <c r="G57" s="11" t="s">
        <v>163</v>
      </c>
      <c r="H57" s="11" t="s">
        <v>194</v>
      </c>
      <c r="I57" s="10" t="s">
        <v>7</v>
      </c>
      <c r="J57" s="12">
        <v>46061</v>
      </c>
      <c r="K57" s="10" t="s">
        <v>195</v>
      </c>
      <c r="L57" s="11">
        <v>51</v>
      </c>
      <c r="M57" s="10" t="s">
        <v>166</v>
      </c>
      <c r="N57" s="11">
        <v>189978</v>
      </c>
      <c r="O57" s="66"/>
      <c r="P57" s="66"/>
      <c r="Q57" s="7"/>
    </row>
    <row r="58" spans="1:17" ht="16.5">
      <c r="A58" s="11">
        <v>189979</v>
      </c>
      <c r="B58" s="11">
        <v>163218</v>
      </c>
      <c r="C58" s="10" t="s">
        <v>200</v>
      </c>
      <c r="D58" s="10" t="s">
        <v>191</v>
      </c>
      <c r="E58" s="10" t="s">
        <v>205</v>
      </c>
      <c r="F58" s="10" t="s">
        <v>202</v>
      </c>
      <c r="G58" s="11" t="s">
        <v>163</v>
      </c>
      <c r="H58" s="11" t="s">
        <v>194</v>
      </c>
      <c r="I58" s="10" t="s">
        <v>7</v>
      </c>
      <c r="J58" s="12">
        <v>46061</v>
      </c>
      <c r="K58" s="10" t="s">
        <v>195</v>
      </c>
      <c r="L58" s="11">
        <v>50</v>
      </c>
      <c r="M58" s="10" t="s">
        <v>166</v>
      </c>
      <c r="N58" s="11">
        <v>189979</v>
      </c>
      <c r="O58" s="66"/>
      <c r="P58" s="66"/>
      <c r="Q58" s="7"/>
    </row>
    <row r="59" spans="1:17" ht="16.5">
      <c r="A59" s="11">
        <v>189976</v>
      </c>
      <c r="B59" s="11">
        <v>163218</v>
      </c>
      <c r="C59" s="10" t="s">
        <v>200</v>
      </c>
      <c r="D59" s="10" t="s">
        <v>191</v>
      </c>
      <c r="E59" s="10" t="s">
        <v>205</v>
      </c>
      <c r="F59" s="10" t="s">
        <v>197</v>
      </c>
      <c r="G59" s="11" t="s">
        <v>163</v>
      </c>
      <c r="H59" s="11" t="s">
        <v>194</v>
      </c>
      <c r="I59" s="10" t="s">
        <v>7</v>
      </c>
      <c r="J59" s="12">
        <v>46061</v>
      </c>
      <c r="K59" s="10" t="s">
        <v>195</v>
      </c>
      <c r="L59" s="11">
        <v>50</v>
      </c>
      <c r="M59" s="10" t="s">
        <v>166</v>
      </c>
      <c r="N59" s="11">
        <v>189976</v>
      </c>
      <c r="O59" s="66"/>
      <c r="P59" s="66"/>
      <c r="Q59" s="7"/>
    </row>
    <row r="60" spans="1:17" ht="16.5">
      <c r="A60" s="11">
        <v>189982</v>
      </c>
      <c r="B60" s="11">
        <v>163219</v>
      </c>
      <c r="C60" s="10" t="s">
        <v>200</v>
      </c>
      <c r="D60" s="10" t="s">
        <v>191</v>
      </c>
      <c r="E60" s="10" t="s">
        <v>205</v>
      </c>
      <c r="F60" s="10" t="s">
        <v>196</v>
      </c>
      <c r="G60" s="11" t="s">
        <v>163</v>
      </c>
      <c r="H60" s="11" t="s">
        <v>194</v>
      </c>
      <c r="I60" s="10" t="s">
        <v>7</v>
      </c>
      <c r="J60" s="12">
        <v>46061</v>
      </c>
      <c r="K60" s="10" t="s">
        <v>195</v>
      </c>
      <c r="L60" s="11">
        <v>49</v>
      </c>
      <c r="M60" s="10" t="s">
        <v>166</v>
      </c>
      <c r="N60" s="11">
        <v>189982</v>
      </c>
      <c r="O60" s="66"/>
      <c r="P60" s="66"/>
      <c r="Q60" s="7"/>
    </row>
    <row r="61" spans="1:17" ht="16.5">
      <c r="A61" s="11">
        <v>189986</v>
      </c>
      <c r="B61" s="11">
        <v>163219</v>
      </c>
      <c r="C61" s="10" t="s">
        <v>200</v>
      </c>
      <c r="D61" s="10" t="s">
        <v>191</v>
      </c>
      <c r="E61" s="10" t="s">
        <v>205</v>
      </c>
      <c r="F61" s="10" t="s">
        <v>197</v>
      </c>
      <c r="G61" s="11" t="s">
        <v>163</v>
      </c>
      <c r="H61" s="11" t="s">
        <v>194</v>
      </c>
      <c r="I61" s="10" t="s">
        <v>7</v>
      </c>
      <c r="J61" s="12">
        <v>46061</v>
      </c>
      <c r="K61" s="10" t="s">
        <v>195</v>
      </c>
      <c r="L61" s="11">
        <v>48</v>
      </c>
      <c r="M61" s="10" t="s">
        <v>166</v>
      </c>
      <c r="N61" s="11">
        <v>189986</v>
      </c>
      <c r="O61" s="66"/>
      <c r="P61" s="66"/>
      <c r="Q61" s="7"/>
    </row>
    <row r="62" spans="1:17" ht="16.5">
      <c r="A62" s="11">
        <v>189983</v>
      </c>
      <c r="B62" s="11">
        <v>163219</v>
      </c>
      <c r="C62" s="10" t="s">
        <v>200</v>
      </c>
      <c r="D62" s="10" t="s">
        <v>191</v>
      </c>
      <c r="E62" s="10" t="s">
        <v>205</v>
      </c>
      <c r="F62" s="10" t="s">
        <v>199</v>
      </c>
      <c r="G62" s="11" t="s">
        <v>163</v>
      </c>
      <c r="H62" s="11" t="s">
        <v>194</v>
      </c>
      <c r="I62" s="10" t="s">
        <v>7</v>
      </c>
      <c r="J62" s="12">
        <v>46061</v>
      </c>
      <c r="K62" s="10" t="s">
        <v>195</v>
      </c>
      <c r="L62" s="11">
        <v>48</v>
      </c>
      <c r="M62" s="10" t="s">
        <v>166</v>
      </c>
      <c r="N62" s="11">
        <v>189983</v>
      </c>
      <c r="O62" s="66"/>
      <c r="P62" s="66"/>
      <c r="Q62" s="7"/>
    </row>
    <row r="63" spans="1:17" ht="16.5">
      <c r="A63" s="11">
        <v>189985</v>
      </c>
      <c r="B63" s="11">
        <v>163219</v>
      </c>
      <c r="C63" s="10" t="s">
        <v>200</v>
      </c>
      <c r="D63" s="10" t="s">
        <v>191</v>
      </c>
      <c r="E63" s="10" t="s">
        <v>205</v>
      </c>
      <c r="F63" s="10" t="s">
        <v>202</v>
      </c>
      <c r="G63" s="11" t="s">
        <v>163</v>
      </c>
      <c r="H63" s="11" t="s">
        <v>194</v>
      </c>
      <c r="I63" s="10" t="s">
        <v>7</v>
      </c>
      <c r="J63" s="12">
        <v>46061</v>
      </c>
      <c r="K63" s="10" t="s">
        <v>195</v>
      </c>
      <c r="L63" s="11">
        <v>48</v>
      </c>
      <c r="M63" s="10" t="s">
        <v>166</v>
      </c>
      <c r="N63" s="11">
        <v>189985</v>
      </c>
      <c r="O63" s="66"/>
      <c r="P63" s="66"/>
      <c r="Q63" s="7"/>
    </row>
    <row r="64" spans="1:17" ht="16.5">
      <c r="A64" s="11">
        <v>189981</v>
      </c>
      <c r="B64" s="11">
        <v>163219</v>
      </c>
      <c r="C64" s="10" t="s">
        <v>200</v>
      </c>
      <c r="D64" s="10" t="s">
        <v>191</v>
      </c>
      <c r="E64" s="10" t="s">
        <v>205</v>
      </c>
      <c r="F64" s="10" t="s">
        <v>193</v>
      </c>
      <c r="G64" s="11" t="s">
        <v>163</v>
      </c>
      <c r="H64" s="11" t="s">
        <v>194</v>
      </c>
      <c r="I64" s="10" t="s">
        <v>7</v>
      </c>
      <c r="J64" s="12">
        <v>46061</v>
      </c>
      <c r="K64" s="10" t="s">
        <v>195</v>
      </c>
      <c r="L64" s="11">
        <v>49</v>
      </c>
      <c r="M64" s="10" t="s">
        <v>166</v>
      </c>
      <c r="N64" s="11">
        <v>189981</v>
      </c>
      <c r="O64" s="66"/>
      <c r="P64" s="66"/>
      <c r="Q64" s="7"/>
    </row>
    <row r="65" spans="1:17" ht="16.5">
      <c r="A65" s="11">
        <v>189984</v>
      </c>
      <c r="B65" s="11">
        <v>163219</v>
      </c>
      <c r="C65" s="10" t="s">
        <v>200</v>
      </c>
      <c r="D65" s="10" t="s">
        <v>191</v>
      </c>
      <c r="E65" s="10" t="s">
        <v>205</v>
      </c>
      <c r="F65" s="10" t="s">
        <v>206</v>
      </c>
      <c r="G65" s="11" t="s">
        <v>163</v>
      </c>
      <c r="H65" s="11" t="s">
        <v>194</v>
      </c>
      <c r="I65" s="10" t="s">
        <v>7</v>
      </c>
      <c r="J65" s="12">
        <v>46061</v>
      </c>
      <c r="K65" s="10" t="s">
        <v>195</v>
      </c>
      <c r="L65" s="11">
        <v>48</v>
      </c>
      <c r="M65" s="10" t="s">
        <v>166</v>
      </c>
      <c r="N65" s="11">
        <v>189984</v>
      </c>
      <c r="O65" s="66"/>
      <c r="P65" s="66"/>
      <c r="Q65" s="7"/>
    </row>
    <row r="66" spans="1:17" ht="16.5">
      <c r="A66" s="11">
        <v>189988</v>
      </c>
      <c r="B66" s="11">
        <v>163418</v>
      </c>
      <c r="C66" s="10" t="s">
        <v>200</v>
      </c>
      <c r="D66" s="10" t="s">
        <v>191</v>
      </c>
      <c r="E66" s="10" t="s">
        <v>207</v>
      </c>
      <c r="F66" s="10" t="s">
        <v>193</v>
      </c>
      <c r="G66" s="11" t="s">
        <v>163</v>
      </c>
      <c r="H66" s="11" t="s">
        <v>194</v>
      </c>
      <c r="I66" s="10" t="s">
        <v>7</v>
      </c>
      <c r="J66" s="12">
        <v>46061</v>
      </c>
      <c r="K66" s="10" t="s">
        <v>195</v>
      </c>
      <c r="L66" s="11">
        <v>50</v>
      </c>
      <c r="M66" s="10" t="s">
        <v>166</v>
      </c>
      <c r="N66" s="11">
        <v>189988</v>
      </c>
      <c r="O66" s="66"/>
      <c r="P66" s="66"/>
      <c r="Q66" s="7"/>
    </row>
    <row r="67" spans="1:17" ht="16.5">
      <c r="A67" s="11">
        <v>189989</v>
      </c>
      <c r="B67" s="11">
        <v>163418</v>
      </c>
      <c r="C67" s="10" t="s">
        <v>200</v>
      </c>
      <c r="D67" s="10" t="s">
        <v>191</v>
      </c>
      <c r="E67" s="10" t="s">
        <v>207</v>
      </c>
      <c r="F67" s="10" t="s">
        <v>196</v>
      </c>
      <c r="G67" s="11" t="s">
        <v>163</v>
      </c>
      <c r="H67" s="11" t="s">
        <v>194</v>
      </c>
      <c r="I67" s="10" t="s">
        <v>7</v>
      </c>
      <c r="J67" s="12">
        <v>46061</v>
      </c>
      <c r="K67" s="10" t="s">
        <v>195</v>
      </c>
      <c r="L67" s="11">
        <v>50</v>
      </c>
      <c r="M67" s="10" t="s">
        <v>166</v>
      </c>
      <c r="N67" s="11">
        <v>189989</v>
      </c>
      <c r="O67" s="66"/>
      <c r="P67" s="66"/>
      <c r="Q67" s="7"/>
    </row>
    <row r="68" spans="1:17" ht="16.5">
      <c r="A68" s="11">
        <v>189987</v>
      </c>
      <c r="B68" s="11">
        <v>163418</v>
      </c>
      <c r="C68" s="10" t="s">
        <v>200</v>
      </c>
      <c r="D68" s="10" t="s">
        <v>191</v>
      </c>
      <c r="E68" s="10" t="s">
        <v>207</v>
      </c>
      <c r="F68" s="10" t="s">
        <v>197</v>
      </c>
      <c r="G68" s="11" t="s">
        <v>163</v>
      </c>
      <c r="H68" s="11" t="s">
        <v>194</v>
      </c>
      <c r="I68" s="10" t="s">
        <v>7</v>
      </c>
      <c r="J68" s="12">
        <v>46061</v>
      </c>
      <c r="K68" s="10" t="s">
        <v>195</v>
      </c>
      <c r="L68" s="11">
        <v>50</v>
      </c>
      <c r="M68" s="10" t="s">
        <v>166</v>
      </c>
      <c r="N68" s="11">
        <v>189987</v>
      </c>
      <c r="O68" s="66"/>
      <c r="P68" s="66"/>
      <c r="Q68" s="7"/>
    </row>
    <row r="69" spans="1:17" ht="16.5">
      <c r="A69" s="11">
        <v>189990</v>
      </c>
      <c r="B69" s="11">
        <v>163418</v>
      </c>
      <c r="C69" s="10" t="s">
        <v>200</v>
      </c>
      <c r="D69" s="10" t="s">
        <v>191</v>
      </c>
      <c r="E69" s="10" t="s">
        <v>207</v>
      </c>
      <c r="F69" s="10" t="s">
        <v>199</v>
      </c>
      <c r="G69" s="11" t="s">
        <v>163</v>
      </c>
      <c r="H69" s="11" t="s">
        <v>194</v>
      </c>
      <c r="I69" s="10" t="s">
        <v>7</v>
      </c>
      <c r="J69" s="12">
        <v>46061</v>
      </c>
      <c r="K69" s="10" t="s">
        <v>195</v>
      </c>
      <c r="L69" s="11">
        <v>50</v>
      </c>
      <c r="M69" s="10" t="s">
        <v>166</v>
      </c>
      <c r="N69" s="11">
        <v>189990</v>
      </c>
      <c r="O69" s="66"/>
      <c r="P69" s="66"/>
      <c r="Q69" s="7"/>
    </row>
    <row r="70" spans="1:17" ht="16.5">
      <c r="A70" s="11">
        <v>189991</v>
      </c>
      <c r="B70" s="11">
        <v>163418</v>
      </c>
      <c r="C70" s="10" t="s">
        <v>200</v>
      </c>
      <c r="D70" s="10" t="s">
        <v>191</v>
      </c>
      <c r="E70" s="10" t="s">
        <v>207</v>
      </c>
      <c r="F70" s="10" t="s">
        <v>206</v>
      </c>
      <c r="G70" s="11" t="s">
        <v>163</v>
      </c>
      <c r="H70" s="11" t="s">
        <v>194</v>
      </c>
      <c r="I70" s="10" t="s">
        <v>7</v>
      </c>
      <c r="J70" s="12">
        <v>46061</v>
      </c>
      <c r="K70" s="10" t="s">
        <v>195</v>
      </c>
      <c r="L70" s="11">
        <v>50</v>
      </c>
      <c r="M70" s="10" t="s">
        <v>166</v>
      </c>
      <c r="N70" s="11">
        <v>189991</v>
      </c>
      <c r="O70" s="66"/>
      <c r="P70" s="66"/>
      <c r="Q70" s="7"/>
    </row>
    <row r="71" spans="1:17" ht="16.5">
      <c r="A71" s="11">
        <v>189993</v>
      </c>
      <c r="B71" s="11">
        <v>163418</v>
      </c>
      <c r="C71" s="10" t="s">
        <v>200</v>
      </c>
      <c r="D71" s="10" t="s">
        <v>191</v>
      </c>
      <c r="E71" s="10" t="s">
        <v>207</v>
      </c>
      <c r="F71" s="10" t="s">
        <v>202</v>
      </c>
      <c r="G71" s="11" t="s">
        <v>163</v>
      </c>
      <c r="H71" s="11" t="s">
        <v>194</v>
      </c>
      <c r="I71" s="10" t="s">
        <v>7</v>
      </c>
      <c r="J71" s="12">
        <v>46061</v>
      </c>
      <c r="K71" s="10" t="s">
        <v>195</v>
      </c>
      <c r="L71" s="11">
        <v>50</v>
      </c>
      <c r="M71" s="10" t="s">
        <v>166</v>
      </c>
      <c r="N71" s="11">
        <v>189993</v>
      </c>
      <c r="O71" s="66"/>
      <c r="P71" s="66"/>
      <c r="Q71" s="7"/>
    </row>
    <row r="72" spans="1:17" ht="16.5">
      <c r="A72" s="11">
        <v>189992</v>
      </c>
      <c r="B72" s="11">
        <v>163418</v>
      </c>
      <c r="C72" s="10" t="s">
        <v>200</v>
      </c>
      <c r="D72" s="10" t="s">
        <v>191</v>
      </c>
      <c r="E72" s="10" t="s">
        <v>207</v>
      </c>
      <c r="F72" s="10" t="s">
        <v>208</v>
      </c>
      <c r="G72" s="11" t="s">
        <v>163</v>
      </c>
      <c r="H72" s="11" t="s">
        <v>194</v>
      </c>
      <c r="I72" s="10" t="s">
        <v>7</v>
      </c>
      <c r="J72" s="12">
        <v>46061</v>
      </c>
      <c r="K72" s="10" t="s">
        <v>195</v>
      </c>
      <c r="L72" s="11">
        <v>50</v>
      </c>
      <c r="M72" s="10" t="s">
        <v>166</v>
      </c>
      <c r="N72" s="11">
        <v>189992</v>
      </c>
      <c r="O72" s="66"/>
      <c r="P72" s="66"/>
      <c r="Q72" s="7"/>
    </row>
    <row r="73" spans="1:17" ht="16.5">
      <c r="A73" s="11">
        <v>189995</v>
      </c>
      <c r="B73" s="11">
        <v>163419</v>
      </c>
      <c r="C73" s="10" t="s">
        <v>200</v>
      </c>
      <c r="D73" s="10" t="s">
        <v>191</v>
      </c>
      <c r="E73" s="10" t="s">
        <v>207</v>
      </c>
      <c r="F73" s="10" t="s">
        <v>196</v>
      </c>
      <c r="G73" s="11" t="s">
        <v>163</v>
      </c>
      <c r="H73" s="11" t="s">
        <v>194</v>
      </c>
      <c r="I73" s="10" t="s">
        <v>7</v>
      </c>
      <c r="J73" s="12">
        <v>46061</v>
      </c>
      <c r="K73" s="10" t="s">
        <v>195</v>
      </c>
      <c r="L73" s="11">
        <v>57</v>
      </c>
      <c r="M73" s="10" t="s">
        <v>166</v>
      </c>
      <c r="N73" s="11">
        <v>189995</v>
      </c>
      <c r="O73" s="66"/>
      <c r="P73" s="66"/>
      <c r="Q73" s="7"/>
    </row>
    <row r="74" spans="1:17" ht="16.5">
      <c r="A74" s="11">
        <v>189996</v>
      </c>
      <c r="B74" s="11">
        <v>163419</v>
      </c>
      <c r="C74" s="10" t="s">
        <v>200</v>
      </c>
      <c r="D74" s="10" t="s">
        <v>191</v>
      </c>
      <c r="E74" s="10" t="s">
        <v>207</v>
      </c>
      <c r="F74" s="10" t="s">
        <v>193</v>
      </c>
      <c r="G74" s="11" t="s">
        <v>163</v>
      </c>
      <c r="H74" s="11" t="s">
        <v>194</v>
      </c>
      <c r="I74" s="10" t="s">
        <v>7</v>
      </c>
      <c r="J74" s="12">
        <v>46061</v>
      </c>
      <c r="K74" s="10" t="s">
        <v>195</v>
      </c>
      <c r="L74" s="11">
        <v>57</v>
      </c>
      <c r="M74" s="10" t="s">
        <v>166</v>
      </c>
      <c r="N74" s="11">
        <v>189996</v>
      </c>
      <c r="O74" s="66"/>
      <c r="P74" s="66"/>
      <c r="Q74" s="7"/>
    </row>
    <row r="75" spans="1:17" ht="16.5">
      <c r="A75" s="11">
        <v>189994</v>
      </c>
      <c r="B75" s="11">
        <v>163419</v>
      </c>
      <c r="C75" s="10" t="s">
        <v>200</v>
      </c>
      <c r="D75" s="10" t="s">
        <v>191</v>
      </c>
      <c r="E75" s="10" t="s">
        <v>207</v>
      </c>
      <c r="F75" s="10" t="s">
        <v>197</v>
      </c>
      <c r="G75" s="11" t="s">
        <v>163</v>
      </c>
      <c r="H75" s="11" t="s">
        <v>194</v>
      </c>
      <c r="I75" s="10" t="s">
        <v>7</v>
      </c>
      <c r="J75" s="12">
        <v>46061</v>
      </c>
      <c r="K75" s="10" t="s">
        <v>195</v>
      </c>
      <c r="L75" s="11">
        <v>57</v>
      </c>
      <c r="M75" s="10" t="s">
        <v>166</v>
      </c>
      <c r="N75" s="11">
        <v>189994</v>
      </c>
      <c r="O75" s="66"/>
      <c r="P75" s="66"/>
      <c r="Q75" s="7"/>
    </row>
    <row r="76" spans="1:17" ht="16.5">
      <c r="A76" s="11">
        <v>189997</v>
      </c>
      <c r="B76" s="11">
        <v>163419</v>
      </c>
      <c r="C76" s="10" t="s">
        <v>200</v>
      </c>
      <c r="D76" s="10" t="s">
        <v>191</v>
      </c>
      <c r="E76" s="10" t="s">
        <v>207</v>
      </c>
      <c r="F76" s="10" t="s">
        <v>199</v>
      </c>
      <c r="G76" s="11" t="s">
        <v>163</v>
      </c>
      <c r="H76" s="11" t="s">
        <v>194</v>
      </c>
      <c r="I76" s="10" t="s">
        <v>7</v>
      </c>
      <c r="J76" s="12">
        <v>46061</v>
      </c>
      <c r="K76" s="10" t="s">
        <v>195</v>
      </c>
      <c r="L76" s="11">
        <v>57</v>
      </c>
      <c r="M76" s="10" t="s">
        <v>166</v>
      </c>
      <c r="N76" s="11">
        <v>189997</v>
      </c>
      <c r="O76" s="66"/>
      <c r="P76" s="66"/>
      <c r="Q76" s="7"/>
    </row>
    <row r="77" spans="1:17" ht="16.5">
      <c r="A77" s="11">
        <v>190001</v>
      </c>
      <c r="B77" s="11">
        <v>163526</v>
      </c>
      <c r="C77" s="10" t="s">
        <v>200</v>
      </c>
      <c r="D77" s="10" t="s">
        <v>191</v>
      </c>
      <c r="E77" s="10" t="s">
        <v>209</v>
      </c>
      <c r="F77" s="10" t="s">
        <v>196</v>
      </c>
      <c r="G77" s="11" t="s">
        <v>163</v>
      </c>
      <c r="H77" s="11" t="s">
        <v>194</v>
      </c>
      <c r="I77" s="10" t="s">
        <v>7</v>
      </c>
      <c r="J77" s="12">
        <v>46061</v>
      </c>
      <c r="K77" s="10" t="s">
        <v>195</v>
      </c>
      <c r="L77" s="11">
        <v>50</v>
      </c>
      <c r="M77" s="10" t="s">
        <v>166</v>
      </c>
      <c r="N77" s="11">
        <v>190001</v>
      </c>
      <c r="O77" s="66"/>
      <c r="P77" s="66"/>
      <c r="Q77" s="7"/>
    </row>
    <row r="78" spans="1:17" ht="16.5">
      <c r="A78" s="11">
        <v>189999</v>
      </c>
      <c r="B78" s="11">
        <v>163526</v>
      </c>
      <c r="C78" s="10" t="s">
        <v>200</v>
      </c>
      <c r="D78" s="10" t="s">
        <v>191</v>
      </c>
      <c r="E78" s="10" t="s">
        <v>209</v>
      </c>
      <c r="F78" s="10" t="s">
        <v>202</v>
      </c>
      <c r="G78" s="11" t="s">
        <v>163</v>
      </c>
      <c r="H78" s="11" t="s">
        <v>194</v>
      </c>
      <c r="I78" s="10" t="s">
        <v>7</v>
      </c>
      <c r="J78" s="12">
        <v>46061</v>
      </c>
      <c r="K78" s="10" t="s">
        <v>195</v>
      </c>
      <c r="L78" s="11">
        <v>50</v>
      </c>
      <c r="M78" s="10" t="s">
        <v>166</v>
      </c>
      <c r="N78" s="11">
        <v>189999</v>
      </c>
      <c r="O78" s="66"/>
      <c r="P78" s="66"/>
      <c r="Q78" s="7"/>
    </row>
    <row r="79" spans="1:17" ht="16.5">
      <c r="A79" s="11">
        <v>189998</v>
      </c>
      <c r="B79" s="11">
        <v>163526</v>
      </c>
      <c r="C79" s="10" t="s">
        <v>200</v>
      </c>
      <c r="D79" s="10" t="s">
        <v>191</v>
      </c>
      <c r="E79" s="10" t="s">
        <v>209</v>
      </c>
      <c r="F79" s="10" t="s">
        <v>193</v>
      </c>
      <c r="G79" s="11" t="s">
        <v>163</v>
      </c>
      <c r="H79" s="11" t="s">
        <v>194</v>
      </c>
      <c r="I79" s="10" t="s">
        <v>7</v>
      </c>
      <c r="J79" s="12">
        <v>46061</v>
      </c>
      <c r="K79" s="10" t="s">
        <v>195</v>
      </c>
      <c r="L79" s="11">
        <v>50</v>
      </c>
      <c r="M79" s="10" t="s">
        <v>166</v>
      </c>
      <c r="N79" s="11">
        <v>189998</v>
      </c>
      <c r="O79" s="66"/>
      <c r="P79" s="66"/>
      <c r="Q79" s="7"/>
    </row>
    <row r="80" spans="1:17" ht="16.5">
      <c r="A80" s="11">
        <v>190002</v>
      </c>
      <c r="B80" s="11">
        <v>163526</v>
      </c>
      <c r="C80" s="10" t="s">
        <v>200</v>
      </c>
      <c r="D80" s="10" t="s">
        <v>191</v>
      </c>
      <c r="E80" s="10" t="s">
        <v>209</v>
      </c>
      <c r="F80" s="10" t="s">
        <v>199</v>
      </c>
      <c r="G80" s="11" t="s">
        <v>163</v>
      </c>
      <c r="H80" s="11" t="s">
        <v>194</v>
      </c>
      <c r="I80" s="10" t="s">
        <v>7</v>
      </c>
      <c r="J80" s="12">
        <v>46061</v>
      </c>
      <c r="K80" s="10" t="s">
        <v>195</v>
      </c>
      <c r="L80" s="11">
        <v>50</v>
      </c>
      <c r="M80" s="10" t="s">
        <v>166</v>
      </c>
      <c r="N80" s="11">
        <v>190002</v>
      </c>
      <c r="O80" s="66"/>
      <c r="P80" s="66"/>
      <c r="Q80" s="7"/>
    </row>
    <row r="81" spans="1:17" ht="16.5">
      <c r="A81" s="11">
        <v>190000</v>
      </c>
      <c r="B81" s="11">
        <v>163526</v>
      </c>
      <c r="C81" s="10" t="s">
        <v>200</v>
      </c>
      <c r="D81" s="10" t="s">
        <v>191</v>
      </c>
      <c r="E81" s="10" t="s">
        <v>209</v>
      </c>
      <c r="F81" s="10" t="s">
        <v>197</v>
      </c>
      <c r="G81" s="11" t="s">
        <v>163</v>
      </c>
      <c r="H81" s="11" t="s">
        <v>194</v>
      </c>
      <c r="I81" s="10" t="s">
        <v>7</v>
      </c>
      <c r="J81" s="12">
        <v>46061</v>
      </c>
      <c r="K81" s="10" t="s">
        <v>195</v>
      </c>
      <c r="L81" s="11">
        <v>50</v>
      </c>
      <c r="M81" s="10" t="s">
        <v>166</v>
      </c>
      <c r="N81" s="11">
        <v>190000</v>
      </c>
      <c r="O81" s="66"/>
      <c r="P81" s="66"/>
      <c r="Q81" s="7"/>
    </row>
    <row r="82" spans="1:17" ht="16.5">
      <c r="A82" s="11">
        <v>190005</v>
      </c>
      <c r="B82" s="11">
        <v>163787</v>
      </c>
      <c r="C82" s="10" t="s">
        <v>200</v>
      </c>
      <c r="D82" s="10" t="s">
        <v>191</v>
      </c>
      <c r="E82" s="10" t="s">
        <v>210</v>
      </c>
      <c r="F82" s="10" t="s">
        <v>196</v>
      </c>
      <c r="G82" s="11" t="s">
        <v>163</v>
      </c>
      <c r="H82" s="11" t="s">
        <v>194</v>
      </c>
      <c r="I82" s="10" t="s">
        <v>7</v>
      </c>
      <c r="J82" s="12">
        <v>46061</v>
      </c>
      <c r="K82" s="10" t="s">
        <v>195</v>
      </c>
      <c r="L82" s="11">
        <v>50</v>
      </c>
      <c r="M82" s="10" t="s">
        <v>166</v>
      </c>
      <c r="N82" s="11">
        <v>190005</v>
      </c>
      <c r="O82" s="66"/>
      <c r="P82" s="66"/>
      <c r="Q82" s="7"/>
    </row>
    <row r="83" spans="1:17" ht="16.5">
      <c r="A83" s="11">
        <v>190006</v>
      </c>
      <c r="B83" s="11">
        <v>163787</v>
      </c>
      <c r="C83" s="10" t="s">
        <v>200</v>
      </c>
      <c r="D83" s="10" t="s">
        <v>191</v>
      </c>
      <c r="E83" s="10" t="s">
        <v>210</v>
      </c>
      <c r="F83" s="10" t="s">
        <v>199</v>
      </c>
      <c r="G83" s="11" t="s">
        <v>163</v>
      </c>
      <c r="H83" s="11" t="s">
        <v>194</v>
      </c>
      <c r="I83" s="10" t="s">
        <v>7</v>
      </c>
      <c r="J83" s="12">
        <v>46061</v>
      </c>
      <c r="K83" s="10" t="s">
        <v>195</v>
      </c>
      <c r="L83" s="11">
        <v>49</v>
      </c>
      <c r="M83" s="10" t="s">
        <v>166</v>
      </c>
      <c r="N83" s="11">
        <v>190006</v>
      </c>
      <c r="O83" s="66"/>
      <c r="P83" s="66"/>
      <c r="Q83" s="7"/>
    </row>
    <row r="84" spans="1:17" ht="16.5">
      <c r="A84" s="11">
        <v>190004</v>
      </c>
      <c r="B84" s="11">
        <v>163787</v>
      </c>
      <c r="C84" s="10" t="s">
        <v>200</v>
      </c>
      <c r="D84" s="10" t="s">
        <v>191</v>
      </c>
      <c r="E84" s="10" t="s">
        <v>210</v>
      </c>
      <c r="F84" s="10" t="s">
        <v>193</v>
      </c>
      <c r="G84" s="11" t="s">
        <v>163</v>
      </c>
      <c r="H84" s="11" t="s">
        <v>194</v>
      </c>
      <c r="I84" s="10" t="s">
        <v>7</v>
      </c>
      <c r="J84" s="12">
        <v>46061</v>
      </c>
      <c r="K84" s="10" t="s">
        <v>195</v>
      </c>
      <c r="L84" s="11">
        <v>50</v>
      </c>
      <c r="M84" s="10" t="s">
        <v>166</v>
      </c>
      <c r="N84" s="11">
        <v>190004</v>
      </c>
      <c r="O84" s="66"/>
      <c r="P84" s="66"/>
      <c r="Q84" s="7"/>
    </row>
    <row r="85" spans="1:17" ht="16.5">
      <c r="A85" s="11">
        <v>190003</v>
      </c>
      <c r="B85" s="11">
        <v>163787</v>
      </c>
      <c r="C85" s="10" t="s">
        <v>200</v>
      </c>
      <c r="D85" s="10" t="s">
        <v>191</v>
      </c>
      <c r="E85" s="10" t="s">
        <v>210</v>
      </c>
      <c r="F85" s="10" t="s">
        <v>197</v>
      </c>
      <c r="G85" s="11" t="s">
        <v>163</v>
      </c>
      <c r="H85" s="11" t="s">
        <v>194</v>
      </c>
      <c r="I85" s="10" t="s">
        <v>7</v>
      </c>
      <c r="J85" s="12">
        <v>46061</v>
      </c>
      <c r="K85" s="10" t="s">
        <v>195</v>
      </c>
      <c r="L85" s="11">
        <v>50</v>
      </c>
      <c r="M85" s="10" t="s">
        <v>166</v>
      </c>
      <c r="N85" s="11">
        <v>190003</v>
      </c>
      <c r="O85" s="66"/>
      <c r="P85" s="66"/>
      <c r="Q85" s="7"/>
    </row>
    <row r="86" spans="1:17" ht="16.5">
      <c r="A86" s="11">
        <v>190007</v>
      </c>
      <c r="B86" s="11">
        <v>163788</v>
      </c>
      <c r="C86" s="10" t="s">
        <v>200</v>
      </c>
      <c r="D86" s="10" t="s">
        <v>191</v>
      </c>
      <c r="E86" s="10" t="s">
        <v>210</v>
      </c>
      <c r="F86" s="10" t="s">
        <v>196</v>
      </c>
      <c r="G86" s="11" t="s">
        <v>163</v>
      </c>
      <c r="H86" s="11" t="s">
        <v>194</v>
      </c>
      <c r="I86" s="10" t="s">
        <v>7</v>
      </c>
      <c r="J86" s="12">
        <v>46061</v>
      </c>
      <c r="K86" s="10" t="s">
        <v>195</v>
      </c>
      <c r="L86" s="11">
        <v>50</v>
      </c>
      <c r="M86" s="10" t="s">
        <v>166</v>
      </c>
      <c r="N86" s="11">
        <v>190007</v>
      </c>
      <c r="O86" s="66"/>
      <c r="P86" s="66"/>
      <c r="Q86" s="7"/>
    </row>
    <row r="87" spans="1:17" ht="16.5">
      <c r="A87" s="11">
        <v>190010</v>
      </c>
      <c r="B87" s="11">
        <v>163788</v>
      </c>
      <c r="C87" s="10" t="s">
        <v>200</v>
      </c>
      <c r="D87" s="10" t="s">
        <v>191</v>
      </c>
      <c r="E87" s="10" t="s">
        <v>210</v>
      </c>
      <c r="F87" s="10" t="s">
        <v>199</v>
      </c>
      <c r="G87" s="11" t="s">
        <v>163</v>
      </c>
      <c r="H87" s="11" t="s">
        <v>194</v>
      </c>
      <c r="I87" s="10" t="s">
        <v>7</v>
      </c>
      <c r="J87" s="12">
        <v>46061</v>
      </c>
      <c r="K87" s="10" t="s">
        <v>195</v>
      </c>
      <c r="L87" s="11">
        <v>50</v>
      </c>
      <c r="M87" s="10" t="s">
        <v>166</v>
      </c>
      <c r="N87" s="11">
        <v>190010</v>
      </c>
      <c r="O87" s="66"/>
      <c r="P87" s="66"/>
      <c r="Q87" s="7"/>
    </row>
    <row r="88" spans="1:17" ht="16.5">
      <c r="A88" s="11">
        <v>190009</v>
      </c>
      <c r="B88" s="11">
        <v>163788</v>
      </c>
      <c r="C88" s="10" t="s">
        <v>200</v>
      </c>
      <c r="D88" s="10" t="s">
        <v>191</v>
      </c>
      <c r="E88" s="10" t="s">
        <v>210</v>
      </c>
      <c r="F88" s="10" t="s">
        <v>193</v>
      </c>
      <c r="G88" s="11" t="s">
        <v>163</v>
      </c>
      <c r="H88" s="11" t="s">
        <v>194</v>
      </c>
      <c r="I88" s="10" t="s">
        <v>7</v>
      </c>
      <c r="J88" s="12">
        <v>46061</v>
      </c>
      <c r="K88" s="10" t="s">
        <v>195</v>
      </c>
      <c r="L88" s="11">
        <v>50</v>
      </c>
      <c r="M88" s="10" t="s">
        <v>166</v>
      </c>
      <c r="N88" s="11">
        <v>190009</v>
      </c>
      <c r="O88" s="66"/>
      <c r="P88" s="66"/>
      <c r="Q88" s="7"/>
    </row>
    <row r="89" spans="1:17" ht="16.5">
      <c r="A89" s="11">
        <v>190008</v>
      </c>
      <c r="B89" s="11">
        <v>163788</v>
      </c>
      <c r="C89" s="10" t="s">
        <v>200</v>
      </c>
      <c r="D89" s="10" t="s">
        <v>191</v>
      </c>
      <c r="E89" s="10" t="s">
        <v>210</v>
      </c>
      <c r="F89" s="10" t="s">
        <v>197</v>
      </c>
      <c r="G89" s="11" t="s">
        <v>163</v>
      </c>
      <c r="H89" s="11" t="s">
        <v>194</v>
      </c>
      <c r="I89" s="10" t="s">
        <v>7</v>
      </c>
      <c r="J89" s="12">
        <v>46061</v>
      </c>
      <c r="K89" s="10" t="s">
        <v>195</v>
      </c>
      <c r="L89" s="11">
        <v>50</v>
      </c>
      <c r="M89" s="10" t="s">
        <v>166</v>
      </c>
      <c r="N89" s="11">
        <v>190008</v>
      </c>
      <c r="O89" s="66"/>
      <c r="P89" s="66"/>
      <c r="Q89" s="7"/>
    </row>
    <row r="90" spans="1:17" ht="16.5">
      <c r="A90" s="11">
        <v>190013</v>
      </c>
      <c r="B90" s="11">
        <v>163925</v>
      </c>
      <c r="C90" s="10" t="s">
        <v>200</v>
      </c>
      <c r="D90" s="10" t="s">
        <v>191</v>
      </c>
      <c r="E90" s="10" t="s">
        <v>211</v>
      </c>
      <c r="F90" s="10" t="s">
        <v>197</v>
      </c>
      <c r="G90" s="11" t="s">
        <v>163</v>
      </c>
      <c r="H90" s="11" t="s">
        <v>194</v>
      </c>
      <c r="I90" s="10" t="s">
        <v>7</v>
      </c>
      <c r="J90" s="12">
        <v>46061</v>
      </c>
      <c r="K90" s="10" t="s">
        <v>195</v>
      </c>
      <c r="L90" s="11">
        <v>50</v>
      </c>
      <c r="M90" s="10" t="s">
        <v>166</v>
      </c>
      <c r="N90" s="11">
        <v>190013</v>
      </c>
      <c r="O90" s="66"/>
      <c r="P90" s="66"/>
      <c r="Q90" s="7"/>
    </row>
    <row r="91" spans="1:17" ht="16.5">
      <c r="A91" s="11">
        <v>190012</v>
      </c>
      <c r="B91" s="11">
        <v>163925</v>
      </c>
      <c r="C91" s="10" t="s">
        <v>200</v>
      </c>
      <c r="D91" s="10" t="s">
        <v>191</v>
      </c>
      <c r="E91" s="10" t="s">
        <v>211</v>
      </c>
      <c r="F91" s="10" t="s">
        <v>196</v>
      </c>
      <c r="G91" s="11" t="s">
        <v>163</v>
      </c>
      <c r="H91" s="11" t="s">
        <v>194</v>
      </c>
      <c r="I91" s="10" t="s">
        <v>7</v>
      </c>
      <c r="J91" s="12">
        <v>46061</v>
      </c>
      <c r="K91" s="10" t="s">
        <v>195</v>
      </c>
      <c r="L91" s="11">
        <v>50</v>
      </c>
      <c r="M91" s="10" t="s">
        <v>166</v>
      </c>
      <c r="N91" s="11">
        <v>190012</v>
      </c>
      <c r="O91" s="66"/>
      <c r="P91" s="66"/>
      <c r="Q91" s="7"/>
    </row>
    <row r="92" spans="1:17" ht="16.5">
      <c r="A92" s="11">
        <v>190011</v>
      </c>
      <c r="B92" s="11">
        <v>163925</v>
      </c>
      <c r="C92" s="10" t="s">
        <v>200</v>
      </c>
      <c r="D92" s="10" t="s">
        <v>191</v>
      </c>
      <c r="E92" s="10" t="s">
        <v>211</v>
      </c>
      <c r="F92" s="10" t="s">
        <v>193</v>
      </c>
      <c r="G92" s="11" t="s">
        <v>163</v>
      </c>
      <c r="H92" s="11" t="s">
        <v>194</v>
      </c>
      <c r="I92" s="10" t="s">
        <v>7</v>
      </c>
      <c r="J92" s="12">
        <v>46061</v>
      </c>
      <c r="K92" s="10" t="s">
        <v>195</v>
      </c>
      <c r="L92" s="11">
        <v>50</v>
      </c>
      <c r="M92" s="10" t="s">
        <v>166</v>
      </c>
      <c r="N92" s="11">
        <v>190011</v>
      </c>
      <c r="O92" s="66"/>
      <c r="P92" s="66"/>
      <c r="Q92" s="7"/>
    </row>
    <row r="93" spans="1:17" ht="16.5">
      <c r="A93" s="11">
        <v>190014</v>
      </c>
      <c r="B93" s="11">
        <v>163925</v>
      </c>
      <c r="C93" s="10" t="s">
        <v>200</v>
      </c>
      <c r="D93" s="10" t="s">
        <v>191</v>
      </c>
      <c r="E93" s="10" t="s">
        <v>211</v>
      </c>
      <c r="F93" s="10" t="s">
        <v>202</v>
      </c>
      <c r="G93" s="11" t="s">
        <v>163</v>
      </c>
      <c r="H93" s="11" t="s">
        <v>194</v>
      </c>
      <c r="I93" s="10" t="s">
        <v>7</v>
      </c>
      <c r="J93" s="12">
        <v>46061</v>
      </c>
      <c r="K93" s="10" t="s">
        <v>195</v>
      </c>
      <c r="L93" s="11">
        <v>50</v>
      </c>
      <c r="M93" s="10" t="s">
        <v>166</v>
      </c>
      <c r="N93" s="11">
        <v>190014</v>
      </c>
      <c r="O93" s="66"/>
      <c r="P93" s="66"/>
      <c r="Q93" s="7"/>
    </row>
    <row r="94" spans="1:17" ht="16.5">
      <c r="A94" s="11">
        <v>190015</v>
      </c>
      <c r="B94" s="11">
        <v>163925</v>
      </c>
      <c r="C94" s="10" t="s">
        <v>200</v>
      </c>
      <c r="D94" s="10" t="s">
        <v>191</v>
      </c>
      <c r="E94" s="10" t="s">
        <v>211</v>
      </c>
      <c r="F94" s="10" t="s">
        <v>199</v>
      </c>
      <c r="G94" s="11" t="s">
        <v>163</v>
      </c>
      <c r="H94" s="11" t="s">
        <v>194</v>
      </c>
      <c r="I94" s="10" t="s">
        <v>7</v>
      </c>
      <c r="J94" s="12">
        <v>46061</v>
      </c>
      <c r="K94" s="10" t="s">
        <v>195</v>
      </c>
      <c r="L94" s="11">
        <v>50</v>
      </c>
      <c r="M94" s="10" t="s">
        <v>166</v>
      </c>
      <c r="N94" s="11">
        <v>190015</v>
      </c>
      <c r="O94" s="66"/>
      <c r="P94" s="66"/>
      <c r="Q94" s="7"/>
    </row>
    <row r="95" spans="1:17" ht="16.5">
      <c r="A95" s="11">
        <v>190032</v>
      </c>
      <c r="B95" s="11">
        <v>165279</v>
      </c>
      <c r="C95" s="10" t="s">
        <v>212</v>
      </c>
      <c r="D95" s="10" t="s">
        <v>213</v>
      </c>
      <c r="E95" s="10" t="s">
        <v>214</v>
      </c>
      <c r="F95" s="10" t="s">
        <v>169</v>
      </c>
      <c r="G95" s="11" t="s">
        <v>163</v>
      </c>
      <c r="H95" s="11" t="s">
        <v>194</v>
      </c>
      <c r="I95" s="10" t="s">
        <v>215</v>
      </c>
      <c r="J95" s="12">
        <v>46057</v>
      </c>
      <c r="K95" s="10" t="s">
        <v>11</v>
      </c>
      <c r="L95" s="11">
        <v>5</v>
      </c>
      <c r="M95" s="10" t="s">
        <v>166</v>
      </c>
      <c r="N95" s="11">
        <v>190032</v>
      </c>
      <c r="O95" s="66"/>
      <c r="P95" s="66"/>
      <c r="Q95" s="7"/>
    </row>
    <row r="96" spans="1:17" ht="16.5">
      <c r="A96" s="11">
        <v>190033</v>
      </c>
      <c r="B96" s="11">
        <v>165279</v>
      </c>
      <c r="C96" s="10" t="s">
        <v>212</v>
      </c>
      <c r="D96" s="10" t="s">
        <v>213</v>
      </c>
      <c r="E96" s="10" t="s">
        <v>214</v>
      </c>
      <c r="F96" s="10" t="s">
        <v>182</v>
      </c>
      <c r="G96" s="11" t="s">
        <v>163</v>
      </c>
      <c r="H96" s="11" t="s">
        <v>194</v>
      </c>
      <c r="I96" s="10" t="s">
        <v>215</v>
      </c>
      <c r="J96" s="12">
        <v>46057</v>
      </c>
      <c r="K96" s="10" t="s">
        <v>11</v>
      </c>
      <c r="L96" s="11">
        <v>44</v>
      </c>
      <c r="M96" s="10" t="s">
        <v>166</v>
      </c>
      <c r="N96" s="11">
        <v>190033</v>
      </c>
      <c r="O96" s="66"/>
      <c r="P96" s="66"/>
      <c r="Q96" s="7"/>
    </row>
    <row r="97" spans="1:17" ht="16.5">
      <c r="A97" s="11">
        <v>190035</v>
      </c>
      <c r="B97" s="11">
        <v>165279</v>
      </c>
      <c r="C97" s="10" t="s">
        <v>212</v>
      </c>
      <c r="D97" s="10" t="s">
        <v>213</v>
      </c>
      <c r="E97" s="10" t="s">
        <v>214</v>
      </c>
      <c r="F97" s="10" t="s">
        <v>180</v>
      </c>
      <c r="G97" s="11" t="s">
        <v>163</v>
      </c>
      <c r="H97" s="11" t="s">
        <v>194</v>
      </c>
      <c r="I97" s="10" t="s">
        <v>215</v>
      </c>
      <c r="J97" s="12">
        <v>46057</v>
      </c>
      <c r="K97" s="10" t="s">
        <v>11</v>
      </c>
      <c r="L97" s="11">
        <v>47</v>
      </c>
      <c r="M97" s="10" t="s">
        <v>166</v>
      </c>
      <c r="N97" s="11">
        <v>190035</v>
      </c>
      <c r="O97" s="66"/>
      <c r="P97" s="66"/>
      <c r="Q97" s="7"/>
    </row>
    <row r="98" spans="1:17" ht="16.5">
      <c r="A98" s="11">
        <v>190034</v>
      </c>
      <c r="B98" s="11">
        <v>165279</v>
      </c>
      <c r="C98" s="10" t="s">
        <v>212</v>
      </c>
      <c r="D98" s="10" t="s">
        <v>213</v>
      </c>
      <c r="E98" s="10" t="s">
        <v>214</v>
      </c>
      <c r="F98" s="10" t="s">
        <v>177</v>
      </c>
      <c r="G98" s="11" t="s">
        <v>163</v>
      </c>
      <c r="H98" s="11" t="s">
        <v>194</v>
      </c>
      <c r="I98" s="10" t="s">
        <v>215</v>
      </c>
      <c r="J98" s="12">
        <v>46057</v>
      </c>
      <c r="K98" s="10" t="s">
        <v>11</v>
      </c>
      <c r="L98" s="11">
        <v>41</v>
      </c>
      <c r="M98" s="10" t="s">
        <v>166</v>
      </c>
      <c r="N98" s="11">
        <v>190034</v>
      </c>
      <c r="O98" s="66"/>
      <c r="P98" s="66"/>
      <c r="Q98" s="7"/>
    </row>
    <row r="99" spans="1:17" ht="16.5">
      <c r="A99" s="11">
        <v>190036</v>
      </c>
      <c r="B99" s="11">
        <v>165279</v>
      </c>
      <c r="C99" s="10" t="s">
        <v>212</v>
      </c>
      <c r="D99" s="10" t="s">
        <v>213</v>
      </c>
      <c r="E99" s="10" t="s">
        <v>214</v>
      </c>
      <c r="F99" s="10" t="s">
        <v>162</v>
      </c>
      <c r="G99" s="11" t="s">
        <v>163</v>
      </c>
      <c r="H99" s="11" t="s">
        <v>194</v>
      </c>
      <c r="I99" s="10" t="s">
        <v>215</v>
      </c>
      <c r="J99" s="12">
        <v>46057</v>
      </c>
      <c r="K99" s="10" t="s">
        <v>11</v>
      </c>
      <c r="L99" s="11">
        <v>50</v>
      </c>
      <c r="M99" s="10" t="s">
        <v>166</v>
      </c>
      <c r="N99" s="11">
        <v>190036</v>
      </c>
      <c r="O99" s="66"/>
      <c r="P99" s="66"/>
      <c r="Q99" s="7"/>
    </row>
    <row r="100" spans="1:17" ht="16.5">
      <c r="A100" s="11">
        <v>190037</v>
      </c>
      <c r="B100" s="11">
        <v>165279</v>
      </c>
      <c r="C100" s="10" t="s">
        <v>212</v>
      </c>
      <c r="D100" s="10" t="s">
        <v>213</v>
      </c>
      <c r="E100" s="10" t="s">
        <v>214</v>
      </c>
      <c r="F100" s="10" t="s">
        <v>175</v>
      </c>
      <c r="G100" s="11" t="s">
        <v>163</v>
      </c>
      <c r="H100" s="11" t="s">
        <v>194</v>
      </c>
      <c r="I100" s="10" t="s">
        <v>215</v>
      </c>
      <c r="J100" s="12">
        <v>46057</v>
      </c>
      <c r="K100" s="10" t="s">
        <v>11</v>
      </c>
      <c r="L100" s="11">
        <v>41</v>
      </c>
      <c r="M100" s="10" t="s">
        <v>166</v>
      </c>
      <c r="N100" s="11">
        <v>190037</v>
      </c>
      <c r="O100" s="66"/>
      <c r="P100" s="66"/>
      <c r="Q100" s="7"/>
    </row>
    <row r="101" spans="1:17" ht="16.5">
      <c r="A101" s="11">
        <v>190029</v>
      </c>
      <c r="B101" s="11">
        <v>165279</v>
      </c>
      <c r="C101" s="10" t="s">
        <v>212</v>
      </c>
      <c r="D101" s="10" t="s">
        <v>213</v>
      </c>
      <c r="E101" s="10" t="s">
        <v>214</v>
      </c>
      <c r="F101" s="10" t="s">
        <v>176</v>
      </c>
      <c r="G101" s="11" t="s">
        <v>163</v>
      </c>
      <c r="H101" s="11" t="s">
        <v>194</v>
      </c>
      <c r="I101" s="10" t="s">
        <v>215</v>
      </c>
      <c r="J101" s="12">
        <v>46057</v>
      </c>
      <c r="K101" s="10" t="s">
        <v>11</v>
      </c>
      <c r="L101" s="11">
        <v>44</v>
      </c>
      <c r="M101" s="10" t="s">
        <v>166</v>
      </c>
      <c r="N101" s="11">
        <v>190029</v>
      </c>
      <c r="O101" s="66"/>
      <c r="P101" s="66"/>
      <c r="Q101" s="7"/>
    </row>
    <row r="102" spans="1:17" ht="16.5">
      <c r="A102" s="11">
        <v>190030</v>
      </c>
      <c r="B102" s="11">
        <v>165279</v>
      </c>
      <c r="C102" s="10" t="s">
        <v>212</v>
      </c>
      <c r="D102" s="10" t="s">
        <v>213</v>
      </c>
      <c r="E102" s="10" t="s">
        <v>214</v>
      </c>
      <c r="F102" s="10" t="s">
        <v>170</v>
      </c>
      <c r="G102" s="11" t="s">
        <v>163</v>
      </c>
      <c r="H102" s="11" t="s">
        <v>194</v>
      </c>
      <c r="I102" s="10" t="s">
        <v>215</v>
      </c>
      <c r="J102" s="12">
        <v>46057</v>
      </c>
      <c r="K102" s="10" t="s">
        <v>11</v>
      </c>
      <c r="L102" s="11">
        <v>42</v>
      </c>
      <c r="M102" s="10" t="s">
        <v>166</v>
      </c>
      <c r="N102" s="11">
        <v>190030</v>
      </c>
      <c r="O102" s="66"/>
      <c r="P102" s="66"/>
      <c r="Q102" s="7"/>
    </row>
    <row r="103" spans="1:17" ht="16.5">
      <c r="A103" s="11">
        <v>190039</v>
      </c>
      <c r="B103" s="11">
        <v>165279</v>
      </c>
      <c r="C103" s="10" t="s">
        <v>212</v>
      </c>
      <c r="D103" s="10" t="s">
        <v>213</v>
      </c>
      <c r="E103" s="10" t="s">
        <v>214</v>
      </c>
      <c r="F103" s="10" t="s">
        <v>181</v>
      </c>
      <c r="G103" s="11" t="s">
        <v>163</v>
      </c>
      <c r="H103" s="11" t="s">
        <v>194</v>
      </c>
      <c r="I103" s="10" t="s">
        <v>215</v>
      </c>
      <c r="J103" s="12">
        <v>46057</v>
      </c>
      <c r="K103" s="10" t="s">
        <v>11</v>
      </c>
      <c r="L103" s="11">
        <v>44</v>
      </c>
      <c r="M103" s="10" t="s">
        <v>166</v>
      </c>
      <c r="N103" s="11">
        <v>190039</v>
      </c>
      <c r="O103" s="66"/>
      <c r="P103" s="66"/>
      <c r="Q103" s="7"/>
    </row>
    <row r="104" spans="1:17" ht="16.5">
      <c r="A104" s="11">
        <v>190038</v>
      </c>
      <c r="B104" s="11">
        <v>165279</v>
      </c>
      <c r="C104" s="10" t="s">
        <v>212</v>
      </c>
      <c r="D104" s="10" t="s">
        <v>213</v>
      </c>
      <c r="E104" s="10" t="s">
        <v>214</v>
      </c>
      <c r="F104" s="10" t="s">
        <v>172</v>
      </c>
      <c r="G104" s="11" t="s">
        <v>163</v>
      </c>
      <c r="H104" s="11" t="s">
        <v>194</v>
      </c>
      <c r="I104" s="10" t="s">
        <v>215</v>
      </c>
      <c r="J104" s="12">
        <v>46057</v>
      </c>
      <c r="K104" s="10" t="s">
        <v>11</v>
      </c>
      <c r="L104" s="11">
        <v>40</v>
      </c>
      <c r="M104" s="10" t="s">
        <v>166</v>
      </c>
      <c r="N104" s="11">
        <v>190038</v>
      </c>
      <c r="O104" s="66"/>
      <c r="P104" s="66"/>
      <c r="Q104" s="7"/>
    </row>
    <row r="105" spans="1:17" ht="16.5">
      <c r="A105" s="11">
        <v>190040</v>
      </c>
      <c r="B105" s="11">
        <v>165279</v>
      </c>
      <c r="C105" s="10" t="s">
        <v>212</v>
      </c>
      <c r="D105" s="10" t="s">
        <v>213</v>
      </c>
      <c r="E105" s="10" t="s">
        <v>214</v>
      </c>
      <c r="F105" s="10" t="s">
        <v>179</v>
      </c>
      <c r="G105" s="11" t="s">
        <v>163</v>
      </c>
      <c r="H105" s="11" t="s">
        <v>194</v>
      </c>
      <c r="I105" s="10" t="s">
        <v>215</v>
      </c>
      <c r="J105" s="12">
        <v>46057</v>
      </c>
      <c r="K105" s="10" t="s">
        <v>12</v>
      </c>
      <c r="L105" s="11">
        <v>44</v>
      </c>
      <c r="M105" s="10" t="s">
        <v>166</v>
      </c>
      <c r="N105" s="11">
        <v>190040</v>
      </c>
      <c r="O105" s="66"/>
      <c r="P105" s="66"/>
      <c r="Q105" s="7"/>
    </row>
    <row r="106" spans="1:17" ht="16.5">
      <c r="A106" s="11">
        <v>190031</v>
      </c>
      <c r="B106" s="11">
        <v>165279</v>
      </c>
      <c r="C106" s="10" t="s">
        <v>212</v>
      </c>
      <c r="D106" s="10" t="s">
        <v>213</v>
      </c>
      <c r="E106" s="10" t="s">
        <v>214</v>
      </c>
      <c r="F106" s="10" t="s">
        <v>174</v>
      </c>
      <c r="G106" s="11" t="s">
        <v>163</v>
      </c>
      <c r="H106" s="11" t="s">
        <v>194</v>
      </c>
      <c r="I106" s="10" t="s">
        <v>215</v>
      </c>
      <c r="J106" s="12">
        <v>46057</v>
      </c>
      <c r="K106" s="10" t="s">
        <v>12</v>
      </c>
      <c r="L106" s="11">
        <v>40</v>
      </c>
      <c r="M106" s="10" t="s">
        <v>166</v>
      </c>
      <c r="N106" s="11">
        <v>190031</v>
      </c>
      <c r="O106" s="66"/>
      <c r="P106" s="66"/>
      <c r="Q106" s="7"/>
    </row>
    <row r="107" spans="1:17" ht="16.5">
      <c r="A107" s="11">
        <v>190042</v>
      </c>
      <c r="B107" s="11">
        <v>165279</v>
      </c>
      <c r="C107" s="10" t="s">
        <v>212</v>
      </c>
      <c r="D107" s="10" t="s">
        <v>213</v>
      </c>
      <c r="E107" s="10" t="s">
        <v>214</v>
      </c>
      <c r="F107" s="10" t="s">
        <v>171</v>
      </c>
      <c r="G107" s="11" t="s">
        <v>163</v>
      </c>
      <c r="H107" s="11" t="s">
        <v>194</v>
      </c>
      <c r="I107" s="10" t="s">
        <v>215</v>
      </c>
      <c r="J107" s="12">
        <v>46057</v>
      </c>
      <c r="K107" s="10" t="s">
        <v>12</v>
      </c>
      <c r="L107" s="11">
        <v>42</v>
      </c>
      <c r="M107" s="10" t="s">
        <v>166</v>
      </c>
      <c r="N107" s="11">
        <v>190042</v>
      </c>
      <c r="O107" s="66"/>
      <c r="P107" s="66"/>
      <c r="Q107" s="7"/>
    </row>
    <row r="108" spans="1:17" ht="16.5">
      <c r="A108" s="11">
        <v>190041</v>
      </c>
      <c r="B108" s="11">
        <v>165279</v>
      </c>
      <c r="C108" s="10" t="s">
        <v>212</v>
      </c>
      <c r="D108" s="10" t="s">
        <v>213</v>
      </c>
      <c r="E108" s="10" t="s">
        <v>214</v>
      </c>
      <c r="F108" s="10" t="s">
        <v>168</v>
      </c>
      <c r="G108" s="11" t="s">
        <v>163</v>
      </c>
      <c r="H108" s="11" t="s">
        <v>194</v>
      </c>
      <c r="I108" s="10" t="s">
        <v>215</v>
      </c>
      <c r="J108" s="12">
        <v>46057</v>
      </c>
      <c r="K108" s="10" t="s">
        <v>12</v>
      </c>
      <c r="L108" s="11">
        <v>40</v>
      </c>
      <c r="M108" s="10" t="s">
        <v>166</v>
      </c>
      <c r="N108" s="11">
        <v>190041</v>
      </c>
      <c r="O108" s="66"/>
      <c r="P108" s="66"/>
      <c r="Q108" s="7"/>
    </row>
    <row r="109" spans="1:17" ht="16.5">
      <c r="A109" s="11">
        <v>190073</v>
      </c>
      <c r="B109" s="11">
        <v>161538</v>
      </c>
      <c r="C109" s="10" t="s">
        <v>216</v>
      </c>
      <c r="D109" s="10" t="s">
        <v>217</v>
      </c>
      <c r="E109" s="10" t="s">
        <v>218</v>
      </c>
      <c r="F109" s="10" t="s">
        <v>169</v>
      </c>
      <c r="G109" s="11" t="s">
        <v>163</v>
      </c>
      <c r="H109" s="11" t="s">
        <v>194</v>
      </c>
      <c r="I109" s="10" t="s">
        <v>215</v>
      </c>
      <c r="J109" s="12">
        <v>46057</v>
      </c>
      <c r="K109" s="10" t="s">
        <v>14</v>
      </c>
      <c r="L109" s="11">
        <v>39</v>
      </c>
      <c r="M109" s="10" t="s">
        <v>166</v>
      </c>
      <c r="N109" s="11">
        <v>190073</v>
      </c>
      <c r="O109" s="66"/>
      <c r="P109" s="66"/>
      <c r="Q109" s="7"/>
    </row>
    <row r="110" spans="1:17" ht="16.5">
      <c r="A110" s="11">
        <v>190074</v>
      </c>
      <c r="B110" s="11">
        <v>162409</v>
      </c>
      <c r="C110" s="10" t="s">
        <v>216</v>
      </c>
      <c r="D110" s="10" t="s">
        <v>217</v>
      </c>
      <c r="E110" s="10" t="s">
        <v>219</v>
      </c>
      <c r="F110" s="10" t="s">
        <v>196</v>
      </c>
      <c r="G110" s="11" t="s">
        <v>163</v>
      </c>
      <c r="H110" s="11" t="s">
        <v>194</v>
      </c>
      <c r="I110" s="10" t="s">
        <v>215</v>
      </c>
      <c r="J110" s="12">
        <v>46057</v>
      </c>
      <c r="K110" s="10" t="s">
        <v>13</v>
      </c>
      <c r="L110" s="11">
        <v>62</v>
      </c>
      <c r="M110" s="10" t="s">
        <v>166</v>
      </c>
      <c r="N110" s="11">
        <v>190074</v>
      </c>
      <c r="O110" s="66"/>
      <c r="P110" s="66"/>
      <c r="Q110" s="7"/>
    </row>
    <row r="111" spans="1:17" ht="16.5">
      <c r="A111" s="11">
        <v>190075</v>
      </c>
      <c r="B111" s="11">
        <v>162409</v>
      </c>
      <c r="C111" s="10" t="s">
        <v>216</v>
      </c>
      <c r="D111" s="10" t="s">
        <v>217</v>
      </c>
      <c r="E111" s="10" t="s">
        <v>219</v>
      </c>
      <c r="F111" s="10" t="s">
        <v>193</v>
      </c>
      <c r="G111" s="11" t="s">
        <v>163</v>
      </c>
      <c r="H111" s="11" t="s">
        <v>194</v>
      </c>
      <c r="I111" s="10" t="s">
        <v>215</v>
      </c>
      <c r="J111" s="12">
        <v>46057</v>
      </c>
      <c r="K111" s="10" t="s">
        <v>13</v>
      </c>
      <c r="L111" s="11">
        <v>62</v>
      </c>
      <c r="M111" s="10" t="s">
        <v>166</v>
      </c>
      <c r="N111" s="11">
        <v>190075</v>
      </c>
      <c r="O111" s="66"/>
      <c r="P111" s="66"/>
      <c r="Q111" s="7"/>
    </row>
    <row r="112" spans="1:17" ht="16.5">
      <c r="A112" s="11">
        <v>190076</v>
      </c>
      <c r="B112" s="11">
        <v>162410</v>
      </c>
      <c r="C112" s="10" t="s">
        <v>216</v>
      </c>
      <c r="D112" s="10" t="s">
        <v>217</v>
      </c>
      <c r="E112" s="10" t="s">
        <v>220</v>
      </c>
      <c r="F112" s="10" t="s">
        <v>193</v>
      </c>
      <c r="G112" s="11" t="s">
        <v>163</v>
      </c>
      <c r="H112" s="11" t="s">
        <v>194</v>
      </c>
      <c r="I112" s="10" t="s">
        <v>215</v>
      </c>
      <c r="J112" s="12">
        <v>46057</v>
      </c>
      <c r="K112" s="10" t="s">
        <v>13</v>
      </c>
      <c r="L112" s="11">
        <v>62</v>
      </c>
      <c r="M112" s="10" t="s">
        <v>166</v>
      </c>
      <c r="N112" s="11">
        <v>190076</v>
      </c>
      <c r="O112" s="66"/>
      <c r="P112" s="66"/>
      <c r="Q112" s="7"/>
    </row>
    <row r="113" spans="1:17" ht="16.5">
      <c r="A113" s="11">
        <v>190077</v>
      </c>
      <c r="B113" s="11">
        <v>162410</v>
      </c>
      <c r="C113" s="10" t="s">
        <v>216</v>
      </c>
      <c r="D113" s="10" t="s">
        <v>217</v>
      </c>
      <c r="E113" s="10" t="s">
        <v>220</v>
      </c>
      <c r="F113" s="10" t="s">
        <v>196</v>
      </c>
      <c r="G113" s="11" t="s">
        <v>163</v>
      </c>
      <c r="H113" s="11" t="s">
        <v>194</v>
      </c>
      <c r="I113" s="10" t="s">
        <v>215</v>
      </c>
      <c r="J113" s="12">
        <v>46057</v>
      </c>
      <c r="K113" s="10" t="s">
        <v>13</v>
      </c>
      <c r="L113" s="11">
        <v>62</v>
      </c>
      <c r="M113" s="10" t="s">
        <v>166</v>
      </c>
      <c r="N113" s="11">
        <v>190077</v>
      </c>
      <c r="O113" s="66"/>
      <c r="P113" s="66"/>
      <c r="Q113" s="7"/>
    </row>
    <row r="114" spans="1:17" ht="16.5">
      <c r="A114" s="11">
        <v>190085</v>
      </c>
      <c r="B114" s="11">
        <v>161737</v>
      </c>
      <c r="C114" s="10" t="s">
        <v>221</v>
      </c>
      <c r="D114" s="10" t="s">
        <v>217</v>
      </c>
      <c r="E114" s="10" t="s">
        <v>222</v>
      </c>
      <c r="F114" s="10" t="s">
        <v>169</v>
      </c>
      <c r="G114" s="11" t="s">
        <v>163</v>
      </c>
      <c r="H114" s="11" t="s">
        <v>194</v>
      </c>
      <c r="I114" s="10" t="s">
        <v>215</v>
      </c>
      <c r="J114" s="12">
        <v>46057</v>
      </c>
      <c r="K114" s="10" t="s">
        <v>13</v>
      </c>
      <c r="L114" s="11">
        <v>45</v>
      </c>
      <c r="M114" s="10" t="s">
        <v>166</v>
      </c>
      <c r="N114" s="11">
        <v>190085</v>
      </c>
      <c r="O114" s="66"/>
      <c r="P114" s="66"/>
      <c r="Q114" s="7"/>
    </row>
    <row r="115" spans="1:17" ht="16.5">
      <c r="A115" s="11">
        <v>190086</v>
      </c>
      <c r="B115" s="11">
        <v>161738</v>
      </c>
      <c r="C115" s="10" t="s">
        <v>221</v>
      </c>
      <c r="D115" s="10" t="s">
        <v>217</v>
      </c>
      <c r="E115" s="10" t="s">
        <v>222</v>
      </c>
      <c r="F115" s="10" t="s">
        <v>169</v>
      </c>
      <c r="G115" s="11" t="s">
        <v>163</v>
      </c>
      <c r="H115" s="11" t="s">
        <v>194</v>
      </c>
      <c r="I115" s="10" t="s">
        <v>215</v>
      </c>
      <c r="J115" s="12">
        <v>46057</v>
      </c>
      <c r="K115" s="10" t="s">
        <v>13</v>
      </c>
      <c r="L115" s="11">
        <v>58</v>
      </c>
      <c r="M115" s="10" t="s">
        <v>166</v>
      </c>
      <c r="N115" s="11">
        <v>190086</v>
      </c>
      <c r="O115" s="66"/>
      <c r="P115" s="66"/>
      <c r="Q115" s="7"/>
    </row>
    <row r="116" spans="1:17" ht="16.5">
      <c r="A116" s="11">
        <v>190087</v>
      </c>
      <c r="B116" s="11">
        <v>161113</v>
      </c>
      <c r="C116" s="10" t="s">
        <v>223</v>
      </c>
      <c r="D116" s="10" t="s">
        <v>217</v>
      </c>
      <c r="E116" s="10" t="s">
        <v>224</v>
      </c>
      <c r="F116" s="10" t="s">
        <v>169</v>
      </c>
      <c r="G116" s="11" t="s">
        <v>163</v>
      </c>
      <c r="H116" s="11" t="s">
        <v>194</v>
      </c>
      <c r="I116" s="10" t="s">
        <v>215</v>
      </c>
      <c r="J116" s="12">
        <v>46057</v>
      </c>
      <c r="K116" s="10" t="s">
        <v>13</v>
      </c>
      <c r="L116" s="11">
        <v>40</v>
      </c>
      <c r="M116" s="10" t="s">
        <v>166</v>
      </c>
      <c r="N116" s="11">
        <v>190087</v>
      </c>
      <c r="O116" s="66"/>
      <c r="P116" s="66"/>
      <c r="Q116" s="7"/>
    </row>
    <row r="117" spans="1:17" ht="16.5">
      <c r="A117" s="11">
        <v>190093</v>
      </c>
      <c r="B117" s="11">
        <v>161552</v>
      </c>
      <c r="C117" s="10" t="s">
        <v>225</v>
      </c>
      <c r="D117" s="10" t="s">
        <v>226</v>
      </c>
      <c r="E117" s="10" t="s">
        <v>227</v>
      </c>
      <c r="F117" s="10" t="s">
        <v>169</v>
      </c>
      <c r="G117" s="11" t="s">
        <v>163</v>
      </c>
      <c r="H117" s="11" t="s">
        <v>228</v>
      </c>
      <c r="I117" s="10" t="s">
        <v>215</v>
      </c>
      <c r="J117" s="12">
        <v>46043</v>
      </c>
      <c r="K117" s="10" t="s">
        <v>11</v>
      </c>
      <c r="L117" s="11">
        <v>49</v>
      </c>
      <c r="M117" s="10" t="s">
        <v>166</v>
      </c>
      <c r="N117" s="11">
        <v>190093</v>
      </c>
      <c r="O117" s="66"/>
      <c r="P117" s="66"/>
      <c r="Q117" s="7"/>
    </row>
    <row r="118" spans="1:17" ht="16.5">
      <c r="A118" s="11">
        <v>190096</v>
      </c>
      <c r="B118" s="11">
        <v>162255</v>
      </c>
      <c r="C118" s="10" t="s">
        <v>225</v>
      </c>
      <c r="D118" s="10" t="s">
        <v>226</v>
      </c>
      <c r="E118" s="10" t="s">
        <v>229</v>
      </c>
      <c r="F118" s="10" t="s">
        <v>196</v>
      </c>
      <c r="G118" s="11" t="s">
        <v>163</v>
      </c>
      <c r="H118" s="11" t="s">
        <v>228</v>
      </c>
      <c r="I118" s="10" t="s">
        <v>215</v>
      </c>
      <c r="J118" s="12">
        <v>46043</v>
      </c>
      <c r="K118" s="10" t="s">
        <v>13</v>
      </c>
      <c r="L118" s="11">
        <v>50</v>
      </c>
      <c r="M118" s="10" t="s">
        <v>166</v>
      </c>
      <c r="N118" s="11">
        <v>190096</v>
      </c>
      <c r="O118" s="66"/>
      <c r="P118" s="66"/>
      <c r="Q118" s="7"/>
    </row>
    <row r="119" spans="1:17" ht="16.5">
      <c r="A119" s="11">
        <v>190094</v>
      </c>
      <c r="B119" s="11">
        <v>162255</v>
      </c>
      <c r="C119" s="10" t="s">
        <v>225</v>
      </c>
      <c r="D119" s="10" t="s">
        <v>226</v>
      </c>
      <c r="E119" s="10" t="s">
        <v>229</v>
      </c>
      <c r="F119" s="10" t="s">
        <v>193</v>
      </c>
      <c r="G119" s="11" t="s">
        <v>163</v>
      </c>
      <c r="H119" s="11" t="s">
        <v>228</v>
      </c>
      <c r="I119" s="10" t="s">
        <v>215</v>
      </c>
      <c r="J119" s="12">
        <v>46043</v>
      </c>
      <c r="K119" s="10" t="s">
        <v>13</v>
      </c>
      <c r="L119" s="11">
        <v>51</v>
      </c>
      <c r="M119" s="10" t="s">
        <v>166</v>
      </c>
      <c r="N119" s="11">
        <v>190094</v>
      </c>
      <c r="O119" s="66"/>
      <c r="P119" s="66"/>
      <c r="Q119" s="7"/>
    </row>
    <row r="120" spans="1:17" ht="16.5">
      <c r="A120" s="11">
        <v>190095</v>
      </c>
      <c r="B120" s="11">
        <v>162255</v>
      </c>
      <c r="C120" s="10" t="s">
        <v>225</v>
      </c>
      <c r="D120" s="10" t="s">
        <v>226</v>
      </c>
      <c r="E120" s="10" t="s">
        <v>229</v>
      </c>
      <c r="F120" s="10" t="s">
        <v>197</v>
      </c>
      <c r="G120" s="11" t="s">
        <v>163</v>
      </c>
      <c r="H120" s="11" t="s">
        <v>228</v>
      </c>
      <c r="I120" s="10" t="s">
        <v>215</v>
      </c>
      <c r="J120" s="12">
        <v>46043</v>
      </c>
      <c r="K120" s="10" t="s">
        <v>14</v>
      </c>
      <c r="L120" s="11">
        <v>50</v>
      </c>
      <c r="M120" s="10" t="s">
        <v>166</v>
      </c>
      <c r="N120" s="11">
        <v>190095</v>
      </c>
      <c r="O120" s="66"/>
      <c r="P120" s="66"/>
      <c r="Q120" s="7"/>
    </row>
    <row r="121" spans="1:17" ht="16.5">
      <c r="A121" s="11">
        <v>190099</v>
      </c>
      <c r="B121" s="11">
        <v>162256</v>
      </c>
      <c r="C121" s="10" t="s">
        <v>225</v>
      </c>
      <c r="D121" s="10" t="s">
        <v>226</v>
      </c>
      <c r="E121" s="10" t="s">
        <v>229</v>
      </c>
      <c r="F121" s="10" t="s">
        <v>193</v>
      </c>
      <c r="G121" s="11" t="s">
        <v>163</v>
      </c>
      <c r="H121" s="11" t="s">
        <v>228</v>
      </c>
      <c r="I121" s="10" t="s">
        <v>215</v>
      </c>
      <c r="J121" s="12">
        <v>46043</v>
      </c>
      <c r="K121" s="10" t="s">
        <v>14</v>
      </c>
      <c r="L121" s="11">
        <v>50</v>
      </c>
      <c r="M121" s="10" t="s">
        <v>166</v>
      </c>
      <c r="N121" s="11">
        <v>190099</v>
      </c>
      <c r="O121" s="66"/>
      <c r="P121" s="66"/>
      <c r="Q121" s="7"/>
    </row>
    <row r="122" spans="1:17" ht="16.5">
      <c r="A122" s="11">
        <v>190098</v>
      </c>
      <c r="B122" s="11">
        <v>162256</v>
      </c>
      <c r="C122" s="10" t="s">
        <v>225</v>
      </c>
      <c r="D122" s="10" t="s">
        <v>226</v>
      </c>
      <c r="E122" s="10" t="s">
        <v>229</v>
      </c>
      <c r="F122" s="10" t="s">
        <v>196</v>
      </c>
      <c r="G122" s="11" t="s">
        <v>163</v>
      </c>
      <c r="H122" s="11" t="s">
        <v>228</v>
      </c>
      <c r="I122" s="10" t="s">
        <v>215</v>
      </c>
      <c r="J122" s="12">
        <v>46043</v>
      </c>
      <c r="K122" s="10" t="s">
        <v>15</v>
      </c>
      <c r="L122" s="11">
        <v>49</v>
      </c>
      <c r="M122" s="10" t="s">
        <v>166</v>
      </c>
      <c r="N122" s="11">
        <v>190098</v>
      </c>
      <c r="O122" s="66"/>
      <c r="P122" s="66"/>
      <c r="Q122" s="7"/>
    </row>
    <row r="123" spans="1:17" ht="16.5">
      <c r="A123" s="11">
        <v>190097</v>
      </c>
      <c r="B123" s="11">
        <v>162256</v>
      </c>
      <c r="C123" s="10" t="s">
        <v>225</v>
      </c>
      <c r="D123" s="10" t="s">
        <v>226</v>
      </c>
      <c r="E123" s="10" t="s">
        <v>229</v>
      </c>
      <c r="F123" s="10" t="s">
        <v>197</v>
      </c>
      <c r="G123" s="11" t="s">
        <v>163</v>
      </c>
      <c r="H123" s="11" t="s">
        <v>228</v>
      </c>
      <c r="I123" s="10" t="s">
        <v>215</v>
      </c>
      <c r="J123" s="12">
        <v>46043</v>
      </c>
      <c r="K123" s="10" t="s">
        <v>15</v>
      </c>
      <c r="L123" s="11">
        <v>49</v>
      </c>
      <c r="M123" s="10" t="s">
        <v>166</v>
      </c>
      <c r="N123" s="11">
        <v>190097</v>
      </c>
      <c r="O123" s="66"/>
      <c r="P123" s="66"/>
      <c r="Q123" s="7"/>
    </row>
    <row r="124" spans="1:17" ht="16.5">
      <c r="A124" s="11">
        <v>190100</v>
      </c>
      <c r="B124" s="11">
        <v>162257</v>
      </c>
      <c r="C124" s="10" t="s">
        <v>225</v>
      </c>
      <c r="D124" s="10" t="s">
        <v>226</v>
      </c>
      <c r="E124" s="10" t="s">
        <v>229</v>
      </c>
      <c r="F124" s="10" t="s">
        <v>196</v>
      </c>
      <c r="G124" s="11" t="s">
        <v>163</v>
      </c>
      <c r="H124" s="11" t="s">
        <v>228</v>
      </c>
      <c r="I124" s="10" t="s">
        <v>215</v>
      </c>
      <c r="J124" s="12">
        <v>46043</v>
      </c>
      <c r="K124" s="10" t="s">
        <v>15</v>
      </c>
      <c r="L124" s="11">
        <v>50</v>
      </c>
      <c r="M124" s="10" t="s">
        <v>166</v>
      </c>
      <c r="N124" s="11">
        <v>190100</v>
      </c>
      <c r="O124" s="66"/>
      <c r="P124" s="66"/>
      <c r="Q124" s="7"/>
    </row>
    <row r="125" spans="1:17" ht="16.5">
      <c r="A125" s="11">
        <v>190101</v>
      </c>
      <c r="B125" s="11">
        <v>162257</v>
      </c>
      <c r="C125" s="10" t="s">
        <v>225</v>
      </c>
      <c r="D125" s="10" t="s">
        <v>226</v>
      </c>
      <c r="E125" s="10" t="s">
        <v>229</v>
      </c>
      <c r="F125" s="10" t="s">
        <v>193</v>
      </c>
      <c r="G125" s="11" t="s">
        <v>163</v>
      </c>
      <c r="H125" s="11" t="s">
        <v>228</v>
      </c>
      <c r="I125" s="10" t="s">
        <v>215</v>
      </c>
      <c r="J125" s="12">
        <v>46043</v>
      </c>
      <c r="K125" s="10" t="s">
        <v>15</v>
      </c>
      <c r="L125" s="11">
        <v>50</v>
      </c>
      <c r="M125" s="10" t="s">
        <v>166</v>
      </c>
      <c r="N125" s="11">
        <v>190101</v>
      </c>
      <c r="O125" s="66"/>
      <c r="P125" s="66"/>
      <c r="Q125" s="7"/>
    </row>
    <row r="126" spans="1:17" ht="16.5">
      <c r="A126" s="11">
        <v>190102</v>
      </c>
      <c r="B126" s="11">
        <v>162257</v>
      </c>
      <c r="C126" s="10" t="s">
        <v>225</v>
      </c>
      <c r="D126" s="10" t="s">
        <v>226</v>
      </c>
      <c r="E126" s="10" t="s">
        <v>229</v>
      </c>
      <c r="F126" s="10" t="s">
        <v>197</v>
      </c>
      <c r="G126" s="11" t="s">
        <v>163</v>
      </c>
      <c r="H126" s="11" t="s">
        <v>228</v>
      </c>
      <c r="I126" s="10" t="s">
        <v>215</v>
      </c>
      <c r="J126" s="12">
        <v>46043</v>
      </c>
      <c r="K126" s="10" t="s">
        <v>15</v>
      </c>
      <c r="L126" s="11">
        <v>49</v>
      </c>
      <c r="M126" s="10" t="s">
        <v>166</v>
      </c>
      <c r="N126" s="11">
        <v>190102</v>
      </c>
      <c r="O126" s="66"/>
      <c r="P126" s="66"/>
      <c r="Q126" s="7"/>
    </row>
    <row r="127" spans="1:17" ht="16.5">
      <c r="A127" s="11">
        <v>190105</v>
      </c>
      <c r="B127" s="11">
        <v>162258</v>
      </c>
      <c r="C127" s="10" t="s">
        <v>225</v>
      </c>
      <c r="D127" s="10" t="s">
        <v>226</v>
      </c>
      <c r="E127" s="10" t="s">
        <v>229</v>
      </c>
      <c r="F127" s="10" t="s">
        <v>193</v>
      </c>
      <c r="G127" s="11" t="s">
        <v>163</v>
      </c>
      <c r="H127" s="11" t="s">
        <v>228</v>
      </c>
      <c r="I127" s="10" t="s">
        <v>215</v>
      </c>
      <c r="J127" s="12">
        <v>46043</v>
      </c>
      <c r="K127" s="10" t="s">
        <v>15</v>
      </c>
      <c r="L127" s="11">
        <v>51</v>
      </c>
      <c r="M127" s="10" t="s">
        <v>166</v>
      </c>
      <c r="N127" s="11">
        <v>190105</v>
      </c>
      <c r="O127" s="66"/>
      <c r="P127" s="66"/>
      <c r="Q127" s="7"/>
    </row>
    <row r="128" spans="1:17" ht="16.5">
      <c r="A128" s="11">
        <v>190104</v>
      </c>
      <c r="B128" s="11">
        <v>162258</v>
      </c>
      <c r="C128" s="10" t="s">
        <v>225</v>
      </c>
      <c r="D128" s="10" t="s">
        <v>226</v>
      </c>
      <c r="E128" s="10" t="s">
        <v>229</v>
      </c>
      <c r="F128" s="10" t="s">
        <v>196</v>
      </c>
      <c r="G128" s="11" t="s">
        <v>163</v>
      </c>
      <c r="H128" s="11" t="s">
        <v>228</v>
      </c>
      <c r="I128" s="10" t="s">
        <v>215</v>
      </c>
      <c r="J128" s="12">
        <v>46043</v>
      </c>
      <c r="K128" s="10" t="s">
        <v>15</v>
      </c>
      <c r="L128" s="11">
        <v>50</v>
      </c>
      <c r="M128" s="10" t="s">
        <v>166</v>
      </c>
      <c r="N128" s="11">
        <v>190104</v>
      </c>
      <c r="O128" s="66"/>
      <c r="P128" s="66"/>
      <c r="Q128" s="7"/>
    </row>
    <row r="129" spans="1:17" ht="16.5">
      <c r="A129" s="11">
        <v>190103</v>
      </c>
      <c r="B129" s="11">
        <v>162258</v>
      </c>
      <c r="C129" s="10" t="s">
        <v>225</v>
      </c>
      <c r="D129" s="10" t="s">
        <v>226</v>
      </c>
      <c r="E129" s="10" t="s">
        <v>229</v>
      </c>
      <c r="F129" s="10" t="s">
        <v>197</v>
      </c>
      <c r="G129" s="11" t="s">
        <v>163</v>
      </c>
      <c r="H129" s="11" t="s">
        <v>228</v>
      </c>
      <c r="I129" s="10" t="s">
        <v>215</v>
      </c>
      <c r="J129" s="12">
        <v>46043</v>
      </c>
      <c r="K129" s="10" t="s">
        <v>15</v>
      </c>
      <c r="L129" s="11">
        <v>50</v>
      </c>
      <c r="M129" s="10" t="s">
        <v>166</v>
      </c>
      <c r="N129" s="11">
        <v>190103</v>
      </c>
      <c r="O129" s="66"/>
      <c r="P129" s="66"/>
      <c r="Q129" s="7"/>
    </row>
    <row r="130" spans="1:17" ht="16.5">
      <c r="A130" s="11">
        <v>190110</v>
      </c>
      <c r="B130" s="11">
        <v>162062</v>
      </c>
      <c r="C130" s="10" t="s">
        <v>230</v>
      </c>
      <c r="D130" s="10" t="s">
        <v>226</v>
      </c>
      <c r="E130" s="10" t="s">
        <v>231</v>
      </c>
      <c r="F130" s="10" t="s">
        <v>193</v>
      </c>
      <c r="G130" s="11" t="s">
        <v>163</v>
      </c>
      <c r="H130" s="11" t="s">
        <v>228</v>
      </c>
      <c r="I130" s="10" t="s">
        <v>215</v>
      </c>
      <c r="J130" s="12">
        <v>46043</v>
      </c>
      <c r="K130" s="10" t="s">
        <v>12</v>
      </c>
      <c r="L130" s="11">
        <v>59</v>
      </c>
      <c r="M130" s="10" t="s">
        <v>166</v>
      </c>
      <c r="N130" s="11">
        <v>190110</v>
      </c>
      <c r="O130" s="66"/>
      <c r="P130" s="66"/>
      <c r="Q130" s="7"/>
    </row>
    <row r="131" spans="1:17" ht="16.5">
      <c r="A131" s="11">
        <v>190109</v>
      </c>
      <c r="B131" s="11">
        <v>162062</v>
      </c>
      <c r="C131" s="10" t="s">
        <v>230</v>
      </c>
      <c r="D131" s="10" t="s">
        <v>226</v>
      </c>
      <c r="E131" s="10" t="s">
        <v>231</v>
      </c>
      <c r="F131" s="10" t="s">
        <v>196</v>
      </c>
      <c r="G131" s="11" t="s">
        <v>163</v>
      </c>
      <c r="H131" s="11" t="s">
        <v>228</v>
      </c>
      <c r="I131" s="10" t="s">
        <v>215</v>
      </c>
      <c r="J131" s="12">
        <v>46043</v>
      </c>
      <c r="K131" s="10" t="s">
        <v>12</v>
      </c>
      <c r="L131" s="11">
        <v>58</v>
      </c>
      <c r="M131" s="10" t="s">
        <v>166</v>
      </c>
      <c r="N131" s="11">
        <v>190109</v>
      </c>
      <c r="O131" s="66"/>
      <c r="P131" s="66"/>
      <c r="Q131" s="7"/>
    </row>
    <row r="132" spans="1:17" ht="16.5">
      <c r="A132" s="11">
        <v>190111</v>
      </c>
      <c r="B132" s="11">
        <v>162063</v>
      </c>
      <c r="C132" s="10" t="s">
        <v>230</v>
      </c>
      <c r="D132" s="10" t="s">
        <v>226</v>
      </c>
      <c r="E132" s="10" t="s">
        <v>232</v>
      </c>
      <c r="F132" s="10" t="s">
        <v>196</v>
      </c>
      <c r="G132" s="11" t="s">
        <v>163</v>
      </c>
      <c r="H132" s="11" t="s">
        <v>228</v>
      </c>
      <c r="I132" s="10" t="s">
        <v>215</v>
      </c>
      <c r="J132" s="12">
        <v>46043</v>
      </c>
      <c r="K132" s="10" t="s">
        <v>11</v>
      </c>
      <c r="L132" s="11">
        <v>48</v>
      </c>
      <c r="M132" s="10" t="s">
        <v>166</v>
      </c>
      <c r="N132" s="11">
        <v>190111</v>
      </c>
      <c r="O132" s="66"/>
      <c r="P132" s="66"/>
      <c r="Q132" s="7"/>
    </row>
    <row r="133" spans="1:17" ht="16.5">
      <c r="A133" s="11">
        <v>190112</v>
      </c>
      <c r="B133" s="11">
        <v>162063</v>
      </c>
      <c r="C133" s="10" t="s">
        <v>230</v>
      </c>
      <c r="D133" s="10" t="s">
        <v>226</v>
      </c>
      <c r="E133" s="10" t="s">
        <v>232</v>
      </c>
      <c r="F133" s="10" t="s">
        <v>193</v>
      </c>
      <c r="G133" s="11" t="s">
        <v>163</v>
      </c>
      <c r="H133" s="11" t="s">
        <v>228</v>
      </c>
      <c r="I133" s="10" t="s">
        <v>215</v>
      </c>
      <c r="J133" s="12">
        <v>46043</v>
      </c>
      <c r="K133" s="10" t="s">
        <v>11</v>
      </c>
      <c r="L133" s="11">
        <v>49</v>
      </c>
      <c r="M133" s="10" t="s">
        <v>166</v>
      </c>
      <c r="N133" s="11">
        <v>190112</v>
      </c>
      <c r="O133" s="66"/>
      <c r="P133" s="66"/>
      <c r="Q133" s="7"/>
    </row>
    <row r="134" spans="1:17" ht="16.5">
      <c r="A134" s="11">
        <v>190113</v>
      </c>
      <c r="B134" s="11">
        <v>161591</v>
      </c>
      <c r="C134" s="10" t="s">
        <v>233</v>
      </c>
      <c r="D134" s="10" t="s">
        <v>226</v>
      </c>
      <c r="E134" s="10" t="s">
        <v>234</v>
      </c>
      <c r="F134" s="10" t="s">
        <v>169</v>
      </c>
      <c r="G134" s="11" t="s">
        <v>163</v>
      </c>
      <c r="H134" s="11" t="s">
        <v>228</v>
      </c>
      <c r="I134" s="10" t="s">
        <v>215</v>
      </c>
      <c r="J134" s="12">
        <v>46043</v>
      </c>
      <c r="K134" s="10" t="s">
        <v>12</v>
      </c>
      <c r="L134" s="11">
        <v>21</v>
      </c>
      <c r="M134" s="10" t="s">
        <v>166</v>
      </c>
      <c r="N134" s="11">
        <v>190113</v>
      </c>
      <c r="O134" s="66"/>
      <c r="P134" s="66"/>
      <c r="Q134" s="7"/>
    </row>
    <row r="135" spans="1:17" ht="16.5">
      <c r="A135" s="11">
        <v>190127</v>
      </c>
      <c r="B135" s="11">
        <v>162266</v>
      </c>
      <c r="C135" s="10" t="s">
        <v>235</v>
      </c>
      <c r="D135" s="10" t="s">
        <v>236</v>
      </c>
      <c r="E135" s="10" t="s">
        <v>237</v>
      </c>
      <c r="F135" s="10" t="s">
        <v>193</v>
      </c>
      <c r="G135" s="11" t="s">
        <v>163</v>
      </c>
      <c r="H135" s="11" t="s">
        <v>194</v>
      </c>
      <c r="I135" s="10" t="s">
        <v>238</v>
      </c>
      <c r="J135" s="12">
        <v>46059</v>
      </c>
      <c r="K135" s="10" t="s">
        <v>12</v>
      </c>
      <c r="L135" s="11">
        <v>48</v>
      </c>
      <c r="M135" s="10" t="s">
        <v>166</v>
      </c>
      <c r="N135" s="11">
        <v>190127</v>
      </c>
      <c r="O135" s="66"/>
      <c r="P135" s="66"/>
      <c r="Q135" s="7"/>
    </row>
    <row r="136" spans="1:17" ht="16.5">
      <c r="A136" s="11">
        <v>190125</v>
      </c>
      <c r="B136" s="11">
        <v>162266</v>
      </c>
      <c r="C136" s="10" t="s">
        <v>235</v>
      </c>
      <c r="D136" s="10" t="s">
        <v>236</v>
      </c>
      <c r="E136" s="10" t="s">
        <v>237</v>
      </c>
      <c r="F136" s="10" t="s">
        <v>196</v>
      </c>
      <c r="G136" s="11" t="s">
        <v>163</v>
      </c>
      <c r="H136" s="11" t="s">
        <v>194</v>
      </c>
      <c r="I136" s="10" t="s">
        <v>238</v>
      </c>
      <c r="J136" s="12">
        <v>46059</v>
      </c>
      <c r="K136" s="10" t="s">
        <v>12</v>
      </c>
      <c r="L136" s="11">
        <v>48</v>
      </c>
      <c r="M136" s="10" t="s">
        <v>166</v>
      </c>
      <c r="N136" s="11">
        <v>190125</v>
      </c>
      <c r="O136" s="66"/>
      <c r="P136" s="66"/>
      <c r="Q136" s="7"/>
    </row>
    <row r="137" spans="1:17" ht="16.5">
      <c r="A137" s="11">
        <v>190126</v>
      </c>
      <c r="B137" s="11">
        <v>162266</v>
      </c>
      <c r="C137" s="10" t="s">
        <v>235</v>
      </c>
      <c r="D137" s="10" t="s">
        <v>236</v>
      </c>
      <c r="E137" s="10" t="s">
        <v>237</v>
      </c>
      <c r="F137" s="10" t="s">
        <v>197</v>
      </c>
      <c r="G137" s="11" t="s">
        <v>163</v>
      </c>
      <c r="H137" s="11" t="s">
        <v>194</v>
      </c>
      <c r="I137" s="10" t="s">
        <v>238</v>
      </c>
      <c r="J137" s="12">
        <v>46059</v>
      </c>
      <c r="K137" s="10" t="s">
        <v>12</v>
      </c>
      <c r="L137" s="11">
        <v>46</v>
      </c>
      <c r="M137" s="10" t="s">
        <v>166</v>
      </c>
      <c r="N137" s="11">
        <v>190126</v>
      </c>
      <c r="O137" s="66"/>
      <c r="P137" s="66"/>
      <c r="Q137" s="7"/>
    </row>
    <row r="138" spans="1:17" ht="16.5">
      <c r="A138" s="11">
        <v>190147</v>
      </c>
      <c r="B138" s="11">
        <v>161855</v>
      </c>
      <c r="C138" s="10" t="s">
        <v>239</v>
      </c>
      <c r="D138" s="10" t="s">
        <v>240</v>
      </c>
      <c r="E138" s="10" t="s">
        <v>241</v>
      </c>
      <c r="F138" s="10" t="s">
        <v>196</v>
      </c>
      <c r="G138" s="11" t="s">
        <v>163</v>
      </c>
      <c r="H138" s="11" t="s">
        <v>164</v>
      </c>
      <c r="I138" s="10" t="s">
        <v>238</v>
      </c>
      <c r="J138" s="12">
        <v>46052</v>
      </c>
      <c r="K138" s="10" t="s">
        <v>13</v>
      </c>
      <c r="L138" s="11">
        <v>45</v>
      </c>
      <c r="M138" s="10" t="s">
        <v>166</v>
      </c>
      <c r="N138" s="11">
        <v>190147</v>
      </c>
      <c r="O138" s="66"/>
      <c r="P138" s="66"/>
      <c r="Q138" s="7"/>
    </row>
    <row r="139" spans="1:17" ht="16.5">
      <c r="A139" s="11">
        <v>190148</v>
      </c>
      <c r="B139" s="11">
        <v>161855</v>
      </c>
      <c r="C139" s="10" t="s">
        <v>239</v>
      </c>
      <c r="D139" s="10" t="s">
        <v>240</v>
      </c>
      <c r="E139" s="10" t="s">
        <v>241</v>
      </c>
      <c r="F139" s="10" t="s">
        <v>193</v>
      </c>
      <c r="G139" s="11" t="s">
        <v>163</v>
      </c>
      <c r="H139" s="11" t="s">
        <v>164</v>
      </c>
      <c r="I139" s="10" t="s">
        <v>238</v>
      </c>
      <c r="J139" s="12">
        <v>46052</v>
      </c>
      <c r="K139" s="10" t="s">
        <v>13</v>
      </c>
      <c r="L139" s="11">
        <v>41</v>
      </c>
      <c r="M139" s="10" t="s">
        <v>166</v>
      </c>
      <c r="N139" s="11">
        <v>190148</v>
      </c>
      <c r="O139" s="66"/>
      <c r="P139" s="66"/>
      <c r="Q139" s="7"/>
    </row>
    <row r="140" spans="1:17" ht="16.5">
      <c r="A140" s="11">
        <v>190149</v>
      </c>
      <c r="B140" s="11">
        <v>161856</v>
      </c>
      <c r="C140" s="10" t="s">
        <v>239</v>
      </c>
      <c r="D140" s="10" t="s">
        <v>240</v>
      </c>
      <c r="E140" s="10" t="s">
        <v>241</v>
      </c>
      <c r="F140" s="10" t="s">
        <v>169</v>
      </c>
      <c r="G140" s="11" t="s">
        <v>163</v>
      </c>
      <c r="H140" s="11" t="s">
        <v>164</v>
      </c>
      <c r="I140" s="10" t="s">
        <v>238</v>
      </c>
      <c r="J140" s="12">
        <v>46052</v>
      </c>
      <c r="K140" s="10" t="s">
        <v>13</v>
      </c>
      <c r="L140" s="11">
        <v>49</v>
      </c>
      <c r="M140" s="10" t="s">
        <v>166</v>
      </c>
      <c r="N140" s="11">
        <v>190149</v>
      </c>
      <c r="O140" s="66"/>
      <c r="P140" s="66"/>
      <c r="Q140" s="7"/>
    </row>
    <row r="141" spans="1:17" ht="16.5">
      <c r="A141" s="11">
        <v>190159</v>
      </c>
      <c r="B141" s="11">
        <v>161553</v>
      </c>
      <c r="C141" s="10" t="s">
        <v>242</v>
      </c>
      <c r="D141" s="10" t="s">
        <v>243</v>
      </c>
      <c r="E141" s="10" t="s">
        <v>227</v>
      </c>
      <c r="F141" s="10" t="s">
        <v>169</v>
      </c>
      <c r="G141" s="11" t="s">
        <v>163</v>
      </c>
      <c r="H141" s="11" t="s">
        <v>164</v>
      </c>
      <c r="I141" s="10" t="s">
        <v>215</v>
      </c>
      <c r="J141" s="12">
        <v>46050</v>
      </c>
      <c r="K141" s="10" t="s">
        <v>11</v>
      </c>
      <c r="L141" s="11">
        <v>50</v>
      </c>
      <c r="M141" s="10" t="s">
        <v>166</v>
      </c>
      <c r="N141" s="11">
        <v>190159</v>
      </c>
      <c r="O141" s="66"/>
      <c r="P141" s="66"/>
      <c r="Q141" s="7"/>
    </row>
    <row r="142" spans="1:17" ht="16.5">
      <c r="A142" s="11">
        <v>190161</v>
      </c>
      <c r="B142" s="11">
        <v>162252</v>
      </c>
      <c r="C142" s="10" t="s">
        <v>242</v>
      </c>
      <c r="D142" s="10" t="s">
        <v>243</v>
      </c>
      <c r="E142" s="10" t="s">
        <v>244</v>
      </c>
      <c r="F142" s="10" t="s">
        <v>196</v>
      </c>
      <c r="G142" s="11" t="s">
        <v>163</v>
      </c>
      <c r="H142" s="11" t="s">
        <v>164</v>
      </c>
      <c r="I142" s="10" t="s">
        <v>215</v>
      </c>
      <c r="J142" s="12">
        <v>46050</v>
      </c>
      <c r="K142" s="10" t="s">
        <v>11</v>
      </c>
      <c r="L142" s="11">
        <v>60</v>
      </c>
      <c r="M142" s="10" t="s">
        <v>166</v>
      </c>
      <c r="N142" s="11">
        <v>190161</v>
      </c>
      <c r="O142" s="66"/>
      <c r="P142" s="66"/>
      <c r="Q142" s="7"/>
    </row>
    <row r="143" spans="1:17" ht="16.5">
      <c r="A143" s="11">
        <v>190160</v>
      </c>
      <c r="B143" s="11">
        <v>162252</v>
      </c>
      <c r="C143" s="10" t="s">
        <v>242</v>
      </c>
      <c r="D143" s="10" t="s">
        <v>243</v>
      </c>
      <c r="E143" s="10" t="s">
        <v>244</v>
      </c>
      <c r="F143" s="10" t="s">
        <v>193</v>
      </c>
      <c r="G143" s="11" t="s">
        <v>163</v>
      </c>
      <c r="H143" s="11" t="s">
        <v>164</v>
      </c>
      <c r="I143" s="10" t="s">
        <v>215</v>
      </c>
      <c r="J143" s="12">
        <v>46050</v>
      </c>
      <c r="K143" s="10" t="s">
        <v>11</v>
      </c>
      <c r="L143" s="11">
        <v>60</v>
      </c>
      <c r="M143" s="10" t="s">
        <v>166</v>
      </c>
      <c r="N143" s="11">
        <v>190160</v>
      </c>
      <c r="O143" s="66"/>
      <c r="P143" s="66"/>
      <c r="Q143" s="7"/>
    </row>
    <row r="144" spans="1:17" ht="16.5">
      <c r="A144" s="11">
        <v>190163</v>
      </c>
      <c r="B144" s="11">
        <v>162253</v>
      </c>
      <c r="C144" s="10" t="s">
        <v>242</v>
      </c>
      <c r="D144" s="10" t="s">
        <v>243</v>
      </c>
      <c r="E144" s="10" t="s">
        <v>244</v>
      </c>
      <c r="F144" s="10" t="s">
        <v>193</v>
      </c>
      <c r="G144" s="11" t="s">
        <v>163</v>
      </c>
      <c r="H144" s="11" t="s">
        <v>164</v>
      </c>
      <c r="I144" s="10" t="s">
        <v>215</v>
      </c>
      <c r="J144" s="12">
        <v>46050</v>
      </c>
      <c r="K144" s="10" t="s">
        <v>11</v>
      </c>
      <c r="L144" s="11">
        <v>59</v>
      </c>
      <c r="M144" s="10" t="s">
        <v>166</v>
      </c>
      <c r="N144" s="11">
        <v>190163</v>
      </c>
      <c r="O144" s="66"/>
      <c r="P144" s="66"/>
      <c r="Q144" s="7"/>
    </row>
    <row r="145" spans="1:17" ht="16.5">
      <c r="A145" s="11">
        <v>190162</v>
      </c>
      <c r="B145" s="11">
        <v>162253</v>
      </c>
      <c r="C145" s="10" t="s">
        <v>242</v>
      </c>
      <c r="D145" s="10" t="s">
        <v>243</v>
      </c>
      <c r="E145" s="10" t="s">
        <v>244</v>
      </c>
      <c r="F145" s="10" t="s">
        <v>196</v>
      </c>
      <c r="G145" s="11" t="s">
        <v>163</v>
      </c>
      <c r="H145" s="11" t="s">
        <v>164</v>
      </c>
      <c r="I145" s="10" t="s">
        <v>215</v>
      </c>
      <c r="J145" s="12">
        <v>46050</v>
      </c>
      <c r="K145" s="10" t="s">
        <v>11</v>
      </c>
      <c r="L145" s="11">
        <v>58</v>
      </c>
      <c r="M145" s="10" t="s">
        <v>166</v>
      </c>
      <c r="N145" s="11">
        <v>190162</v>
      </c>
      <c r="O145" s="66"/>
      <c r="P145" s="66"/>
      <c r="Q145" s="7"/>
    </row>
    <row r="146" spans="1:17" ht="16.5">
      <c r="A146" s="11">
        <v>190165</v>
      </c>
      <c r="B146" s="11">
        <v>162254</v>
      </c>
      <c r="C146" s="10" t="s">
        <v>242</v>
      </c>
      <c r="D146" s="10" t="s">
        <v>243</v>
      </c>
      <c r="E146" s="10" t="s">
        <v>245</v>
      </c>
      <c r="F146" s="10" t="s">
        <v>193</v>
      </c>
      <c r="G146" s="11" t="s">
        <v>163</v>
      </c>
      <c r="H146" s="11" t="s">
        <v>164</v>
      </c>
      <c r="I146" s="10" t="s">
        <v>215</v>
      </c>
      <c r="J146" s="12">
        <v>46050</v>
      </c>
      <c r="K146" s="10" t="s">
        <v>12</v>
      </c>
      <c r="L146" s="11">
        <v>61</v>
      </c>
      <c r="M146" s="10" t="s">
        <v>166</v>
      </c>
      <c r="N146" s="11">
        <v>190165</v>
      </c>
      <c r="O146" s="66"/>
      <c r="P146" s="66"/>
      <c r="Q146" s="7"/>
    </row>
    <row r="147" spans="1:17" ht="16.5">
      <c r="A147" s="11">
        <v>190164</v>
      </c>
      <c r="B147" s="11">
        <v>162254</v>
      </c>
      <c r="C147" s="10" t="s">
        <v>242</v>
      </c>
      <c r="D147" s="10" t="s">
        <v>243</v>
      </c>
      <c r="E147" s="10" t="s">
        <v>245</v>
      </c>
      <c r="F147" s="10" t="s">
        <v>196</v>
      </c>
      <c r="G147" s="11" t="s">
        <v>163</v>
      </c>
      <c r="H147" s="11" t="s">
        <v>164</v>
      </c>
      <c r="I147" s="10" t="s">
        <v>215</v>
      </c>
      <c r="J147" s="12">
        <v>46050</v>
      </c>
      <c r="K147" s="10" t="s">
        <v>12</v>
      </c>
      <c r="L147" s="11">
        <v>60</v>
      </c>
      <c r="M147" s="10" t="s">
        <v>166</v>
      </c>
      <c r="N147" s="11">
        <v>190164</v>
      </c>
      <c r="O147" s="66"/>
      <c r="P147" s="66"/>
      <c r="Q147" s="7"/>
    </row>
    <row r="148" spans="1:17" ht="16.5">
      <c r="A148" s="11">
        <v>190166</v>
      </c>
      <c r="B148" s="11">
        <v>162264</v>
      </c>
      <c r="C148" s="10" t="s">
        <v>242</v>
      </c>
      <c r="D148" s="10" t="s">
        <v>243</v>
      </c>
      <c r="E148" s="10" t="s">
        <v>246</v>
      </c>
      <c r="F148" s="10" t="s">
        <v>196</v>
      </c>
      <c r="G148" s="11" t="s">
        <v>163</v>
      </c>
      <c r="H148" s="11" t="s">
        <v>164</v>
      </c>
      <c r="I148" s="10" t="s">
        <v>215</v>
      </c>
      <c r="J148" s="12">
        <v>46050</v>
      </c>
      <c r="K148" s="10" t="s">
        <v>12</v>
      </c>
      <c r="L148" s="11">
        <v>59</v>
      </c>
      <c r="M148" s="10" t="s">
        <v>166</v>
      </c>
      <c r="N148" s="11">
        <v>190166</v>
      </c>
      <c r="O148" s="66"/>
      <c r="P148" s="66"/>
      <c r="Q148" s="7"/>
    </row>
    <row r="149" spans="1:17" ht="16.5">
      <c r="A149" s="11">
        <v>190167</v>
      </c>
      <c r="B149" s="11">
        <v>162264</v>
      </c>
      <c r="C149" s="10" t="s">
        <v>242</v>
      </c>
      <c r="D149" s="10" t="s">
        <v>243</v>
      </c>
      <c r="E149" s="10" t="s">
        <v>246</v>
      </c>
      <c r="F149" s="10" t="s">
        <v>193</v>
      </c>
      <c r="G149" s="11" t="s">
        <v>163</v>
      </c>
      <c r="H149" s="11" t="s">
        <v>164</v>
      </c>
      <c r="I149" s="10" t="s">
        <v>215</v>
      </c>
      <c r="J149" s="12">
        <v>46050</v>
      </c>
      <c r="K149" s="10" t="s">
        <v>12</v>
      </c>
      <c r="L149" s="11">
        <v>60</v>
      </c>
      <c r="M149" s="10" t="s">
        <v>166</v>
      </c>
      <c r="N149" s="11">
        <v>190167</v>
      </c>
      <c r="O149" s="66"/>
      <c r="P149" s="66"/>
      <c r="Q149" s="7"/>
    </row>
    <row r="150" spans="1:17" ht="16.5">
      <c r="A150" s="11">
        <v>190169</v>
      </c>
      <c r="B150" s="11">
        <v>162265</v>
      </c>
      <c r="C150" s="10" t="s">
        <v>242</v>
      </c>
      <c r="D150" s="10" t="s">
        <v>243</v>
      </c>
      <c r="E150" s="10" t="s">
        <v>246</v>
      </c>
      <c r="F150" s="10" t="s">
        <v>193</v>
      </c>
      <c r="G150" s="11" t="s">
        <v>163</v>
      </c>
      <c r="H150" s="11" t="s">
        <v>164</v>
      </c>
      <c r="I150" s="10" t="s">
        <v>215</v>
      </c>
      <c r="J150" s="12">
        <v>46050</v>
      </c>
      <c r="K150" s="10" t="s">
        <v>12</v>
      </c>
      <c r="L150" s="11">
        <v>60</v>
      </c>
      <c r="M150" s="10" t="s">
        <v>166</v>
      </c>
      <c r="N150" s="11">
        <v>190169</v>
      </c>
      <c r="O150" s="66"/>
      <c r="P150" s="66"/>
      <c r="Q150" s="7"/>
    </row>
    <row r="151" spans="1:17" ht="16.5">
      <c r="A151" s="11">
        <v>190168</v>
      </c>
      <c r="B151" s="11">
        <v>162265</v>
      </c>
      <c r="C151" s="10" t="s">
        <v>242</v>
      </c>
      <c r="D151" s="10" t="s">
        <v>243</v>
      </c>
      <c r="E151" s="10" t="s">
        <v>246</v>
      </c>
      <c r="F151" s="10" t="s">
        <v>196</v>
      </c>
      <c r="G151" s="11" t="s">
        <v>163</v>
      </c>
      <c r="H151" s="11" t="s">
        <v>164</v>
      </c>
      <c r="I151" s="10" t="s">
        <v>215</v>
      </c>
      <c r="J151" s="12">
        <v>46050</v>
      </c>
      <c r="K151" s="10" t="s">
        <v>12</v>
      </c>
      <c r="L151" s="11">
        <v>59</v>
      </c>
      <c r="M151" s="10" t="s">
        <v>166</v>
      </c>
      <c r="N151" s="11">
        <v>190168</v>
      </c>
      <c r="O151" s="66"/>
      <c r="P151" s="66"/>
      <c r="Q151" s="7"/>
    </row>
    <row r="152" spans="1:17" ht="16.5">
      <c r="A152" s="11">
        <v>190172</v>
      </c>
      <c r="B152" s="11">
        <v>162060</v>
      </c>
      <c r="C152" s="10" t="s">
        <v>247</v>
      </c>
      <c r="D152" s="10" t="s">
        <v>248</v>
      </c>
      <c r="E152" s="10" t="s">
        <v>231</v>
      </c>
      <c r="F152" s="10" t="s">
        <v>193</v>
      </c>
      <c r="G152" s="11" t="s">
        <v>163</v>
      </c>
      <c r="H152" s="11" t="s">
        <v>194</v>
      </c>
      <c r="I152" s="10" t="s">
        <v>238</v>
      </c>
      <c r="J152" s="12">
        <v>46059</v>
      </c>
      <c r="K152" s="10" t="s">
        <v>12</v>
      </c>
      <c r="L152" s="11">
        <v>50</v>
      </c>
      <c r="M152" s="10" t="s">
        <v>166</v>
      </c>
      <c r="N152" s="11">
        <v>190172</v>
      </c>
      <c r="O152" s="66"/>
      <c r="P152" s="66"/>
      <c r="Q152" s="7"/>
    </row>
    <row r="153" spans="1:17" ht="16.5">
      <c r="A153" s="11">
        <v>190171</v>
      </c>
      <c r="B153" s="11">
        <v>162060</v>
      </c>
      <c r="C153" s="10" t="s">
        <v>247</v>
      </c>
      <c r="D153" s="10" t="s">
        <v>248</v>
      </c>
      <c r="E153" s="10" t="s">
        <v>231</v>
      </c>
      <c r="F153" s="10" t="s">
        <v>196</v>
      </c>
      <c r="G153" s="11" t="s">
        <v>163</v>
      </c>
      <c r="H153" s="11" t="s">
        <v>194</v>
      </c>
      <c r="I153" s="10" t="s">
        <v>238</v>
      </c>
      <c r="J153" s="12">
        <v>46059</v>
      </c>
      <c r="K153" s="10" t="s">
        <v>12</v>
      </c>
      <c r="L153" s="11">
        <v>50</v>
      </c>
      <c r="M153" s="10" t="s">
        <v>166</v>
      </c>
      <c r="N153" s="11">
        <v>190171</v>
      </c>
      <c r="O153" s="66"/>
      <c r="P153" s="66"/>
      <c r="Q153" s="7"/>
    </row>
    <row r="154" spans="1:17" ht="16.5">
      <c r="A154" s="11">
        <v>190173</v>
      </c>
      <c r="B154" s="11">
        <v>162061</v>
      </c>
      <c r="C154" s="10" t="s">
        <v>247</v>
      </c>
      <c r="D154" s="10" t="s">
        <v>248</v>
      </c>
      <c r="E154" s="10" t="s">
        <v>232</v>
      </c>
      <c r="F154" s="10" t="s">
        <v>193</v>
      </c>
      <c r="G154" s="11" t="s">
        <v>163</v>
      </c>
      <c r="H154" s="11" t="s">
        <v>194</v>
      </c>
      <c r="I154" s="10" t="s">
        <v>238</v>
      </c>
      <c r="J154" s="12">
        <v>46059</v>
      </c>
      <c r="K154" s="10" t="s">
        <v>12</v>
      </c>
      <c r="L154" s="11">
        <v>50</v>
      </c>
      <c r="M154" s="10" t="s">
        <v>166</v>
      </c>
      <c r="N154" s="11">
        <v>190173</v>
      </c>
      <c r="O154" s="66"/>
      <c r="P154" s="66"/>
      <c r="Q154" s="7"/>
    </row>
    <row r="155" spans="1:17" ht="16.5">
      <c r="A155" s="11">
        <v>190174</v>
      </c>
      <c r="B155" s="11">
        <v>162061</v>
      </c>
      <c r="C155" s="10" t="s">
        <v>247</v>
      </c>
      <c r="D155" s="10" t="s">
        <v>248</v>
      </c>
      <c r="E155" s="10" t="s">
        <v>232</v>
      </c>
      <c r="F155" s="10" t="s">
        <v>196</v>
      </c>
      <c r="G155" s="11" t="s">
        <v>163</v>
      </c>
      <c r="H155" s="11" t="s">
        <v>194</v>
      </c>
      <c r="I155" s="10" t="s">
        <v>238</v>
      </c>
      <c r="J155" s="12">
        <v>46059</v>
      </c>
      <c r="K155" s="10" t="s">
        <v>12</v>
      </c>
      <c r="L155" s="11">
        <v>50</v>
      </c>
      <c r="M155" s="10" t="s">
        <v>166</v>
      </c>
      <c r="N155" s="11">
        <v>190174</v>
      </c>
      <c r="O155" s="66"/>
      <c r="P155" s="66"/>
      <c r="Q155" s="7"/>
    </row>
    <row r="156" spans="1:17" ht="16.5">
      <c r="A156" s="11">
        <v>190175</v>
      </c>
      <c r="B156" s="11">
        <v>165690</v>
      </c>
      <c r="C156" s="10" t="s">
        <v>249</v>
      </c>
      <c r="D156" s="10" t="s">
        <v>250</v>
      </c>
      <c r="E156" s="10" t="s">
        <v>251</v>
      </c>
      <c r="F156" s="10" t="s">
        <v>169</v>
      </c>
      <c r="G156" s="11" t="s">
        <v>163</v>
      </c>
      <c r="H156" s="11" t="s">
        <v>164</v>
      </c>
      <c r="I156" s="10" t="s">
        <v>238</v>
      </c>
      <c r="J156" s="12">
        <v>46052</v>
      </c>
      <c r="K156" s="10" t="s">
        <v>11</v>
      </c>
      <c r="L156" s="11">
        <v>46</v>
      </c>
      <c r="M156" s="10" t="s">
        <v>166</v>
      </c>
      <c r="N156" s="11">
        <v>190175</v>
      </c>
      <c r="O156" s="66"/>
      <c r="P156" s="66"/>
      <c r="Q156" s="7"/>
    </row>
    <row r="157" spans="1:17" ht="16.5">
      <c r="A157" s="11">
        <v>190176</v>
      </c>
      <c r="B157" s="11">
        <v>161701</v>
      </c>
      <c r="C157" s="10" t="s">
        <v>70</v>
      </c>
      <c r="D157" s="10" t="s">
        <v>252</v>
      </c>
      <c r="E157" s="10" t="s">
        <v>253</v>
      </c>
      <c r="F157" s="10" t="s">
        <v>196</v>
      </c>
      <c r="G157" s="11" t="s">
        <v>163</v>
      </c>
      <c r="H157" s="11" t="s">
        <v>228</v>
      </c>
      <c r="I157" s="10" t="s">
        <v>238</v>
      </c>
      <c r="J157" s="12">
        <v>46045</v>
      </c>
      <c r="K157" s="10" t="s">
        <v>11</v>
      </c>
      <c r="L157" s="11">
        <v>44</v>
      </c>
      <c r="M157" s="10" t="s">
        <v>166</v>
      </c>
      <c r="N157" s="11">
        <v>190176</v>
      </c>
      <c r="O157" s="66"/>
      <c r="P157" s="66"/>
      <c r="Q157" s="7"/>
    </row>
    <row r="158" spans="1:17" ht="16.5">
      <c r="A158" s="11">
        <v>190177</v>
      </c>
      <c r="B158" s="11">
        <v>161701</v>
      </c>
      <c r="C158" s="10" t="s">
        <v>70</v>
      </c>
      <c r="D158" s="10" t="s">
        <v>252</v>
      </c>
      <c r="E158" s="10" t="s">
        <v>253</v>
      </c>
      <c r="F158" s="10" t="s">
        <v>193</v>
      </c>
      <c r="G158" s="11" t="s">
        <v>163</v>
      </c>
      <c r="H158" s="11" t="s">
        <v>228</v>
      </c>
      <c r="I158" s="10" t="s">
        <v>238</v>
      </c>
      <c r="J158" s="12">
        <v>46045</v>
      </c>
      <c r="K158" s="10" t="s">
        <v>11</v>
      </c>
      <c r="L158" s="11">
        <v>45</v>
      </c>
      <c r="M158" s="10" t="s">
        <v>166</v>
      </c>
      <c r="N158" s="11">
        <v>190177</v>
      </c>
      <c r="O158" s="66"/>
      <c r="P158" s="66"/>
      <c r="Q158" s="7"/>
    </row>
    <row r="159" spans="1:17" ht="16.5">
      <c r="A159" s="11">
        <v>190179</v>
      </c>
      <c r="B159" s="11">
        <v>161702</v>
      </c>
      <c r="C159" s="10" t="s">
        <v>70</v>
      </c>
      <c r="D159" s="10" t="s">
        <v>252</v>
      </c>
      <c r="E159" s="10" t="s">
        <v>253</v>
      </c>
      <c r="F159" s="10" t="s">
        <v>196</v>
      </c>
      <c r="G159" s="11" t="s">
        <v>163</v>
      </c>
      <c r="H159" s="11" t="s">
        <v>228</v>
      </c>
      <c r="I159" s="10" t="s">
        <v>238</v>
      </c>
      <c r="J159" s="12">
        <v>46045</v>
      </c>
      <c r="K159" s="10" t="s">
        <v>12</v>
      </c>
      <c r="L159" s="11">
        <v>41</v>
      </c>
      <c r="M159" s="10" t="s">
        <v>166</v>
      </c>
      <c r="N159" s="11">
        <v>190179</v>
      </c>
      <c r="O159" s="66"/>
      <c r="P159" s="66"/>
      <c r="Q159" s="7"/>
    </row>
    <row r="160" spans="1:17" ht="16.5">
      <c r="A160" s="11">
        <v>190178</v>
      </c>
      <c r="B160" s="11">
        <v>161702</v>
      </c>
      <c r="C160" s="10" t="s">
        <v>70</v>
      </c>
      <c r="D160" s="10" t="s">
        <v>252</v>
      </c>
      <c r="E160" s="10" t="s">
        <v>253</v>
      </c>
      <c r="F160" s="10" t="s">
        <v>193</v>
      </c>
      <c r="G160" s="11" t="s">
        <v>163</v>
      </c>
      <c r="H160" s="11" t="s">
        <v>228</v>
      </c>
      <c r="I160" s="10" t="s">
        <v>238</v>
      </c>
      <c r="J160" s="12">
        <v>46045</v>
      </c>
      <c r="K160" s="10" t="s">
        <v>12</v>
      </c>
      <c r="L160" s="11">
        <v>41</v>
      </c>
      <c r="M160" s="10" t="s">
        <v>166</v>
      </c>
      <c r="N160" s="11">
        <v>190178</v>
      </c>
      <c r="O160" s="66"/>
      <c r="P160" s="66"/>
      <c r="Q160" s="7"/>
    </row>
    <row r="161" spans="1:17" ht="16.5">
      <c r="A161" s="11">
        <v>190194</v>
      </c>
      <c r="B161" s="11">
        <v>161524</v>
      </c>
      <c r="C161" s="10" t="s">
        <v>254</v>
      </c>
      <c r="D161" s="10" t="s">
        <v>255</v>
      </c>
      <c r="E161" s="10" t="s">
        <v>256</v>
      </c>
      <c r="F161" s="10" t="s">
        <v>169</v>
      </c>
      <c r="G161" s="11" t="s">
        <v>163</v>
      </c>
      <c r="H161" s="11" t="s">
        <v>194</v>
      </c>
      <c r="I161" s="10" t="s">
        <v>165</v>
      </c>
      <c r="J161" s="12">
        <v>46055</v>
      </c>
      <c r="K161" s="10" t="s">
        <v>13</v>
      </c>
      <c r="L161" s="11">
        <v>42</v>
      </c>
      <c r="M161" s="10" t="s">
        <v>166</v>
      </c>
      <c r="N161" s="11">
        <v>190194</v>
      </c>
      <c r="O161" s="66"/>
      <c r="P161" s="66"/>
      <c r="Q161" s="7"/>
    </row>
    <row r="162" spans="1:17" ht="16.5">
      <c r="A162" s="11">
        <v>190195</v>
      </c>
      <c r="B162" s="11">
        <v>162278</v>
      </c>
      <c r="C162" s="10" t="s">
        <v>254</v>
      </c>
      <c r="D162" s="10" t="s">
        <v>255</v>
      </c>
      <c r="E162" s="10" t="s">
        <v>257</v>
      </c>
      <c r="F162" s="10" t="s">
        <v>193</v>
      </c>
      <c r="G162" s="11" t="s">
        <v>163</v>
      </c>
      <c r="H162" s="11" t="s">
        <v>194</v>
      </c>
      <c r="I162" s="10" t="s">
        <v>165</v>
      </c>
      <c r="J162" s="12">
        <v>46055</v>
      </c>
      <c r="K162" s="10" t="s">
        <v>13</v>
      </c>
      <c r="L162" s="11">
        <v>65</v>
      </c>
      <c r="M162" s="10" t="s">
        <v>166</v>
      </c>
      <c r="N162" s="11">
        <v>190195</v>
      </c>
      <c r="O162" s="66"/>
      <c r="P162" s="66"/>
      <c r="Q162" s="7"/>
    </row>
    <row r="163" spans="1:17" ht="16.5">
      <c r="A163" s="11">
        <v>190196</v>
      </c>
      <c r="B163" s="11">
        <v>162278</v>
      </c>
      <c r="C163" s="10" t="s">
        <v>254</v>
      </c>
      <c r="D163" s="10" t="s">
        <v>255</v>
      </c>
      <c r="E163" s="10" t="s">
        <v>257</v>
      </c>
      <c r="F163" s="10" t="s">
        <v>196</v>
      </c>
      <c r="G163" s="11" t="s">
        <v>163</v>
      </c>
      <c r="H163" s="11" t="s">
        <v>194</v>
      </c>
      <c r="I163" s="10" t="s">
        <v>165</v>
      </c>
      <c r="J163" s="12">
        <v>46055</v>
      </c>
      <c r="K163" s="10" t="s">
        <v>13</v>
      </c>
      <c r="L163" s="11">
        <v>64</v>
      </c>
      <c r="M163" s="10" t="s">
        <v>166</v>
      </c>
      <c r="N163" s="11">
        <v>190196</v>
      </c>
      <c r="O163" s="66"/>
      <c r="P163" s="66"/>
      <c r="Q163" s="7"/>
    </row>
    <row r="164" spans="1:17" ht="16.5">
      <c r="A164" s="11">
        <v>190198</v>
      </c>
      <c r="B164" s="11">
        <v>162279</v>
      </c>
      <c r="C164" s="10" t="s">
        <v>254</v>
      </c>
      <c r="D164" s="10" t="s">
        <v>255</v>
      </c>
      <c r="E164" s="10" t="s">
        <v>257</v>
      </c>
      <c r="F164" s="10" t="s">
        <v>193</v>
      </c>
      <c r="G164" s="11" t="s">
        <v>163</v>
      </c>
      <c r="H164" s="11" t="s">
        <v>194</v>
      </c>
      <c r="I164" s="10" t="s">
        <v>165</v>
      </c>
      <c r="J164" s="12">
        <v>46055</v>
      </c>
      <c r="K164" s="10" t="s">
        <v>13</v>
      </c>
      <c r="L164" s="11">
        <v>65</v>
      </c>
      <c r="M164" s="10" t="s">
        <v>166</v>
      </c>
      <c r="N164" s="11">
        <v>190198</v>
      </c>
      <c r="O164" s="66"/>
      <c r="P164" s="66"/>
      <c r="Q164" s="7"/>
    </row>
    <row r="165" spans="1:17" ht="16.5">
      <c r="A165" s="11">
        <v>190197</v>
      </c>
      <c r="B165" s="11">
        <v>162279</v>
      </c>
      <c r="C165" s="10" t="s">
        <v>254</v>
      </c>
      <c r="D165" s="10" t="s">
        <v>255</v>
      </c>
      <c r="E165" s="10" t="s">
        <v>257</v>
      </c>
      <c r="F165" s="10" t="s">
        <v>196</v>
      </c>
      <c r="G165" s="11" t="s">
        <v>163</v>
      </c>
      <c r="H165" s="11" t="s">
        <v>194</v>
      </c>
      <c r="I165" s="10" t="s">
        <v>165</v>
      </c>
      <c r="J165" s="12">
        <v>46055</v>
      </c>
      <c r="K165" s="10" t="s">
        <v>13</v>
      </c>
      <c r="L165" s="11">
        <v>64</v>
      </c>
      <c r="M165" s="10" t="s">
        <v>166</v>
      </c>
      <c r="N165" s="11">
        <v>190197</v>
      </c>
      <c r="O165" s="66"/>
      <c r="P165" s="66"/>
      <c r="Q165" s="7"/>
    </row>
    <row r="166" spans="1:17" ht="16.5">
      <c r="A166" s="11">
        <v>190200</v>
      </c>
      <c r="B166" s="11">
        <v>162064</v>
      </c>
      <c r="C166" s="10" t="s">
        <v>258</v>
      </c>
      <c r="D166" s="10" t="s">
        <v>259</v>
      </c>
      <c r="E166" s="10" t="s">
        <v>260</v>
      </c>
      <c r="F166" s="10" t="s">
        <v>193</v>
      </c>
      <c r="G166" s="11" t="s">
        <v>163</v>
      </c>
      <c r="H166" s="11" t="s">
        <v>164</v>
      </c>
      <c r="I166" s="10" t="s">
        <v>238</v>
      </c>
      <c r="J166" s="12">
        <v>46052</v>
      </c>
      <c r="K166" s="10" t="s">
        <v>12</v>
      </c>
      <c r="L166" s="11">
        <v>50</v>
      </c>
      <c r="M166" s="10" t="s">
        <v>166</v>
      </c>
      <c r="N166" s="11">
        <v>190200</v>
      </c>
      <c r="O166" s="66"/>
      <c r="P166" s="66"/>
      <c r="Q166" s="7"/>
    </row>
    <row r="167" spans="1:17" ht="16.5">
      <c r="A167" s="11">
        <v>190199</v>
      </c>
      <c r="B167" s="11">
        <v>162064</v>
      </c>
      <c r="C167" s="10" t="s">
        <v>258</v>
      </c>
      <c r="D167" s="10" t="s">
        <v>259</v>
      </c>
      <c r="E167" s="10" t="s">
        <v>260</v>
      </c>
      <c r="F167" s="10" t="s">
        <v>196</v>
      </c>
      <c r="G167" s="11" t="s">
        <v>163</v>
      </c>
      <c r="H167" s="11" t="s">
        <v>164</v>
      </c>
      <c r="I167" s="10" t="s">
        <v>238</v>
      </c>
      <c r="J167" s="12">
        <v>46052</v>
      </c>
      <c r="K167" s="10" t="s">
        <v>12</v>
      </c>
      <c r="L167" s="11">
        <v>50</v>
      </c>
      <c r="M167" s="10" t="s">
        <v>166</v>
      </c>
      <c r="N167" s="11">
        <v>190199</v>
      </c>
      <c r="O167" s="66"/>
      <c r="P167" s="66"/>
      <c r="Q167" s="7"/>
    </row>
    <row r="168" spans="1:17" ht="16.5">
      <c r="A168" s="11">
        <v>190202</v>
      </c>
      <c r="B168" s="11">
        <v>162065</v>
      </c>
      <c r="C168" s="10" t="s">
        <v>258</v>
      </c>
      <c r="D168" s="10" t="s">
        <v>259</v>
      </c>
      <c r="E168" s="10" t="s">
        <v>260</v>
      </c>
      <c r="F168" s="10" t="s">
        <v>196</v>
      </c>
      <c r="G168" s="11" t="s">
        <v>163</v>
      </c>
      <c r="H168" s="11" t="s">
        <v>164</v>
      </c>
      <c r="I168" s="10" t="s">
        <v>238</v>
      </c>
      <c r="J168" s="12">
        <v>46052</v>
      </c>
      <c r="K168" s="10" t="s">
        <v>12</v>
      </c>
      <c r="L168" s="11">
        <v>50</v>
      </c>
      <c r="M168" s="10" t="s">
        <v>166</v>
      </c>
      <c r="N168" s="11">
        <v>190202</v>
      </c>
      <c r="O168" s="66"/>
      <c r="P168" s="66"/>
      <c r="Q168" s="7"/>
    </row>
    <row r="169" spans="1:17" ht="16.5">
      <c r="A169" s="11">
        <v>190201</v>
      </c>
      <c r="B169" s="11">
        <v>162065</v>
      </c>
      <c r="C169" s="10" t="s">
        <v>258</v>
      </c>
      <c r="D169" s="10" t="s">
        <v>259</v>
      </c>
      <c r="E169" s="10" t="s">
        <v>260</v>
      </c>
      <c r="F169" s="10" t="s">
        <v>193</v>
      </c>
      <c r="G169" s="11" t="s">
        <v>163</v>
      </c>
      <c r="H169" s="11" t="s">
        <v>164</v>
      </c>
      <c r="I169" s="10" t="s">
        <v>238</v>
      </c>
      <c r="J169" s="12">
        <v>46052</v>
      </c>
      <c r="K169" s="10" t="s">
        <v>12</v>
      </c>
      <c r="L169" s="11">
        <v>47</v>
      </c>
      <c r="M169" s="10" t="s">
        <v>166</v>
      </c>
      <c r="N169" s="11">
        <v>190201</v>
      </c>
      <c r="O169" s="66"/>
      <c r="P169" s="66"/>
      <c r="Q169" s="7"/>
    </row>
    <row r="170" spans="1:17" ht="16.5">
      <c r="A170" s="11">
        <v>190209</v>
      </c>
      <c r="B170" s="11">
        <v>161523</v>
      </c>
      <c r="C170" s="10" t="s">
        <v>261</v>
      </c>
      <c r="D170" s="10" t="s">
        <v>262</v>
      </c>
      <c r="E170" s="10" t="s">
        <v>263</v>
      </c>
      <c r="F170" s="10" t="s">
        <v>169</v>
      </c>
      <c r="G170" s="11" t="s">
        <v>163</v>
      </c>
      <c r="H170" s="11" t="s">
        <v>164</v>
      </c>
      <c r="I170" s="10" t="s">
        <v>215</v>
      </c>
      <c r="J170" s="12">
        <v>46050</v>
      </c>
      <c r="K170" s="10" t="s">
        <v>14</v>
      </c>
      <c r="L170" s="11">
        <v>40</v>
      </c>
      <c r="M170" s="10" t="s">
        <v>166</v>
      </c>
      <c r="N170" s="11">
        <v>190209</v>
      </c>
      <c r="O170" s="66"/>
      <c r="P170" s="66"/>
      <c r="Q170" s="7"/>
    </row>
    <row r="171" spans="1:17" ht="16.5">
      <c r="A171" s="11">
        <v>190211</v>
      </c>
      <c r="B171" s="11">
        <v>162274</v>
      </c>
      <c r="C171" s="10" t="s">
        <v>261</v>
      </c>
      <c r="D171" s="10" t="s">
        <v>262</v>
      </c>
      <c r="E171" s="10" t="s">
        <v>264</v>
      </c>
      <c r="F171" s="10" t="s">
        <v>196</v>
      </c>
      <c r="G171" s="11" t="s">
        <v>163</v>
      </c>
      <c r="H171" s="11" t="s">
        <v>164</v>
      </c>
      <c r="I171" s="10" t="s">
        <v>215</v>
      </c>
      <c r="J171" s="12">
        <v>46050</v>
      </c>
      <c r="K171" s="10" t="s">
        <v>13</v>
      </c>
      <c r="L171" s="11">
        <v>47</v>
      </c>
      <c r="M171" s="10" t="s">
        <v>166</v>
      </c>
      <c r="N171" s="11">
        <v>190211</v>
      </c>
      <c r="O171" s="66"/>
      <c r="P171" s="66"/>
      <c r="Q171" s="7"/>
    </row>
    <row r="172" spans="1:17" ht="16.5">
      <c r="A172" s="11">
        <v>190212</v>
      </c>
      <c r="B172" s="11">
        <v>162274</v>
      </c>
      <c r="C172" s="10" t="s">
        <v>261</v>
      </c>
      <c r="D172" s="10" t="s">
        <v>262</v>
      </c>
      <c r="E172" s="10" t="s">
        <v>264</v>
      </c>
      <c r="F172" s="10" t="s">
        <v>193</v>
      </c>
      <c r="G172" s="11" t="s">
        <v>163</v>
      </c>
      <c r="H172" s="11" t="s">
        <v>164</v>
      </c>
      <c r="I172" s="10" t="s">
        <v>215</v>
      </c>
      <c r="J172" s="12">
        <v>46050</v>
      </c>
      <c r="K172" s="10" t="s">
        <v>13</v>
      </c>
      <c r="L172" s="11">
        <v>47</v>
      </c>
      <c r="M172" s="10" t="s">
        <v>166</v>
      </c>
      <c r="N172" s="11">
        <v>190212</v>
      </c>
      <c r="O172" s="66"/>
      <c r="P172" s="66"/>
      <c r="Q172" s="7"/>
    </row>
    <row r="173" spans="1:17" ht="16.5">
      <c r="A173" s="11">
        <v>190210</v>
      </c>
      <c r="B173" s="11">
        <v>162274</v>
      </c>
      <c r="C173" s="10" t="s">
        <v>261</v>
      </c>
      <c r="D173" s="10" t="s">
        <v>262</v>
      </c>
      <c r="E173" s="10" t="s">
        <v>264</v>
      </c>
      <c r="F173" s="10" t="s">
        <v>197</v>
      </c>
      <c r="G173" s="11" t="s">
        <v>163</v>
      </c>
      <c r="H173" s="11" t="s">
        <v>164</v>
      </c>
      <c r="I173" s="10" t="s">
        <v>215</v>
      </c>
      <c r="J173" s="12">
        <v>46050</v>
      </c>
      <c r="K173" s="10" t="s">
        <v>13</v>
      </c>
      <c r="L173" s="11">
        <v>46</v>
      </c>
      <c r="M173" s="10" t="s">
        <v>166</v>
      </c>
      <c r="N173" s="11">
        <v>190210</v>
      </c>
      <c r="O173" s="66"/>
      <c r="P173" s="66"/>
      <c r="Q173" s="7"/>
    </row>
    <row r="174" spans="1:17" ht="16.5">
      <c r="A174" s="11">
        <v>190213</v>
      </c>
      <c r="B174" s="11">
        <v>162275</v>
      </c>
      <c r="C174" s="10" t="s">
        <v>261</v>
      </c>
      <c r="D174" s="10" t="s">
        <v>262</v>
      </c>
      <c r="E174" s="10" t="s">
        <v>265</v>
      </c>
      <c r="F174" s="10" t="s">
        <v>193</v>
      </c>
      <c r="G174" s="11" t="s">
        <v>163</v>
      </c>
      <c r="H174" s="11" t="s">
        <v>164</v>
      </c>
      <c r="I174" s="10" t="s">
        <v>215</v>
      </c>
      <c r="J174" s="12">
        <v>46050</v>
      </c>
      <c r="K174" s="10" t="s">
        <v>13</v>
      </c>
      <c r="L174" s="11">
        <v>53</v>
      </c>
      <c r="M174" s="10" t="s">
        <v>166</v>
      </c>
      <c r="N174" s="11">
        <v>190213</v>
      </c>
      <c r="O174" s="66"/>
      <c r="P174" s="66"/>
      <c r="Q174" s="7"/>
    </row>
    <row r="175" spans="1:17" ht="16.5">
      <c r="A175" s="11">
        <v>190214</v>
      </c>
      <c r="B175" s="11">
        <v>162275</v>
      </c>
      <c r="C175" s="10" t="s">
        <v>261</v>
      </c>
      <c r="D175" s="10" t="s">
        <v>262</v>
      </c>
      <c r="E175" s="10" t="s">
        <v>265</v>
      </c>
      <c r="F175" s="10" t="s">
        <v>196</v>
      </c>
      <c r="G175" s="11" t="s">
        <v>163</v>
      </c>
      <c r="H175" s="11" t="s">
        <v>164</v>
      </c>
      <c r="I175" s="10" t="s">
        <v>215</v>
      </c>
      <c r="J175" s="12">
        <v>46050</v>
      </c>
      <c r="K175" s="10" t="s">
        <v>13</v>
      </c>
      <c r="L175" s="11">
        <v>52</v>
      </c>
      <c r="M175" s="10" t="s">
        <v>166</v>
      </c>
      <c r="N175" s="11">
        <v>190214</v>
      </c>
      <c r="O175" s="66"/>
      <c r="P175" s="66"/>
      <c r="Q175" s="7"/>
    </row>
    <row r="176" spans="1:17" ht="16.5">
      <c r="A176" s="11">
        <v>190215</v>
      </c>
      <c r="B176" s="11">
        <v>162276</v>
      </c>
      <c r="C176" s="10" t="s">
        <v>261</v>
      </c>
      <c r="D176" s="10" t="s">
        <v>262</v>
      </c>
      <c r="E176" s="10" t="s">
        <v>265</v>
      </c>
      <c r="F176" s="10" t="s">
        <v>196</v>
      </c>
      <c r="G176" s="11" t="s">
        <v>163</v>
      </c>
      <c r="H176" s="11" t="s">
        <v>164</v>
      </c>
      <c r="I176" s="10" t="s">
        <v>215</v>
      </c>
      <c r="J176" s="12">
        <v>46050</v>
      </c>
      <c r="K176" s="10" t="s">
        <v>13</v>
      </c>
      <c r="L176" s="11">
        <v>68</v>
      </c>
      <c r="M176" s="10" t="s">
        <v>166</v>
      </c>
      <c r="N176" s="11">
        <v>190215</v>
      </c>
      <c r="O176" s="66"/>
      <c r="P176" s="66"/>
      <c r="Q176" s="7"/>
    </row>
    <row r="177" spans="1:17" ht="16.5">
      <c r="A177" s="11">
        <v>190216</v>
      </c>
      <c r="B177" s="11">
        <v>162276</v>
      </c>
      <c r="C177" s="10" t="s">
        <v>261</v>
      </c>
      <c r="D177" s="10" t="s">
        <v>262</v>
      </c>
      <c r="E177" s="10" t="s">
        <v>265</v>
      </c>
      <c r="F177" s="10" t="s">
        <v>193</v>
      </c>
      <c r="G177" s="11" t="s">
        <v>163</v>
      </c>
      <c r="H177" s="11" t="s">
        <v>164</v>
      </c>
      <c r="I177" s="10" t="s">
        <v>215</v>
      </c>
      <c r="J177" s="12">
        <v>46050</v>
      </c>
      <c r="K177" s="10" t="s">
        <v>13</v>
      </c>
      <c r="L177" s="11">
        <v>68</v>
      </c>
      <c r="M177" s="10" t="s">
        <v>166</v>
      </c>
      <c r="N177" s="11">
        <v>190216</v>
      </c>
      <c r="O177" s="66"/>
      <c r="P177" s="66"/>
      <c r="Q177" s="7"/>
    </row>
    <row r="178" spans="1:17" ht="16.5">
      <c r="A178" s="11">
        <v>190219</v>
      </c>
      <c r="B178" s="11">
        <v>162277</v>
      </c>
      <c r="C178" s="10" t="s">
        <v>261</v>
      </c>
      <c r="D178" s="10" t="s">
        <v>262</v>
      </c>
      <c r="E178" s="10" t="s">
        <v>265</v>
      </c>
      <c r="F178" s="10" t="s">
        <v>193</v>
      </c>
      <c r="G178" s="11" t="s">
        <v>163</v>
      </c>
      <c r="H178" s="11" t="s">
        <v>164</v>
      </c>
      <c r="I178" s="10" t="s">
        <v>215</v>
      </c>
      <c r="J178" s="12">
        <v>46050</v>
      </c>
      <c r="K178" s="10" t="s">
        <v>14</v>
      </c>
      <c r="L178" s="11">
        <v>47</v>
      </c>
      <c r="M178" s="10" t="s">
        <v>166</v>
      </c>
      <c r="N178" s="11">
        <v>190219</v>
      </c>
      <c r="O178" s="66"/>
      <c r="P178" s="66"/>
      <c r="Q178" s="7"/>
    </row>
    <row r="179" spans="1:17" ht="16.5">
      <c r="A179" s="11">
        <v>190217</v>
      </c>
      <c r="B179" s="11">
        <v>162277</v>
      </c>
      <c r="C179" s="10" t="s">
        <v>261</v>
      </c>
      <c r="D179" s="10" t="s">
        <v>262</v>
      </c>
      <c r="E179" s="10" t="s">
        <v>265</v>
      </c>
      <c r="F179" s="10" t="s">
        <v>196</v>
      </c>
      <c r="G179" s="11" t="s">
        <v>163</v>
      </c>
      <c r="H179" s="11" t="s">
        <v>164</v>
      </c>
      <c r="I179" s="10" t="s">
        <v>215</v>
      </c>
      <c r="J179" s="12">
        <v>46050</v>
      </c>
      <c r="K179" s="10" t="s">
        <v>14</v>
      </c>
      <c r="L179" s="11">
        <v>47</v>
      </c>
      <c r="M179" s="10" t="s">
        <v>166</v>
      </c>
      <c r="N179" s="11">
        <v>190217</v>
      </c>
      <c r="O179" s="66"/>
      <c r="P179" s="66"/>
      <c r="Q179" s="7"/>
    </row>
    <row r="180" spans="1:17" ht="16.5">
      <c r="A180" s="11">
        <v>190218</v>
      </c>
      <c r="B180" s="11">
        <v>162277</v>
      </c>
      <c r="C180" s="10" t="s">
        <v>261</v>
      </c>
      <c r="D180" s="10" t="s">
        <v>262</v>
      </c>
      <c r="E180" s="10" t="s">
        <v>265</v>
      </c>
      <c r="F180" s="10" t="s">
        <v>197</v>
      </c>
      <c r="G180" s="11" t="s">
        <v>163</v>
      </c>
      <c r="H180" s="11" t="s">
        <v>164</v>
      </c>
      <c r="I180" s="10" t="s">
        <v>215</v>
      </c>
      <c r="J180" s="12">
        <v>46050</v>
      </c>
      <c r="K180" s="10" t="s">
        <v>14</v>
      </c>
      <c r="L180" s="11">
        <v>47</v>
      </c>
      <c r="M180" s="10" t="s">
        <v>166</v>
      </c>
      <c r="N180" s="11">
        <v>190218</v>
      </c>
      <c r="O180" s="66"/>
      <c r="P180" s="66"/>
      <c r="Q180" s="7"/>
    </row>
    <row r="181" spans="1:17" ht="16.5">
      <c r="A181" s="11">
        <v>190224</v>
      </c>
      <c r="B181" s="11">
        <v>161626</v>
      </c>
      <c r="C181" s="10" t="s">
        <v>266</v>
      </c>
      <c r="D181" s="10" t="s">
        <v>267</v>
      </c>
      <c r="E181" s="10" t="s">
        <v>268</v>
      </c>
      <c r="F181" s="10" t="s">
        <v>169</v>
      </c>
      <c r="G181" s="11" t="s">
        <v>163</v>
      </c>
      <c r="H181" s="11" t="s">
        <v>228</v>
      </c>
      <c r="I181" s="10" t="s">
        <v>165</v>
      </c>
      <c r="J181" s="12">
        <v>46041</v>
      </c>
      <c r="K181" s="10" t="s">
        <v>15</v>
      </c>
      <c r="L181" s="11">
        <v>45</v>
      </c>
      <c r="M181" s="10" t="s">
        <v>166</v>
      </c>
      <c r="N181" s="11">
        <v>190224</v>
      </c>
      <c r="O181" s="66"/>
      <c r="P181" s="66"/>
      <c r="Q181" s="7"/>
    </row>
    <row r="182" spans="1:17" ht="16.5">
      <c r="A182" s="11">
        <v>190226</v>
      </c>
      <c r="B182" s="11">
        <v>162271</v>
      </c>
      <c r="C182" s="10" t="s">
        <v>266</v>
      </c>
      <c r="D182" s="10" t="s">
        <v>267</v>
      </c>
      <c r="E182" s="10" t="s">
        <v>269</v>
      </c>
      <c r="F182" s="10" t="s">
        <v>193</v>
      </c>
      <c r="G182" s="11" t="s">
        <v>163</v>
      </c>
      <c r="H182" s="11" t="s">
        <v>228</v>
      </c>
      <c r="I182" s="10" t="s">
        <v>165</v>
      </c>
      <c r="J182" s="12">
        <v>46041</v>
      </c>
      <c r="K182" s="10" t="s">
        <v>15</v>
      </c>
      <c r="L182" s="11">
        <v>48</v>
      </c>
      <c r="M182" s="10" t="s">
        <v>166</v>
      </c>
      <c r="N182" s="11">
        <v>190226</v>
      </c>
      <c r="O182" s="66"/>
      <c r="P182" s="66"/>
      <c r="Q182" s="7"/>
    </row>
    <row r="183" spans="1:17" ht="16.5">
      <c r="A183" s="11">
        <v>190225</v>
      </c>
      <c r="B183" s="11">
        <v>162271</v>
      </c>
      <c r="C183" s="10" t="s">
        <v>266</v>
      </c>
      <c r="D183" s="10" t="s">
        <v>267</v>
      </c>
      <c r="E183" s="10" t="s">
        <v>269</v>
      </c>
      <c r="F183" s="10" t="s">
        <v>196</v>
      </c>
      <c r="G183" s="11" t="s">
        <v>163</v>
      </c>
      <c r="H183" s="11" t="s">
        <v>228</v>
      </c>
      <c r="I183" s="10" t="s">
        <v>165</v>
      </c>
      <c r="J183" s="12">
        <v>46041</v>
      </c>
      <c r="K183" s="10" t="s">
        <v>15</v>
      </c>
      <c r="L183" s="11">
        <v>48</v>
      </c>
      <c r="M183" s="10" t="s">
        <v>166</v>
      </c>
      <c r="N183" s="11">
        <v>190225</v>
      </c>
      <c r="O183" s="66"/>
      <c r="P183" s="66"/>
      <c r="Q183" s="7"/>
    </row>
    <row r="184" spans="1:17" ht="16.5">
      <c r="A184" s="11">
        <v>190227</v>
      </c>
      <c r="B184" s="11">
        <v>162271</v>
      </c>
      <c r="C184" s="10" t="s">
        <v>266</v>
      </c>
      <c r="D184" s="10" t="s">
        <v>267</v>
      </c>
      <c r="E184" s="10" t="s">
        <v>269</v>
      </c>
      <c r="F184" s="10" t="s">
        <v>197</v>
      </c>
      <c r="G184" s="11" t="s">
        <v>163</v>
      </c>
      <c r="H184" s="11" t="s">
        <v>228</v>
      </c>
      <c r="I184" s="10" t="s">
        <v>165</v>
      </c>
      <c r="J184" s="12">
        <v>46041</v>
      </c>
      <c r="K184" s="10" t="s">
        <v>15</v>
      </c>
      <c r="L184" s="11">
        <v>48</v>
      </c>
      <c r="M184" s="10" t="s">
        <v>166</v>
      </c>
      <c r="N184" s="11">
        <v>190227</v>
      </c>
      <c r="O184" s="66"/>
      <c r="P184" s="66"/>
      <c r="Q184" s="7"/>
    </row>
    <row r="185" spans="1:17" ht="16.5">
      <c r="A185" s="11">
        <v>190228</v>
      </c>
      <c r="B185" s="11">
        <v>162272</v>
      </c>
      <c r="C185" s="10" t="s">
        <v>266</v>
      </c>
      <c r="D185" s="10" t="s">
        <v>267</v>
      </c>
      <c r="E185" s="10" t="s">
        <v>269</v>
      </c>
      <c r="F185" s="10" t="s">
        <v>193</v>
      </c>
      <c r="G185" s="11" t="s">
        <v>163</v>
      </c>
      <c r="H185" s="11" t="s">
        <v>228</v>
      </c>
      <c r="I185" s="10" t="s">
        <v>165</v>
      </c>
      <c r="J185" s="12">
        <v>46041</v>
      </c>
      <c r="K185" s="10" t="s">
        <v>15</v>
      </c>
      <c r="L185" s="11">
        <v>53</v>
      </c>
      <c r="M185" s="10" t="s">
        <v>166</v>
      </c>
      <c r="N185" s="11">
        <v>190228</v>
      </c>
      <c r="O185" s="66"/>
      <c r="P185" s="66"/>
      <c r="Q185" s="7"/>
    </row>
    <row r="186" spans="1:17" ht="16.5">
      <c r="A186" s="11">
        <v>190230</v>
      </c>
      <c r="B186" s="11">
        <v>162272</v>
      </c>
      <c r="C186" s="10" t="s">
        <v>266</v>
      </c>
      <c r="D186" s="10" t="s">
        <v>267</v>
      </c>
      <c r="E186" s="10" t="s">
        <v>269</v>
      </c>
      <c r="F186" s="10" t="s">
        <v>196</v>
      </c>
      <c r="G186" s="11" t="s">
        <v>163</v>
      </c>
      <c r="H186" s="11" t="s">
        <v>228</v>
      </c>
      <c r="I186" s="10" t="s">
        <v>165</v>
      </c>
      <c r="J186" s="12">
        <v>46041</v>
      </c>
      <c r="K186" s="10" t="s">
        <v>15</v>
      </c>
      <c r="L186" s="11">
        <v>53</v>
      </c>
      <c r="M186" s="10" t="s">
        <v>166</v>
      </c>
      <c r="N186" s="11">
        <v>190230</v>
      </c>
      <c r="O186" s="66"/>
      <c r="P186" s="66"/>
      <c r="Q186" s="7"/>
    </row>
    <row r="187" spans="1:17" ht="16.5">
      <c r="A187" s="11">
        <v>190229</v>
      </c>
      <c r="B187" s="11">
        <v>162272</v>
      </c>
      <c r="C187" s="10" t="s">
        <v>266</v>
      </c>
      <c r="D187" s="10" t="s">
        <v>267</v>
      </c>
      <c r="E187" s="10" t="s">
        <v>269</v>
      </c>
      <c r="F187" s="10" t="s">
        <v>197</v>
      </c>
      <c r="G187" s="11" t="s">
        <v>163</v>
      </c>
      <c r="H187" s="11" t="s">
        <v>228</v>
      </c>
      <c r="I187" s="10" t="s">
        <v>165</v>
      </c>
      <c r="J187" s="12">
        <v>46041</v>
      </c>
      <c r="K187" s="10" t="s">
        <v>15</v>
      </c>
      <c r="L187" s="11">
        <v>53</v>
      </c>
      <c r="M187" s="10" t="s">
        <v>166</v>
      </c>
      <c r="N187" s="11">
        <v>190229</v>
      </c>
      <c r="O187" s="66"/>
      <c r="P187" s="66"/>
      <c r="Q187" s="7"/>
    </row>
    <row r="188" spans="1:17" ht="16.5">
      <c r="A188" s="11">
        <v>190233</v>
      </c>
      <c r="B188" s="11">
        <v>162273</v>
      </c>
      <c r="C188" s="10" t="s">
        <v>266</v>
      </c>
      <c r="D188" s="10" t="s">
        <v>267</v>
      </c>
      <c r="E188" s="10" t="s">
        <v>257</v>
      </c>
      <c r="F188" s="10" t="s">
        <v>193</v>
      </c>
      <c r="G188" s="11" t="s">
        <v>163</v>
      </c>
      <c r="H188" s="11" t="s">
        <v>228</v>
      </c>
      <c r="I188" s="10" t="s">
        <v>165</v>
      </c>
      <c r="J188" s="12">
        <v>46041</v>
      </c>
      <c r="K188" s="10" t="s">
        <v>15</v>
      </c>
      <c r="L188" s="11">
        <v>54</v>
      </c>
      <c r="M188" s="10" t="s">
        <v>166</v>
      </c>
      <c r="N188" s="11">
        <v>190233</v>
      </c>
      <c r="O188" s="66"/>
      <c r="P188" s="66"/>
      <c r="Q188" s="7"/>
    </row>
    <row r="189" spans="1:17" ht="16.5">
      <c r="A189" s="33">
        <v>190232</v>
      </c>
      <c r="B189" s="33">
        <v>162273</v>
      </c>
      <c r="C189" s="32" t="s">
        <v>266</v>
      </c>
      <c r="D189" s="32" t="s">
        <v>267</v>
      </c>
      <c r="E189" s="32" t="s">
        <v>257</v>
      </c>
      <c r="F189" s="32" t="s">
        <v>196</v>
      </c>
      <c r="G189" s="33" t="s">
        <v>163</v>
      </c>
      <c r="H189" s="33" t="s">
        <v>228</v>
      </c>
      <c r="I189" s="32" t="s">
        <v>165</v>
      </c>
      <c r="J189" s="34">
        <v>46041</v>
      </c>
      <c r="K189" s="32" t="s">
        <v>13</v>
      </c>
      <c r="L189" s="33">
        <v>53</v>
      </c>
      <c r="M189" s="32" t="s">
        <v>166</v>
      </c>
      <c r="N189" s="33">
        <v>190232</v>
      </c>
      <c r="O189" s="67" t="s">
        <v>270</v>
      </c>
      <c r="P189" s="66" t="s">
        <v>271</v>
      </c>
      <c r="Q189" s="7"/>
    </row>
    <row r="190" spans="1:17" ht="16.5">
      <c r="A190" s="11">
        <v>190231</v>
      </c>
      <c r="B190" s="11">
        <v>162273</v>
      </c>
      <c r="C190" s="10" t="s">
        <v>266</v>
      </c>
      <c r="D190" s="10" t="s">
        <v>267</v>
      </c>
      <c r="E190" s="10" t="s">
        <v>257</v>
      </c>
      <c r="F190" s="10" t="s">
        <v>197</v>
      </c>
      <c r="G190" s="11" t="s">
        <v>163</v>
      </c>
      <c r="H190" s="11" t="s">
        <v>228</v>
      </c>
      <c r="I190" s="10" t="s">
        <v>165</v>
      </c>
      <c r="J190" s="12">
        <v>46041</v>
      </c>
      <c r="K190" s="10" t="s">
        <v>14</v>
      </c>
      <c r="L190" s="11">
        <v>53</v>
      </c>
      <c r="M190" s="10" t="s">
        <v>166</v>
      </c>
      <c r="N190" s="11">
        <v>190231</v>
      </c>
      <c r="O190" s="66"/>
      <c r="P190" s="66"/>
      <c r="Q190" s="7"/>
    </row>
    <row r="191" spans="1:17" ht="16.5">
      <c r="A191" s="11">
        <v>190239</v>
      </c>
      <c r="B191" s="11">
        <v>162268</v>
      </c>
      <c r="C191" s="10" t="s">
        <v>272</v>
      </c>
      <c r="D191" s="10" t="s">
        <v>273</v>
      </c>
      <c r="E191" s="10" t="s">
        <v>274</v>
      </c>
      <c r="F191" s="10" t="s">
        <v>196</v>
      </c>
      <c r="G191" s="11" t="s">
        <v>163</v>
      </c>
      <c r="H191" s="11" t="s">
        <v>164</v>
      </c>
      <c r="I191" s="10" t="s">
        <v>165</v>
      </c>
      <c r="J191" s="12">
        <v>46048</v>
      </c>
      <c r="K191" s="10" t="s">
        <v>13</v>
      </c>
      <c r="L191" s="11">
        <v>46</v>
      </c>
      <c r="M191" s="10" t="s">
        <v>166</v>
      </c>
      <c r="N191" s="11">
        <v>190239</v>
      </c>
      <c r="O191" s="66"/>
      <c r="P191" s="66"/>
      <c r="Q191" s="7"/>
    </row>
    <row r="192" spans="1:17" ht="16.5">
      <c r="A192" s="11">
        <v>190238</v>
      </c>
      <c r="B192" s="11">
        <v>162268</v>
      </c>
      <c r="C192" s="10" t="s">
        <v>272</v>
      </c>
      <c r="D192" s="10" t="s">
        <v>273</v>
      </c>
      <c r="E192" s="10" t="s">
        <v>274</v>
      </c>
      <c r="F192" s="10" t="s">
        <v>193</v>
      </c>
      <c r="G192" s="11" t="s">
        <v>163</v>
      </c>
      <c r="H192" s="11" t="s">
        <v>164</v>
      </c>
      <c r="I192" s="10" t="s">
        <v>165</v>
      </c>
      <c r="J192" s="12">
        <v>46048</v>
      </c>
      <c r="K192" s="10" t="s">
        <v>13</v>
      </c>
      <c r="L192" s="11">
        <v>46</v>
      </c>
      <c r="M192" s="10" t="s">
        <v>166</v>
      </c>
      <c r="N192" s="11">
        <v>190238</v>
      </c>
      <c r="O192" s="66"/>
      <c r="P192" s="66"/>
      <c r="Q192" s="7"/>
    </row>
    <row r="193" spans="1:17" ht="16.5">
      <c r="A193" s="11">
        <v>190241</v>
      </c>
      <c r="B193" s="11">
        <v>162269</v>
      </c>
      <c r="C193" s="10" t="s">
        <v>272</v>
      </c>
      <c r="D193" s="10" t="s">
        <v>273</v>
      </c>
      <c r="E193" s="10" t="s">
        <v>274</v>
      </c>
      <c r="F193" s="10" t="s">
        <v>193</v>
      </c>
      <c r="G193" s="11" t="s">
        <v>163</v>
      </c>
      <c r="H193" s="11" t="s">
        <v>164</v>
      </c>
      <c r="I193" s="10" t="s">
        <v>165</v>
      </c>
      <c r="J193" s="12">
        <v>46048</v>
      </c>
      <c r="K193" s="10" t="s">
        <v>13</v>
      </c>
      <c r="L193" s="11">
        <v>50</v>
      </c>
      <c r="M193" s="10" t="s">
        <v>166</v>
      </c>
      <c r="N193" s="11">
        <v>190241</v>
      </c>
      <c r="O193" s="66"/>
      <c r="P193" s="66"/>
      <c r="Q193" s="7"/>
    </row>
    <row r="194" spans="1:17" ht="16.5">
      <c r="A194" s="11">
        <v>190240</v>
      </c>
      <c r="B194" s="11">
        <v>162269</v>
      </c>
      <c r="C194" s="10" t="s">
        <v>272</v>
      </c>
      <c r="D194" s="10" t="s">
        <v>273</v>
      </c>
      <c r="E194" s="10" t="s">
        <v>274</v>
      </c>
      <c r="F194" s="10" t="s">
        <v>196</v>
      </c>
      <c r="G194" s="11" t="s">
        <v>163</v>
      </c>
      <c r="H194" s="11" t="s">
        <v>164</v>
      </c>
      <c r="I194" s="10" t="s">
        <v>165</v>
      </c>
      <c r="J194" s="12">
        <v>46048</v>
      </c>
      <c r="K194" s="10" t="s">
        <v>13</v>
      </c>
      <c r="L194" s="11">
        <v>49</v>
      </c>
      <c r="M194" s="10" t="s">
        <v>166</v>
      </c>
      <c r="N194" s="11">
        <v>190240</v>
      </c>
      <c r="O194" s="66"/>
      <c r="P194" s="66"/>
      <c r="Q194" s="7"/>
    </row>
    <row r="195" spans="1:17" ht="16.5">
      <c r="A195" s="11">
        <v>190242</v>
      </c>
      <c r="B195" s="11">
        <v>164865</v>
      </c>
      <c r="C195" s="10" t="s">
        <v>272</v>
      </c>
      <c r="D195" s="10" t="s">
        <v>273</v>
      </c>
      <c r="E195" s="10" t="s">
        <v>275</v>
      </c>
      <c r="F195" s="10" t="s">
        <v>169</v>
      </c>
      <c r="G195" s="11" t="s">
        <v>163</v>
      </c>
      <c r="H195" s="11" t="s">
        <v>164</v>
      </c>
      <c r="I195" s="10" t="s">
        <v>165</v>
      </c>
      <c r="J195" s="12">
        <v>46048</v>
      </c>
      <c r="K195" s="10" t="s">
        <v>13</v>
      </c>
      <c r="L195" s="11">
        <v>25</v>
      </c>
      <c r="M195" s="10" t="s">
        <v>166</v>
      </c>
      <c r="N195" s="11">
        <v>190242</v>
      </c>
      <c r="O195" s="66"/>
      <c r="P195" s="66"/>
      <c r="Q195" s="7"/>
    </row>
    <row r="196" spans="1:17" ht="16.5">
      <c r="A196" s="11">
        <v>190272</v>
      </c>
      <c r="B196" s="11">
        <v>161861</v>
      </c>
      <c r="C196" s="10" t="s">
        <v>276</v>
      </c>
      <c r="D196" s="10" t="s">
        <v>277</v>
      </c>
      <c r="E196" s="10" t="s">
        <v>241</v>
      </c>
      <c r="F196" s="10" t="s">
        <v>169</v>
      </c>
      <c r="G196" s="11" t="s">
        <v>163</v>
      </c>
      <c r="H196" s="11" t="s">
        <v>228</v>
      </c>
      <c r="I196" s="10" t="s">
        <v>278</v>
      </c>
      <c r="J196" s="12">
        <v>46042</v>
      </c>
      <c r="K196" s="10" t="s">
        <v>11</v>
      </c>
      <c r="L196" s="11">
        <v>71</v>
      </c>
      <c r="M196" s="10" t="s">
        <v>166</v>
      </c>
      <c r="N196" s="11">
        <v>190272</v>
      </c>
      <c r="O196" s="66"/>
      <c r="P196" s="66"/>
      <c r="Q196" s="7"/>
    </row>
    <row r="197" spans="1:17" ht="16.5">
      <c r="A197" s="11">
        <v>190274</v>
      </c>
      <c r="B197" s="11">
        <v>161862</v>
      </c>
      <c r="C197" s="10" t="s">
        <v>276</v>
      </c>
      <c r="D197" s="10" t="s">
        <v>277</v>
      </c>
      <c r="E197" s="10" t="s">
        <v>241</v>
      </c>
      <c r="F197" s="10" t="s">
        <v>196</v>
      </c>
      <c r="G197" s="11" t="s">
        <v>163</v>
      </c>
      <c r="H197" s="11" t="s">
        <v>228</v>
      </c>
      <c r="I197" s="10" t="s">
        <v>278</v>
      </c>
      <c r="J197" s="12">
        <v>46042</v>
      </c>
      <c r="K197" s="10" t="s">
        <v>11</v>
      </c>
      <c r="L197" s="11">
        <v>40</v>
      </c>
      <c r="M197" s="10" t="s">
        <v>166</v>
      </c>
      <c r="N197" s="11">
        <v>190274</v>
      </c>
      <c r="O197" s="66"/>
      <c r="P197" s="66"/>
      <c r="Q197" s="7"/>
    </row>
    <row r="198" spans="1:17" ht="16.5">
      <c r="A198" s="11">
        <v>190273</v>
      </c>
      <c r="B198" s="11">
        <v>161862</v>
      </c>
      <c r="C198" s="10" t="s">
        <v>276</v>
      </c>
      <c r="D198" s="10" t="s">
        <v>277</v>
      </c>
      <c r="E198" s="10" t="s">
        <v>241</v>
      </c>
      <c r="F198" s="10" t="s">
        <v>193</v>
      </c>
      <c r="G198" s="11" t="s">
        <v>163</v>
      </c>
      <c r="H198" s="11" t="s">
        <v>228</v>
      </c>
      <c r="I198" s="10" t="s">
        <v>278</v>
      </c>
      <c r="J198" s="12">
        <v>46042</v>
      </c>
      <c r="K198" s="10" t="s">
        <v>11</v>
      </c>
      <c r="L198" s="11">
        <v>40</v>
      </c>
      <c r="M198" s="10" t="s">
        <v>166</v>
      </c>
      <c r="N198" s="11">
        <v>190273</v>
      </c>
      <c r="O198" s="66"/>
      <c r="P198" s="66"/>
      <c r="Q198" s="7"/>
    </row>
    <row r="199" spans="1:17" ht="16.5">
      <c r="A199" s="11">
        <v>190330</v>
      </c>
      <c r="B199" s="11">
        <v>161857</v>
      </c>
      <c r="C199" s="10" t="s">
        <v>279</v>
      </c>
      <c r="D199" s="10" t="s">
        <v>280</v>
      </c>
      <c r="E199" s="10" t="s">
        <v>241</v>
      </c>
      <c r="F199" s="10" t="s">
        <v>193</v>
      </c>
      <c r="G199" s="11" t="s">
        <v>163</v>
      </c>
      <c r="H199" s="11" t="s">
        <v>194</v>
      </c>
      <c r="I199" s="10" t="s">
        <v>238</v>
      </c>
      <c r="J199" s="12">
        <v>46059</v>
      </c>
      <c r="K199" s="10" t="s">
        <v>13</v>
      </c>
      <c r="L199" s="11">
        <v>47</v>
      </c>
      <c r="M199" s="10" t="s">
        <v>166</v>
      </c>
      <c r="N199" s="11">
        <v>190330</v>
      </c>
      <c r="O199" s="66"/>
      <c r="P199" s="66"/>
      <c r="Q199" s="7"/>
    </row>
    <row r="200" spans="1:17" ht="16.5">
      <c r="A200" s="11">
        <v>190331</v>
      </c>
      <c r="B200" s="11">
        <v>161857</v>
      </c>
      <c r="C200" s="10" t="s">
        <v>279</v>
      </c>
      <c r="D200" s="10" t="s">
        <v>280</v>
      </c>
      <c r="E200" s="10" t="s">
        <v>241</v>
      </c>
      <c r="F200" s="10" t="s">
        <v>196</v>
      </c>
      <c r="G200" s="11" t="s">
        <v>163</v>
      </c>
      <c r="H200" s="11" t="s">
        <v>194</v>
      </c>
      <c r="I200" s="10" t="s">
        <v>238</v>
      </c>
      <c r="J200" s="12">
        <v>46059</v>
      </c>
      <c r="K200" s="10" t="s">
        <v>13</v>
      </c>
      <c r="L200" s="11">
        <v>50</v>
      </c>
      <c r="M200" s="10" t="s">
        <v>166</v>
      </c>
      <c r="N200" s="11">
        <v>190331</v>
      </c>
      <c r="O200" s="66"/>
      <c r="P200" s="66"/>
      <c r="Q200" s="7"/>
    </row>
    <row r="201" spans="1:17" ht="16.5">
      <c r="A201" s="11">
        <v>190332</v>
      </c>
      <c r="B201" s="11">
        <v>161858</v>
      </c>
      <c r="C201" s="10" t="s">
        <v>279</v>
      </c>
      <c r="D201" s="10" t="s">
        <v>280</v>
      </c>
      <c r="E201" s="10" t="s">
        <v>241</v>
      </c>
      <c r="F201" s="10" t="s">
        <v>196</v>
      </c>
      <c r="G201" s="11" t="s">
        <v>163</v>
      </c>
      <c r="H201" s="11" t="s">
        <v>194</v>
      </c>
      <c r="I201" s="10" t="s">
        <v>238</v>
      </c>
      <c r="J201" s="12">
        <v>46059</v>
      </c>
      <c r="K201" s="10" t="s">
        <v>13</v>
      </c>
      <c r="L201" s="11">
        <v>49</v>
      </c>
      <c r="M201" s="10" t="s">
        <v>166</v>
      </c>
      <c r="N201" s="11">
        <v>190332</v>
      </c>
      <c r="O201" s="66"/>
      <c r="P201" s="66"/>
      <c r="Q201" s="7"/>
    </row>
    <row r="202" spans="1:17" ht="16.5">
      <c r="A202" s="11">
        <v>190333</v>
      </c>
      <c r="B202" s="11">
        <v>161858</v>
      </c>
      <c r="C202" s="10" t="s">
        <v>279</v>
      </c>
      <c r="D202" s="10" t="s">
        <v>280</v>
      </c>
      <c r="E202" s="10" t="s">
        <v>241</v>
      </c>
      <c r="F202" s="10" t="s">
        <v>193</v>
      </c>
      <c r="G202" s="11" t="s">
        <v>163</v>
      </c>
      <c r="H202" s="11" t="s">
        <v>194</v>
      </c>
      <c r="I202" s="10" t="s">
        <v>238</v>
      </c>
      <c r="J202" s="12">
        <v>46059</v>
      </c>
      <c r="K202" s="10" t="s">
        <v>13</v>
      </c>
      <c r="L202" s="11">
        <v>50</v>
      </c>
      <c r="M202" s="10" t="s">
        <v>166</v>
      </c>
      <c r="N202" s="11">
        <v>190333</v>
      </c>
      <c r="O202" s="66"/>
      <c r="P202" s="66"/>
      <c r="Q202" s="7"/>
    </row>
    <row r="203" spans="1:17" ht="16.5">
      <c r="A203" s="11">
        <v>190342</v>
      </c>
      <c r="B203" s="11">
        <v>161703</v>
      </c>
      <c r="C203" s="10" t="s">
        <v>69</v>
      </c>
      <c r="D203" s="10" t="s">
        <v>281</v>
      </c>
      <c r="E203" s="10" t="s">
        <v>282</v>
      </c>
      <c r="F203" s="10" t="s">
        <v>196</v>
      </c>
      <c r="G203" s="11" t="s">
        <v>163</v>
      </c>
      <c r="H203" s="11" t="s">
        <v>228</v>
      </c>
      <c r="I203" s="10" t="s">
        <v>283</v>
      </c>
      <c r="J203" s="12">
        <v>46044</v>
      </c>
      <c r="K203" s="10" t="s">
        <v>14</v>
      </c>
      <c r="L203" s="11">
        <v>63</v>
      </c>
      <c r="M203" s="10" t="s">
        <v>166</v>
      </c>
      <c r="N203" s="11">
        <v>190342</v>
      </c>
      <c r="O203" s="66"/>
      <c r="P203" s="66"/>
      <c r="Q203" s="7"/>
    </row>
    <row r="204" spans="1:17" ht="16.5">
      <c r="A204" s="11">
        <v>190341</v>
      </c>
      <c r="B204" s="11">
        <v>161703</v>
      </c>
      <c r="C204" s="10" t="s">
        <v>69</v>
      </c>
      <c r="D204" s="10" t="s">
        <v>281</v>
      </c>
      <c r="E204" s="10" t="s">
        <v>282</v>
      </c>
      <c r="F204" s="10" t="s">
        <v>193</v>
      </c>
      <c r="G204" s="11" t="s">
        <v>163</v>
      </c>
      <c r="H204" s="11" t="s">
        <v>228</v>
      </c>
      <c r="I204" s="10" t="s">
        <v>283</v>
      </c>
      <c r="J204" s="12">
        <v>46044</v>
      </c>
      <c r="K204" s="10" t="s">
        <v>14</v>
      </c>
      <c r="L204" s="11">
        <v>63</v>
      </c>
      <c r="M204" s="10" t="s">
        <v>166</v>
      </c>
      <c r="N204" s="11">
        <v>190341</v>
      </c>
      <c r="O204" s="66"/>
      <c r="P204" s="66"/>
      <c r="Q204" s="7"/>
    </row>
    <row r="205" spans="1:17" ht="16.5">
      <c r="A205" s="11">
        <v>190376</v>
      </c>
      <c r="B205" s="11">
        <v>161863</v>
      </c>
      <c r="C205" s="10" t="s">
        <v>284</v>
      </c>
      <c r="D205" s="10" t="s">
        <v>285</v>
      </c>
      <c r="E205" s="10" t="s">
        <v>286</v>
      </c>
      <c r="F205" s="10" t="s">
        <v>193</v>
      </c>
      <c r="G205" s="11" t="s">
        <v>163</v>
      </c>
      <c r="H205" s="11" t="s">
        <v>164</v>
      </c>
      <c r="I205" s="10" t="s">
        <v>283</v>
      </c>
      <c r="J205" s="12">
        <v>46051</v>
      </c>
      <c r="K205" s="10" t="s">
        <v>15</v>
      </c>
      <c r="L205" s="11">
        <v>58</v>
      </c>
      <c r="M205" s="10" t="s">
        <v>166</v>
      </c>
      <c r="N205" s="11">
        <v>190376</v>
      </c>
      <c r="O205" s="66"/>
      <c r="P205" s="66"/>
      <c r="Q205" s="7"/>
    </row>
    <row r="206" spans="1:17" ht="16.5">
      <c r="A206" s="11">
        <v>190377</v>
      </c>
      <c r="B206" s="11">
        <v>161863</v>
      </c>
      <c r="C206" s="10" t="s">
        <v>284</v>
      </c>
      <c r="D206" s="10" t="s">
        <v>285</v>
      </c>
      <c r="E206" s="10" t="s">
        <v>286</v>
      </c>
      <c r="F206" s="10" t="s">
        <v>196</v>
      </c>
      <c r="G206" s="11" t="s">
        <v>163</v>
      </c>
      <c r="H206" s="11" t="s">
        <v>164</v>
      </c>
      <c r="I206" s="10" t="s">
        <v>283</v>
      </c>
      <c r="J206" s="12">
        <v>46051</v>
      </c>
      <c r="K206" s="10" t="s">
        <v>15</v>
      </c>
      <c r="L206" s="11">
        <v>58</v>
      </c>
      <c r="M206" s="10" t="s">
        <v>166</v>
      </c>
      <c r="N206" s="11">
        <v>190377</v>
      </c>
      <c r="O206" s="66"/>
      <c r="P206" s="66"/>
      <c r="Q206" s="7"/>
    </row>
    <row r="207" spans="1:17" ht="16.5">
      <c r="A207" s="11">
        <v>190385</v>
      </c>
      <c r="B207" s="11">
        <v>162281</v>
      </c>
      <c r="C207" s="10" t="s">
        <v>68</v>
      </c>
      <c r="D207" s="10" t="s">
        <v>287</v>
      </c>
      <c r="E207" s="10" t="s">
        <v>288</v>
      </c>
      <c r="F207" s="10" t="s">
        <v>196</v>
      </c>
      <c r="G207" s="11" t="s">
        <v>163</v>
      </c>
      <c r="H207" s="11" t="s">
        <v>228</v>
      </c>
      <c r="I207" s="10" t="s">
        <v>283</v>
      </c>
      <c r="J207" s="12">
        <v>46044</v>
      </c>
      <c r="K207" s="10" t="s">
        <v>15</v>
      </c>
      <c r="L207" s="11">
        <v>68</v>
      </c>
      <c r="M207" s="10" t="s">
        <v>166</v>
      </c>
      <c r="N207" s="11">
        <v>190385</v>
      </c>
      <c r="O207" s="66"/>
      <c r="P207" s="66"/>
      <c r="Q207" s="7"/>
    </row>
    <row r="208" spans="1:17" ht="16.5">
      <c r="A208" s="11">
        <v>190384</v>
      </c>
      <c r="B208" s="11">
        <v>162281</v>
      </c>
      <c r="C208" s="10" t="s">
        <v>68</v>
      </c>
      <c r="D208" s="10" t="s">
        <v>287</v>
      </c>
      <c r="E208" s="10" t="s">
        <v>288</v>
      </c>
      <c r="F208" s="10" t="s">
        <v>193</v>
      </c>
      <c r="G208" s="11" t="s">
        <v>163</v>
      </c>
      <c r="H208" s="11" t="s">
        <v>228</v>
      </c>
      <c r="I208" s="10" t="s">
        <v>283</v>
      </c>
      <c r="J208" s="12">
        <v>46044</v>
      </c>
      <c r="K208" s="10" t="s">
        <v>15</v>
      </c>
      <c r="L208" s="11">
        <v>69</v>
      </c>
      <c r="M208" s="10" t="s">
        <v>166</v>
      </c>
      <c r="N208" s="11">
        <v>190384</v>
      </c>
      <c r="O208" s="66"/>
      <c r="P208" s="66"/>
      <c r="Q208" s="7"/>
    </row>
    <row r="209" spans="1:17" ht="16.5">
      <c r="A209" s="11">
        <v>190388</v>
      </c>
      <c r="B209" s="11">
        <v>162282</v>
      </c>
      <c r="C209" s="10" t="s">
        <v>68</v>
      </c>
      <c r="D209" s="10" t="s">
        <v>287</v>
      </c>
      <c r="E209" s="10" t="s">
        <v>288</v>
      </c>
      <c r="F209" s="10" t="s">
        <v>193</v>
      </c>
      <c r="G209" s="11" t="s">
        <v>163</v>
      </c>
      <c r="H209" s="11" t="s">
        <v>228</v>
      </c>
      <c r="I209" s="10" t="s">
        <v>283</v>
      </c>
      <c r="J209" s="12">
        <v>46044</v>
      </c>
      <c r="K209" s="10" t="s">
        <v>15</v>
      </c>
      <c r="L209" s="11">
        <v>47</v>
      </c>
      <c r="M209" s="10" t="s">
        <v>166</v>
      </c>
      <c r="N209" s="11">
        <v>190388</v>
      </c>
      <c r="O209" s="66"/>
      <c r="P209" s="66"/>
      <c r="Q209" s="7"/>
    </row>
    <row r="210" spans="1:17" ht="16.5">
      <c r="A210" s="11">
        <v>190387</v>
      </c>
      <c r="B210" s="11">
        <v>162282</v>
      </c>
      <c r="C210" s="10" t="s">
        <v>68</v>
      </c>
      <c r="D210" s="10" t="s">
        <v>287</v>
      </c>
      <c r="E210" s="10" t="s">
        <v>288</v>
      </c>
      <c r="F210" s="10" t="s">
        <v>196</v>
      </c>
      <c r="G210" s="11" t="s">
        <v>163</v>
      </c>
      <c r="H210" s="11" t="s">
        <v>228</v>
      </c>
      <c r="I210" s="10" t="s">
        <v>283</v>
      </c>
      <c r="J210" s="12">
        <v>46044</v>
      </c>
      <c r="K210" s="10" t="s">
        <v>15</v>
      </c>
      <c r="L210" s="11">
        <v>47</v>
      </c>
      <c r="M210" s="10" t="s">
        <v>166</v>
      </c>
      <c r="N210" s="11">
        <v>190387</v>
      </c>
      <c r="O210" s="66"/>
      <c r="P210" s="66"/>
      <c r="Q210" s="7"/>
    </row>
    <row r="211" spans="1:17" ht="16.5">
      <c r="A211" s="11">
        <v>190386</v>
      </c>
      <c r="B211" s="11">
        <v>162282</v>
      </c>
      <c r="C211" s="10" t="s">
        <v>68</v>
      </c>
      <c r="D211" s="10" t="s">
        <v>287</v>
      </c>
      <c r="E211" s="10" t="s">
        <v>288</v>
      </c>
      <c r="F211" s="10" t="s">
        <v>197</v>
      </c>
      <c r="G211" s="11" t="s">
        <v>163</v>
      </c>
      <c r="H211" s="11" t="s">
        <v>228</v>
      </c>
      <c r="I211" s="10" t="s">
        <v>283</v>
      </c>
      <c r="J211" s="12">
        <v>46044</v>
      </c>
      <c r="K211" s="10" t="s">
        <v>15</v>
      </c>
      <c r="L211" s="11">
        <v>46</v>
      </c>
      <c r="M211" s="10" t="s">
        <v>166</v>
      </c>
      <c r="N211" s="11">
        <v>190386</v>
      </c>
      <c r="O211" s="66"/>
      <c r="P211" s="66"/>
      <c r="Q211" s="7"/>
    </row>
    <row r="212" spans="1:17" ht="16.5">
      <c r="A212" s="11">
        <v>190390</v>
      </c>
      <c r="B212" s="11">
        <v>161500</v>
      </c>
      <c r="C212" s="10" t="s">
        <v>289</v>
      </c>
      <c r="D212" s="10" t="s">
        <v>290</v>
      </c>
      <c r="E212" s="10" t="s">
        <v>291</v>
      </c>
      <c r="F212" s="10" t="s">
        <v>169</v>
      </c>
      <c r="G212" s="11" t="s">
        <v>163</v>
      </c>
      <c r="H212" s="11" t="s">
        <v>164</v>
      </c>
      <c r="I212" s="10" t="s">
        <v>238</v>
      </c>
      <c r="J212" s="12">
        <v>46052</v>
      </c>
      <c r="K212" s="10" t="s">
        <v>14</v>
      </c>
      <c r="L212" s="11">
        <v>41</v>
      </c>
      <c r="M212" s="10" t="s">
        <v>166</v>
      </c>
      <c r="N212" s="11">
        <v>190390</v>
      </c>
      <c r="O212" s="66"/>
      <c r="P212" s="66"/>
      <c r="Q212" s="7"/>
    </row>
    <row r="213" spans="1:17" ht="16.5">
      <c r="A213" s="11">
        <v>190392</v>
      </c>
      <c r="B213" s="11">
        <v>162290</v>
      </c>
      <c r="C213" s="10" t="s">
        <v>292</v>
      </c>
      <c r="D213" s="10" t="s">
        <v>293</v>
      </c>
      <c r="E213" s="10" t="s">
        <v>294</v>
      </c>
      <c r="F213" s="10" t="s">
        <v>193</v>
      </c>
      <c r="G213" s="11" t="s">
        <v>163</v>
      </c>
      <c r="H213" s="11" t="s">
        <v>194</v>
      </c>
      <c r="I213" s="10" t="s">
        <v>238</v>
      </c>
      <c r="J213" s="12">
        <v>46059</v>
      </c>
      <c r="K213" s="10" t="s">
        <v>11</v>
      </c>
      <c r="L213" s="11">
        <v>66</v>
      </c>
      <c r="M213" s="10" t="s">
        <v>166</v>
      </c>
      <c r="N213" s="11">
        <v>190392</v>
      </c>
      <c r="O213" s="66"/>
      <c r="P213" s="66"/>
      <c r="Q213" s="7"/>
    </row>
    <row r="214" spans="1:17" ht="16.5">
      <c r="A214" s="11">
        <v>190393</v>
      </c>
      <c r="B214" s="11">
        <v>162290</v>
      </c>
      <c r="C214" s="10" t="s">
        <v>292</v>
      </c>
      <c r="D214" s="10" t="s">
        <v>293</v>
      </c>
      <c r="E214" s="10" t="s">
        <v>294</v>
      </c>
      <c r="F214" s="10" t="s">
        <v>196</v>
      </c>
      <c r="G214" s="11" t="s">
        <v>163</v>
      </c>
      <c r="H214" s="11" t="s">
        <v>194</v>
      </c>
      <c r="I214" s="10" t="s">
        <v>238</v>
      </c>
      <c r="J214" s="12">
        <v>46059</v>
      </c>
      <c r="K214" s="10" t="s">
        <v>11</v>
      </c>
      <c r="L214" s="11">
        <v>65</v>
      </c>
      <c r="M214" s="10" t="s">
        <v>166</v>
      </c>
      <c r="N214" s="11">
        <v>190393</v>
      </c>
      <c r="O214" s="66"/>
      <c r="P214" s="66"/>
      <c r="Q214" s="7"/>
    </row>
    <row r="215" spans="1:17" ht="16.5">
      <c r="A215" s="11">
        <v>190398</v>
      </c>
      <c r="B215" s="11">
        <v>162319</v>
      </c>
      <c r="C215" s="10" t="s">
        <v>295</v>
      </c>
      <c r="D215" s="10" t="s">
        <v>296</v>
      </c>
      <c r="E215" s="10" t="s">
        <v>297</v>
      </c>
      <c r="F215" s="10" t="s">
        <v>193</v>
      </c>
      <c r="G215" s="11" t="s">
        <v>163</v>
      </c>
      <c r="H215" s="11" t="s">
        <v>164</v>
      </c>
      <c r="I215" s="10" t="s">
        <v>165</v>
      </c>
      <c r="J215" s="12">
        <v>46048</v>
      </c>
      <c r="K215" s="10" t="s">
        <v>15</v>
      </c>
      <c r="L215" s="11">
        <v>48</v>
      </c>
      <c r="M215" s="10" t="s">
        <v>166</v>
      </c>
      <c r="N215" s="11">
        <v>190398</v>
      </c>
      <c r="O215" s="66"/>
      <c r="P215" s="66"/>
      <c r="Q215" s="7"/>
    </row>
    <row r="216" spans="1:17" ht="16.5">
      <c r="A216" s="11">
        <v>190397</v>
      </c>
      <c r="B216" s="11">
        <v>162319</v>
      </c>
      <c r="C216" s="10" t="s">
        <v>295</v>
      </c>
      <c r="D216" s="10" t="s">
        <v>296</v>
      </c>
      <c r="E216" s="10" t="s">
        <v>297</v>
      </c>
      <c r="F216" s="10" t="s">
        <v>196</v>
      </c>
      <c r="G216" s="11" t="s">
        <v>163</v>
      </c>
      <c r="H216" s="11" t="s">
        <v>164</v>
      </c>
      <c r="I216" s="10" t="s">
        <v>165</v>
      </c>
      <c r="J216" s="12">
        <v>46048</v>
      </c>
      <c r="K216" s="10" t="s">
        <v>15</v>
      </c>
      <c r="L216" s="11">
        <v>47</v>
      </c>
      <c r="M216" s="10" t="s">
        <v>166</v>
      </c>
      <c r="N216" s="11">
        <v>190397</v>
      </c>
      <c r="O216" s="66"/>
      <c r="P216" s="66"/>
      <c r="Q216" s="7"/>
    </row>
    <row r="217" spans="1:17" ht="16.5">
      <c r="A217" s="11">
        <v>190413</v>
      </c>
      <c r="B217" s="11">
        <v>161623</v>
      </c>
      <c r="C217" s="10" t="s">
        <v>92</v>
      </c>
      <c r="D217" s="10" t="s">
        <v>298</v>
      </c>
      <c r="E217" s="10" t="s">
        <v>299</v>
      </c>
      <c r="F217" s="10" t="s">
        <v>169</v>
      </c>
      <c r="G217" s="11" t="s">
        <v>163</v>
      </c>
      <c r="H217" s="11" t="s">
        <v>228</v>
      </c>
      <c r="I217" s="10" t="s">
        <v>165</v>
      </c>
      <c r="J217" s="12">
        <v>46041</v>
      </c>
      <c r="K217" s="10" t="s">
        <v>11</v>
      </c>
      <c r="L217" s="11">
        <v>37</v>
      </c>
      <c r="M217" s="10" t="s">
        <v>166</v>
      </c>
      <c r="N217" s="11">
        <v>190413</v>
      </c>
      <c r="O217" s="66"/>
      <c r="P217" s="66"/>
      <c r="Q217" s="7"/>
    </row>
    <row r="218" spans="1:17" ht="16.5">
      <c r="A218" s="11">
        <v>190415</v>
      </c>
      <c r="B218" s="11">
        <v>162307</v>
      </c>
      <c r="C218" s="10" t="s">
        <v>92</v>
      </c>
      <c r="D218" s="10" t="s">
        <v>298</v>
      </c>
      <c r="E218" s="10" t="s">
        <v>300</v>
      </c>
      <c r="F218" s="10" t="s">
        <v>193</v>
      </c>
      <c r="G218" s="11" t="s">
        <v>163</v>
      </c>
      <c r="H218" s="11" t="s">
        <v>228</v>
      </c>
      <c r="I218" s="10" t="s">
        <v>165</v>
      </c>
      <c r="J218" s="12">
        <v>46041</v>
      </c>
      <c r="K218" s="10" t="s">
        <v>12</v>
      </c>
      <c r="L218" s="11">
        <v>48</v>
      </c>
      <c r="M218" s="10" t="s">
        <v>166</v>
      </c>
      <c r="N218" s="11">
        <v>190415</v>
      </c>
      <c r="O218" s="66"/>
      <c r="P218" s="66"/>
      <c r="Q218" s="7"/>
    </row>
    <row r="219" spans="1:17" ht="16.5">
      <c r="A219" s="11">
        <v>190416</v>
      </c>
      <c r="B219" s="11">
        <v>162307</v>
      </c>
      <c r="C219" s="10" t="s">
        <v>92</v>
      </c>
      <c r="D219" s="10" t="s">
        <v>298</v>
      </c>
      <c r="E219" s="10" t="s">
        <v>300</v>
      </c>
      <c r="F219" s="10" t="s">
        <v>196</v>
      </c>
      <c r="G219" s="11" t="s">
        <v>163</v>
      </c>
      <c r="H219" s="11" t="s">
        <v>228</v>
      </c>
      <c r="I219" s="10" t="s">
        <v>165</v>
      </c>
      <c r="J219" s="12">
        <v>46041</v>
      </c>
      <c r="K219" s="10" t="s">
        <v>12</v>
      </c>
      <c r="L219" s="11">
        <v>48</v>
      </c>
      <c r="M219" s="10" t="s">
        <v>166</v>
      </c>
      <c r="N219" s="11">
        <v>190416</v>
      </c>
      <c r="O219" s="66"/>
      <c r="P219" s="66"/>
      <c r="Q219" s="7"/>
    </row>
    <row r="220" spans="1:17" ht="16.5">
      <c r="A220" s="11">
        <v>190414</v>
      </c>
      <c r="B220" s="11">
        <v>162307</v>
      </c>
      <c r="C220" s="10" t="s">
        <v>92</v>
      </c>
      <c r="D220" s="10" t="s">
        <v>298</v>
      </c>
      <c r="E220" s="10" t="s">
        <v>300</v>
      </c>
      <c r="F220" s="10" t="s">
        <v>197</v>
      </c>
      <c r="G220" s="11" t="s">
        <v>163</v>
      </c>
      <c r="H220" s="11" t="s">
        <v>228</v>
      </c>
      <c r="I220" s="10" t="s">
        <v>165</v>
      </c>
      <c r="J220" s="12">
        <v>46041</v>
      </c>
      <c r="K220" s="10" t="s">
        <v>12</v>
      </c>
      <c r="L220" s="11">
        <v>48</v>
      </c>
      <c r="M220" s="10" t="s">
        <v>166</v>
      </c>
      <c r="N220" s="11">
        <v>190414</v>
      </c>
      <c r="O220" s="66"/>
      <c r="P220" s="66"/>
      <c r="Q220" s="7"/>
    </row>
    <row r="221" spans="1:17" ht="16.5">
      <c r="A221" s="11">
        <v>190418</v>
      </c>
      <c r="B221" s="11">
        <v>162308</v>
      </c>
      <c r="C221" s="10" t="s">
        <v>92</v>
      </c>
      <c r="D221" s="10" t="s">
        <v>298</v>
      </c>
      <c r="E221" s="10" t="s">
        <v>300</v>
      </c>
      <c r="F221" s="10" t="s">
        <v>193</v>
      </c>
      <c r="G221" s="11" t="s">
        <v>163</v>
      </c>
      <c r="H221" s="11" t="s">
        <v>228</v>
      </c>
      <c r="I221" s="10" t="s">
        <v>165</v>
      </c>
      <c r="J221" s="12">
        <v>46041</v>
      </c>
      <c r="K221" s="10" t="s">
        <v>11</v>
      </c>
      <c r="L221" s="11">
        <v>55</v>
      </c>
      <c r="M221" s="10" t="s">
        <v>166</v>
      </c>
      <c r="N221" s="11">
        <v>190418</v>
      </c>
      <c r="O221" s="66"/>
      <c r="P221" s="66"/>
      <c r="Q221" s="7"/>
    </row>
    <row r="222" spans="1:17" ht="16.5">
      <c r="A222" s="11">
        <v>190417</v>
      </c>
      <c r="B222" s="11">
        <v>162308</v>
      </c>
      <c r="C222" s="10" t="s">
        <v>92</v>
      </c>
      <c r="D222" s="10" t="s">
        <v>298</v>
      </c>
      <c r="E222" s="10" t="s">
        <v>300</v>
      </c>
      <c r="F222" s="10" t="s">
        <v>196</v>
      </c>
      <c r="G222" s="11" t="s">
        <v>163</v>
      </c>
      <c r="H222" s="11" t="s">
        <v>228</v>
      </c>
      <c r="I222" s="10" t="s">
        <v>165</v>
      </c>
      <c r="J222" s="12">
        <v>46041</v>
      </c>
      <c r="K222" s="10" t="s">
        <v>11</v>
      </c>
      <c r="L222" s="11">
        <v>55</v>
      </c>
      <c r="M222" s="10" t="s">
        <v>166</v>
      </c>
      <c r="N222" s="11">
        <v>190417</v>
      </c>
      <c r="O222" s="66"/>
      <c r="P222" s="66"/>
      <c r="Q222" s="7"/>
    </row>
    <row r="223" spans="1:17" ht="16.5">
      <c r="A223" s="11">
        <v>190422</v>
      </c>
      <c r="B223" s="11">
        <v>162291</v>
      </c>
      <c r="C223" s="10" t="s">
        <v>94</v>
      </c>
      <c r="D223" s="10" t="s">
        <v>301</v>
      </c>
      <c r="E223" s="10" t="s">
        <v>302</v>
      </c>
      <c r="F223" s="10" t="s">
        <v>169</v>
      </c>
      <c r="G223" s="11" t="s">
        <v>163</v>
      </c>
      <c r="H223" s="11" t="s">
        <v>228</v>
      </c>
      <c r="I223" s="10" t="s">
        <v>278</v>
      </c>
      <c r="J223" s="12">
        <v>46042</v>
      </c>
      <c r="K223" s="10" t="s">
        <v>15</v>
      </c>
      <c r="L223" s="11">
        <v>47</v>
      </c>
      <c r="M223" s="10" t="s">
        <v>166</v>
      </c>
      <c r="N223" s="11">
        <v>190422</v>
      </c>
      <c r="O223" s="66"/>
      <c r="P223" s="66"/>
      <c r="Q223" s="7"/>
    </row>
    <row r="224" spans="1:17" ht="16.5">
      <c r="A224" s="11">
        <v>190430</v>
      </c>
      <c r="B224" s="11">
        <v>161501</v>
      </c>
      <c r="C224" s="10" t="s">
        <v>303</v>
      </c>
      <c r="D224" s="10" t="s">
        <v>304</v>
      </c>
      <c r="E224" s="10" t="s">
        <v>291</v>
      </c>
      <c r="F224" s="10" t="s">
        <v>169</v>
      </c>
      <c r="G224" s="11" t="s">
        <v>163</v>
      </c>
      <c r="H224" s="11" t="s">
        <v>194</v>
      </c>
      <c r="I224" s="10" t="s">
        <v>278</v>
      </c>
      <c r="J224" s="12">
        <v>46056</v>
      </c>
      <c r="K224" s="10" t="s">
        <v>14</v>
      </c>
      <c r="L224" s="11">
        <v>40</v>
      </c>
      <c r="M224" s="10" t="s">
        <v>166</v>
      </c>
      <c r="N224" s="11">
        <v>190430</v>
      </c>
      <c r="O224" s="66"/>
      <c r="P224" s="66"/>
      <c r="Q224" s="7"/>
    </row>
    <row r="225" spans="1:17" ht="16.5">
      <c r="A225" s="11">
        <v>190431</v>
      </c>
      <c r="B225" s="11">
        <v>161620</v>
      </c>
      <c r="C225" s="10" t="s">
        <v>303</v>
      </c>
      <c r="D225" s="10" t="s">
        <v>304</v>
      </c>
      <c r="E225" s="10" t="s">
        <v>305</v>
      </c>
      <c r="F225" s="10" t="s">
        <v>169</v>
      </c>
      <c r="G225" s="11" t="s">
        <v>163</v>
      </c>
      <c r="H225" s="11" t="s">
        <v>194</v>
      </c>
      <c r="I225" s="10" t="s">
        <v>278</v>
      </c>
      <c r="J225" s="12">
        <v>46056</v>
      </c>
      <c r="K225" s="10" t="s">
        <v>14</v>
      </c>
      <c r="L225" s="11">
        <v>52</v>
      </c>
      <c r="M225" s="10" t="s">
        <v>166</v>
      </c>
      <c r="N225" s="11">
        <v>190431</v>
      </c>
      <c r="O225" s="66"/>
      <c r="P225" s="66"/>
      <c r="Q225" s="7"/>
    </row>
    <row r="226" spans="1:17" ht="16.5">
      <c r="A226" s="11">
        <v>190432</v>
      </c>
      <c r="B226" s="11">
        <v>162292</v>
      </c>
      <c r="C226" s="10" t="s">
        <v>303</v>
      </c>
      <c r="D226" s="10" t="s">
        <v>304</v>
      </c>
      <c r="E226" s="10" t="s">
        <v>302</v>
      </c>
      <c r="F226" s="10" t="s">
        <v>193</v>
      </c>
      <c r="G226" s="11" t="s">
        <v>163</v>
      </c>
      <c r="H226" s="11" t="s">
        <v>194</v>
      </c>
      <c r="I226" s="10" t="s">
        <v>278</v>
      </c>
      <c r="J226" s="12">
        <v>46056</v>
      </c>
      <c r="K226" s="10" t="s">
        <v>14</v>
      </c>
      <c r="L226" s="11">
        <v>48</v>
      </c>
      <c r="M226" s="10" t="s">
        <v>166</v>
      </c>
      <c r="N226" s="11">
        <v>190432</v>
      </c>
      <c r="O226" s="66"/>
      <c r="P226" s="66"/>
      <c r="Q226" s="7"/>
    </row>
    <row r="227" spans="1:17" ht="16.5">
      <c r="A227" s="11">
        <v>190433</v>
      </c>
      <c r="B227" s="11">
        <v>162292</v>
      </c>
      <c r="C227" s="10" t="s">
        <v>303</v>
      </c>
      <c r="D227" s="10" t="s">
        <v>304</v>
      </c>
      <c r="E227" s="10" t="s">
        <v>302</v>
      </c>
      <c r="F227" s="10" t="s">
        <v>196</v>
      </c>
      <c r="G227" s="11" t="s">
        <v>163</v>
      </c>
      <c r="H227" s="11" t="s">
        <v>194</v>
      </c>
      <c r="I227" s="10" t="s">
        <v>278</v>
      </c>
      <c r="J227" s="12">
        <v>46056</v>
      </c>
      <c r="K227" s="10" t="s">
        <v>14</v>
      </c>
      <c r="L227" s="11">
        <v>48</v>
      </c>
      <c r="M227" s="10" t="s">
        <v>166</v>
      </c>
      <c r="N227" s="11">
        <v>190433</v>
      </c>
      <c r="O227" s="66"/>
      <c r="P227" s="66"/>
      <c r="Q227" s="7"/>
    </row>
    <row r="228" spans="1:17" ht="16.5">
      <c r="A228" s="11">
        <v>190442</v>
      </c>
      <c r="B228" s="11">
        <v>161708</v>
      </c>
      <c r="C228" s="10" t="s">
        <v>306</v>
      </c>
      <c r="D228" s="10" t="s">
        <v>307</v>
      </c>
      <c r="E228" s="10" t="s">
        <v>308</v>
      </c>
      <c r="F228" s="10" t="s">
        <v>169</v>
      </c>
      <c r="G228" s="11" t="s">
        <v>163</v>
      </c>
      <c r="H228" s="11" t="s">
        <v>164</v>
      </c>
      <c r="I228" s="10" t="s">
        <v>283</v>
      </c>
      <c r="J228" s="12">
        <v>46051</v>
      </c>
      <c r="K228" s="10" t="s">
        <v>11</v>
      </c>
      <c r="L228" s="11">
        <v>47</v>
      </c>
      <c r="M228" s="10" t="s">
        <v>166</v>
      </c>
      <c r="N228" s="11">
        <v>190442</v>
      </c>
      <c r="O228" s="66"/>
      <c r="P228" s="66"/>
      <c r="Q228" s="7"/>
    </row>
    <row r="229" spans="1:17" ht="16.5">
      <c r="A229" s="11">
        <v>190452</v>
      </c>
      <c r="B229" s="11">
        <v>162283</v>
      </c>
      <c r="C229" s="10" t="s">
        <v>309</v>
      </c>
      <c r="D229" s="10" t="s">
        <v>310</v>
      </c>
      <c r="E229" s="10" t="s">
        <v>288</v>
      </c>
      <c r="F229" s="10" t="s">
        <v>193</v>
      </c>
      <c r="G229" s="11" t="s">
        <v>163</v>
      </c>
      <c r="H229" s="11" t="s">
        <v>194</v>
      </c>
      <c r="I229" s="10" t="s">
        <v>283</v>
      </c>
      <c r="J229" s="12">
        <v>46058</v>
      </c>
      <c r="K229" s="10" t="s">
        <v>13</v>
      </c>
      <c r="L229" s="11">
        <v>52</v>
      </c>
      <c r="M229" s="10" t="s">
        <v>166</v>
      </c>
      <c r="N229" s="11">
        <v>190452</v>
      </c>
      <c r="O229" s="66"/>
      <c r="P229" s="66"/>
      <c r="Q229" s="7"/>
    </row>
    <row r="230" spans="1:17" ht="16.5">
      <c r="A230" s="11">
        <v>190451</v>
      </c>
      <c r="B230" s="11">
        <v>162283</v>
      </c>
      <c r="C230" s="10" t="s">
        <v>309</v>
      </c>
      <c r="D230" s="10" t="s">
        <v>310</v>
      </c>
      <c r="E230" s="10" t="s">
        <v>288</v>
      </c>
      <c r="F230" s="10" t="s">
        <v>196</v>
      </c>
      <c r="G230" s="11" t="s">
        <v>163</v>
      </c>
      <c r="H230" s="11" t="s">
        <v>194</v>
      </c>
      <c r="I230" s="10" t="s">
        <v>283</v>
      </c>
      <c r="J230" s="12">
        <v>46058</v>
      </c>
      <c r="K230" s="10" t="s">
        <v>13</v>
      </c>
      <c r="L230" s="11">
        <v>52</v>
      </c>
      <c r="M230" s="10" t="s">
        <v>166</v>
      </c>
      <c r="N230" s="11">
        <v>190451</v>
      </c>
      <c r="O230" s="66"/>
      <c r="P230" s="66"/>
      <c r="Q230" s="7"/>
    </row>
    <row r="231" spans="1:17" ht="16.5">
      <c r="A231" s="11">
        <v>190454</v>
      </c>
      <c r="B231" s="11">
        <v>162284</v>
      </c>
      <c r="C231" s="10" t="s">
        <v>309</v>
      </c>
      <c r="D231" s="10" t="s">
        <v>310</v>
      </c>
      <c r="E231" s="10" t="s">
        <v>288</v>
      </c>
      <c r="F231" s="10" t="s">
        <v>196</v>
      </c>
      <c r="G231" s="11" t="s">
        <v>163</v>
      </c>
      <c r="H231" s="11" t="s">
        <v>194</v>
      </c>
      <c r="I231" s="10" t="s">
        <v>283</v>
      </c>
      <c r="J231" s="12">
        <v>46058</v>
      </c>
      <c r="K231" s="10" t="s">
        <v>13</v>
      </c>
      <c r="L231" s="11">
        <v>50</v>
      </c>
      <c r="M231" s="10" t="s">
        <v>166</v>
      </c>
      <c r="N231" s="11">
        <v>190454</v>
      </c>
      <c r="O231" s="66"/>
      <c r="P231" s="66"/>
      <c r="Q231" s="7"/>
    </row>
    <row r="232" spans="1:17" ht="16.5">
      <c r="A232" s="11">
        <v>190453</v>
      </c>
      <c r="B232" s="11">
        <v>162284</v>
      </c>
      <c r="C232" s="10" t="s">
        <v>309</v>
      </c>
      <c r="D232" s="10" t="s">
        <v>310</v>
      </c>
      <c r="E232" s="10" t="s">
        <v>288</v>
      </c>
      <c r="F232" s="10" t="s">
        <v>193</v>
      </c>
      <c r="G232" s="11" t="s">
        <v>163</v>
      </c>
      <c r="H232" s="11" t="s">
        <v>194</v>
      </c>
      <c r="I232" s="10" t="s">
        <v>283</v>
      </c>
      <c r="J232" s="12">
        <v>46058</v>
      </c>
      <c r="K232" s="10" t="s">
        <v>13</v>
      </c>
      <c r="L232" s="11">
        <v>50</v>
      </c>
      <c r="M232" s="10" t="s">
        <v>166</v>
      </c>
      <c r="N232" s="11">
        <v>190453</v>
      </c>
      <c r="O232" s="66"/>
      <c r="P232" s="66"/>
      <c r="Q232" s="7"/>
    </row>
    <row r="233" spans="1:17" ht="16.5">
      <c r="A233" s="11">
        <v>190455</v>
      </c>
      <c r="B233" s="11">
        <v>162284</v>
      </c>
      <c r="C233" s="10" t="s">
        <v>309</v>
      </c>
      <c r="D233" s="10" t="s">
        <v>310</v>
      </c>
      <c r="E233" s="10" t="s">
        <v>288</v>
      </c>
      <c r="F233" s="10" t="s">
        <v>197</v>
      </c>
      <c r="G233" s="11" t="s">
        <v>163</v>
      </c>
      <c r="H233" s="11" t="s">
        <v>194</v>
      </c>
      <c r="I233" s="10" t="s">
        <v>283</v>
      </c>
      <c r="J233" s="12">
        <v>46058</v>
      </c>
      <c r="K233" s="10" t="s">
        <v>13</v>
      </c>
      <c r="L233" s="11">
        <v>49</v>
      </c>
      <c r="M233" s="10" t="s">
        <v>166</v>
      </c>
      <c r="N233" s="11">
        <v>190455</v>
      </c>
      <c r="O233" s="66"/>
      <c r="P233" s="66"/>
      <c r="Q233" s="7"/>
    </row>
    <row r="234" spans="1:17" ht="16.5">
      <c r="A234" s="11">
        <v>190463</v>
      </c>
      <c r="B234" s="11">
        <v>162305</v>
      </c>
      <c r="C234" s="10" t="s">
        <v>311</v>
      </c>
      <c r="D234" s="10" t="s">
        <v>312</v>
      </c>
      <c r="E234" s="10" t="s">
        <v>313</v>
      </c>
      <c r="F234" s="10" t="s">
        <v>193</v>
      </c>
      <c r="G234" s="11" t="s">
        <v>163</v>
      </c>
      <c r="H234" s="11" t="s">
        <v>194</v>
      </c>
      <c r="I234" s="10" t="s">
        <v>283</v>
      </c>
      <c r="J234" s="12">
        <v>46058</v>
      </c>
      <c r="K234" s="10" t="s">
        <v>14</v>
      </c>
      <c r="L234" s="11">
        <v>36</v>
      </c>
      <c r="M234" s="10" t="s">
        <v>166</v>
      </c>
      <c r="N234" s="11">
        <v>190463</v>
      </c>
      <c r="O234" s="66"/>
      <c r="P234" s="66"/>
      <c r="Q234" s="7"/>
    </row>
    <row r="235" spans="1:17" ht="16.5">
      <c r="A235" s="11">
        <v>190464</v>
      </c>
      <c r="B235" s="11">
        <v>162305</v>
      </c>
      <c r="C235" s="10" t="s">
        <v>311</v>
      </c>
      <c r="D235" s="10" t="s">
        <v>312</v>
      </c>
      <c r="E235" s="10" t="s">
        <v>313</v>
      </c>
      <c r="F235" s="10" t="s">
        <v>196</v>
      </c>
      <c r="G235" s="11" t="s">
        <v>163</v>
      </c>
      <c r="H235" s="11" t="s">
        <v>194</v>
      </c>
      <c r="I235" s="10" t="s">
        <v>283</v>
      </c>
      <c r="J235" s="12">
        <v>46058</v>
      </c>
      <c r="K235" s="10" t="s">
        <v>14</v>
      </c>
      <c r="L235" s="11">
        <v>36</v>
      </c>
      <c r="M235" s="10" t="s">
        <v>166</v>
      </c>
      <c r="N235" s="11">
        <v>190464</v>
      </c>
      <c r="O235" s="66"/>
      <c r="P235" s="66"/>
      <c r="Q235" s="7"/>
    </row>
    <row r="236" spans="1:17" ht="16.5">
      <c r="A236" s="11">
        <v>190465</v>
      </c>
      <c r="B236" s="11">
        <v>162306</v>
      </c>
      <c r="C236" s="10" t="s">
        <v>311</v>
      </c>
      <c r="D236" s="10" t="s">
        <v>312</v>
      </c>
      <c r="E236" s="10" t="s">
        <v>313</v>
      </c>
      <c r="F236" s="10" t="s">
        <v>169</v>
      </c>
      <c r="G236" s="11" t="s">
        <v>163</v>
      </c>
      <c r="H236" s="11" t="s">
        <v>194</v>
      </c>
      <c r="I236" s="10" t="s">
        <v>283</v>
      </c>
      <c r="J236" s="12">
        <v>46058</v>
      </c>
      <c r="K236" s="10" t="s">
        <v>14</v>
      </c>
      <c r="L236" s="11">
        <v>57</v>
      </c>
      <c r="M236" s="10" t="s">
        <v>166</v>
      </c>
      <c r="N236" s="11">
        <v>190465</v>
      </c>
      <c r="O236" s="66"/>
      <c r="P236" s="66"/>
      <c r="Q236" s="7"/>
    </row>
    <row r="237" spans="1:17" ht="16.5">
      <c r="A237" s="11">
        <v>190469</v>
      </c>
      <c r="B237" s="11">
        <v>162314</v>
      </c>
      <c r="C237" s="10" t="s">
        <v>314</v>
      </c>
      <c r="D237" s="10" t="s">
        <v>315</v>
      </c>
      <c r="E237" s="10" t="s">
        <v>316</v>
      </c>
      <c r="F237" s="10" t="s">
        <v>196</v>
      </c>
      <c r="G237" s="11" t="s">
        <v>163</v>
      </c>
      <c r="H237" s="11" t="s">
        <v>164</v>
      </c>
      <c r="I237" s="10" t="s">
        <v>238</v>
      </c>
      <c r="J237" s="12">
        <v>46052</v>
      </c>
      <c r="K237" s="10" t="s">
        <v>14</v>
      </c>
      <c r="L237" s="11">
        <v>50</v>
      </c>
      <c r="M237" s="10" t="s">
        <v>166</v>
      </c>
      <c r="N237" s="11">
        <v>190469</v>
      </c>
      <c r="O237" s="66"/>
      <c r="P237" s="66"/>
      <c r="Q237" s="7"/>
    </row>
    <row r="238" spans="1:17" ht="16.5">
      <c r="A238" s="11">
        <v>190470</v>
      </c>
      <c r="B238" s="11">
        <v>162314</v>
      </c>
      <c r="C238" s="10" t="s">
        <v>314</v>
      </c>
      <c r="D238" s="10" t="s">
        <v>315</v>
      </c>
      <c r="E238" s="10" t="s">
        <v>316</v>
      </c>
      <c r="F238" s="10" t="s">
        <v>193</v>
      </c>
      <c r="G238" s="11" t="s">
        <v>163</v>
      </c>
      <c r="H238" s="11" t="s">
        <v>164</v>
      </c>
      <c r="I238" s="10" t="s">
        <v>238</v>
      </c>
      <c r="J238" s="12">
        <v>46052</v>
      </c>
      <c r="K238" s="10" t="s">
        <v>14</v>
      </c>
      <c r="L238" s="11">
        <v>50</v>
      </c>
      <c r="M238" s="10" t="s">
        <v>166</v>
      </c>
      <c r="N238" s="11">
        <v>190470</v>
      </c>
      <c r="O238" s="66"/>
      <c r="P238" s="66"/>
      <c r="Q238" s="7"/>
    </row>
    <row r="239" spans="1:17" ht="16.5">
      <c r="A239" s="11">
        <v>190474</v>
      </c>
      <c r="B239" s="11">
        <v>161502</v>
      </c>
      <c r="C239" s="10" t="s">
        <v>317</v>
      </c>
      <c r="D239" s="10" t="s">
        <v>318</v>
      </c>
      <c r="E239" s="10" t="s">
        <v>319</v>
      </c>
      <c r="F239" s="10" t="s">
        <v>169</v>
      </c>
      <c r="G239" s="11" t="s">
        <v>163</v>
      </c>
      <c r="H239" s="11" t="s">
        <v>194</v>
      </c>
      <c r="I239" s="10" t="s">
        <v>215</v>
      </c>
      <c r="J239" s="12">
        <v>46057</v>
      </c>
      <c r="K239" s="10" t="s">
        <v>14</v>
      </c>
      <c r="L239" s="11">
        <v>42</v>
      </c>
      <c r="M239" s="10" t="s">
        <v>166</v>
      </c>
      <c r="N239" s="11">
        <v>190474</v>
      </c>
      <c r="O239" s="66"/>
      <c r="P239" s="66"/>
      <c r="Q239" s="7"/>
    </row>
    <row r="240" spans="1:17" ht="16.5">
      <c r="A240" s="11">
        <v>190475</v>
      </c>
      <c r="B240" s="11">
        <v>162297</v>
      </c>
      <c r="C240" s="10" t="s">
        <v>317</v>
      </c>
      <c r="D240" s="10" t="s">
        <v>318</v>
      </c>
      <c r="E240" s="10" t="s">
        <v>320</v>
      </c>
      <c r="F240" s="10" t="s">
        <v>169</v>
      </c>
      <c r="G240" s="11" t="s">
        <v>163</v>
      </c>
      <c r="H240" s="11" t="s">
        <v>194</v>
      </c>
      <c r="I240" s="10" t="s">
        <v>215</v>
      </c>
      <c r="J240" s="12">
        <v>46057</v>
      </c>
      <c r="K240" s="10" t="s">
        <v>14</v>
      </c>
      <c r="L240" s="11">
        <v>47</v>
      </c>
      <c r="M240" s="10" t="s">
        <v>166</v>
      </c>
      <c r="N240" s="11">
        <v>190475</v>
      </c>
      <c r="O240" s="66"/>
      <c r="P240" s="66"/>
      <c r="Q240" s="7"/>
    </row>
    <row r="241" spans="1:17" ht="16.5">
      <c r="A241" s="11">
        <v>190476</v>
      </c>
      <c r="B241" s="11">
        <v>162298</v>
      </c>
      <c r="C241" s="10" t="s">
        <v>317</v>
      </c>
      <c r="D241" s="10" t="s">
        <v>318</v>
      </c>
      <c r="E241" s="10" t="s">
        <v>320</v>
      </c>
      <c r="F241" s="10" t="s">
        <v>193</v>
      </c>
      <c r="G241" s="11" t="s">
        <v>163</v>
      </c>
      <c r="H241" s="11" t="s">
        <v>194</v>
      </c>
      <c r="I241" s="10" t="s">
        <v>215</v>
      </c>
      <c r="J241" s="12">
        <v>46057</v>
      </c>
      <c r="K241" s="10" t="s">
        <v>14</v>
      </c>
      <c r="L241" s="11">
        <v>40</v>
      </c>
      <c r="M241" s="10" t="s">
        <v>166</v>
      </c>
      <c r="N241" s="11">
        <v>190476</v>
      </c>
      <c r="O241" s="66"/>
      <c r="P241" s="66"/>
      <c r="Q241" s="7"/>
    </row>
    <row r="242" spans="1:17" ht="16.5">
      <c r="A242" s="11">
        <v>190477</v>
      </c>
      <c r="B242" s="11">
        <v>162298</v>
      </c>
      <c r="C242" s="10" t="s">
        <v>317</v>
      </c>
      <c r="D242" s="10" t="s">
        <v>318</v>
      </c>
      <c r="E242" s="10" t="s">
        <v>320</v>
      </c>
      <c r="F242" s="10" t="s">
        <v>196</v>
      </c>
      <c r="G242" s="11" t="s">
        <v>163</v>
      </c>
      <c r="H242" s="11" t="s">
        <v>194</v>
      </c>
      <c r="I242" s="10" t="s">
        <v>215</v>
      </c>
      <c r="J242" s="12">
        <v>46057</v>
      </c>
      <c r="K242" s="10" t="s">
        <v>14</v>
      </c>
      <c r="L242" s="11">
        <v>39</v>
      </c>
      <c r="M242" s="10" t="s">
        <v>166</v>
      </c>
      <c r="N242" s="11">
        <v>190477</v>
      </c>
      <c r="O242" s="66"/>
      <c r="P242" s="66"/>
      <c r="Q242" s="7"/>
    </row>
    <row r="243" spans="1:17" ht="16.5">
      <c r="A243" s="11">
        <v>190478</v>
      </c>
      <c r="B243" s="11">
        <v>164858</v>
      </c>
      <c r="C243" s="10" t="s">
        <v>321</v>
      </c>
      <c r="D243" s="10" t="s">
        <v>322</v>
      </c>
      <c r="E243" s="10" t="s">
        <v>323</v>
      </c>
      <c r="F243" s="10" t="s">
        <v>169</v>
      </c>
      <c r="G243" s="11" t="s">
        <v>163</v>
      </c>
      <c r="H243" s="11" t="s">
        <v>164</v>
      </c>
      <c r="I243" s="10" t="s">
        <v>278</v>
      </c>
      <c r="J243" s="12">
        <v>46049</v>
      </c>
      <c r="K243" s="10" t="s">
        <v>14</v>
      </c>
      <c r="L243" s="11">
        <v>46</v>
      </c>
      <c r="M243" s="10" t="s">
        <v>166</v>
      </c>
      <c r="N243" s="11">
        <v>190478</v>
      </c>
      <c r="O243" s="66"/>
      <c r="P243" s="66"/>
      <c r="Q243" s="7"/>
    </row>
    <row r="244" spans="1:17" ht="16.5">
      <c r="A244" s="11">
        <v>190479</v>
      </c>
      <c r="B244" s="11">
        <v>162321</v>
      </c>
      <c r="C244" s="10" t="s">
        <v>136</v>
      </c>
      <c r="D244" s="10" t="s">
        <v>324</v>
      </c>
      <c r="E244" s="10" t="s">
        <v>325</v>
      </c>
      <c r="F244" s="10" t="s">
        <v>169</v>
      </c>
      <c r="G244" s="11" t="s">
        <v>163</v>
      </c>
      <c r="H244" s="11" t="s">
        <v>228</v>
      </c>
      <c r="I244" s="10" t="s">
        <v>238</v>
      </c>
      <c r="J244" s="12">
        <v>46045</v>
      </c>
      <c r="K244" s="10" t="s">
        <v>14</v>
      </c>
      <c r="L244" s="11">
        <v>21</v>
      </c>
      <c r="M244" s="10" t="s">
        <v>166</v>
      </c>
      <c r="N244" s="11">
        <v>190479</v>
      </c>
      <c r="O244" s="66"/>
      <c r="P244" s="66"/>
      <c r="Q244" s="7"/>
    </row>
    <row r="245" spans="1:17" ht="16.5">
      <c r="A245" s="11">
        <v>190480</v>
      </c>
      <c r="B245" s="11">
        <v>161504</v>
      </c>
      <c r="C245" s="10" t="s">
        <v>71</v>
      </c>
      <c r="D245" s="10" t="s">
        <v>326</v>
      </c>
      <c r="E245" s="10" t="s">
        <v>291</v>
      </c>
      <c r="F245" s="10" t="s">
        <v>169</v>
      </c>
      <c r="G245" s="11" t="s">
        <v>163</v>
      </c>
      <c r="H245" s="11" t="s">
        <v>228</v>
      </c>
      <c r="I245" s="10" t="s">
        <v>238</v>
      </c>
      <c r="J245" s="12">
        <v>46045</v>
      </c>
      <c r="K245" s="10" t="s">
        <v>15</v>
      </c>
      <c r="L245" s="11">
        <v>46</v>
      </c>
      <c r="M245" s="10" t="s">
        <v>166</v>
      </c>
      <c r="N245" s="11">
        <v>190480</v>
      </c>
      <c r="O245" s="66"/>
      <c r="P245" s="66"/>
      <c r="Q245" s="7"/>
    </row>
    <row r="246" spans="1:17" ht="16.5">
      <c r="A246" s="11">
        <v>190482</v>
      </c>
      <c r="B246" s="11">
        <v>162316</v>
      </c>
      <c r="C246" s="10" t="s">
        <v>71</v>
      </c>
      <c r="D246" s="10" t="s">
        <v>326</v>
      </c>
      <c r="E246" s="10" t="s">
        <v>327</v>
      </c>
      <c r="F246" s="10" t="s">
        <v>196</v>
      </c>
      <c r="G246" s="11" t="s">
        <v>163</v>
      </c>
      <c r="H246" s="11" t="s">
        <v>228</v>
      </c>
      <c r="I246" s="10" t="s">
        <v>238</v>
      </c>
      <c r="J246" s="12">
        <v>46045</v>
      </c>
      <c r="K246" s="10" t="s">
        <v>15</v>
      </c>
      <c r="L246" s="11">
        <v>55</v>
      </c>
      <c r="M246" s="10" t="s">
        <v>166</v>
      </c>
      <c r="N246" s="11">
        <v>190482</v>
      </c>
      <c r="O246" s="66"/>
      <c r="P246" s="66"/>
      <c r="Q246" s="7"/>
    </row>
    <row r="247" spans="1:17" ht="16.5">
      <c r="A247" s="11">
        <v>190481</v>
      </c>
      <c r="B247" s="11">
        <v>162316</v>
      </c>
      <c r="C247" s="10" t="s">
        <v>71</v>
      </c>
      <c r="D247" s="10" t="s">
        <v>326</v>
      </c>
      <c r="E247" s="10" t="s">
        <v>327</v>
      </c>
      <c r="F247" s="10" t="s">
        <v>193</v>
      </c>
      <c r="G247" s="11" t="s">
        <v>163</v>
      </c>
      <c r="H247" s="11" t="s">
        <v>228</v>
      </c>
      <c r="I247" s="10" t="s">
        <v>238</v>
      </c>
      <c r="J247" s="12">
        <v>46045</v>
      </c>
      <c r="K247" s="10" t="s">
        <v>15</v>
      </c>
      <c r="L247" s="11">
        <v>56</v>
      </c>
      <c r="M247" s="10" t="s">
        <v>166</v>
      </c>
      <c r="N247" s="11">
        <v>190481</v>
      </c>
      <c r="O247" s="66"/>
      <c r="P247" s="66"/>
      <c r="Q247" s="7"/>
    </row>
    <row r="248" spans="1:17" ht="16.5">
      <c r="A248" s="11">
        <v>190484</v>
      </c>
      <c r="B248" s="11">
        <v>162317</v>
      </c>
      <c r="C248" s="10" t="s">
        <v>71</v>
      </c>
      <c r="D248" s="10" t="s">
        <v>326</v>
      </c>
      <c r="E248" s="10" t="s">
        <v>327</v>
      </c>
      <c r="F248" s="10" t="s">
        <v>193</v>
      </c>
      <c r="G248" s="11" t="s">
        <v>163</v>
      </c>
      <c r="H248" s="11" t="s">
        <v>228</v>
      </c>
      <c r="I248" s="10" t="s">
        <v>238</v>
      </c>
      <c r="J248" s="12">
        <v>46045</v>
      </c>
      <c r="K248" s="10" t="s">
        <v>15</v>
      </c>
      <c r="L248" s="11">
        <v>57</v>
      </c>
      <c r="M248" s="10" t="s">
        <v>166</v>
      </c>
      <c r="N248" s="11">
        <v>190484</v>
      </c>
      <c r="O248" s="66"/>
      <c r="P248" s="66"/>
      <c r="Q248" s="7"/>
    </row>
    <row r="249" spans="1:17" ht="16.5">
      <c r="A249" s="11">
        <v>190483</v>
      </c>
      <c r="B249" s="11">
        <v>162317</v>
      </c>
      <c r="C249" s="10" t="s">
        <v>71</v>
      </c>
      <c r="D249" s="10" t="s">
        <v>326</v>
      </c>
      <c r="E249" s="10" t="s">
        <v>327</v>
      </c>
      <c r="F249" s="10" t="s">
        <v>196</v>
      </c>
      <c r="G249" s="11" t="s">
        <v>163</v>
      </c>
      <c r="H249" s="11" t="s">
        <v>228</v>
      </c>
      <c r="I249" s="10" t="s">
        <v>238</v>
      </c>
      <c r="J249" s="12">
        <v>46045</v>
      </c>
      <c r="K249" s="10" t="s">
        <v>15</v>
      </c>
      <c r="L249" s="11">
        <v>57</v>
      </c>
      <c r="M249" s="10" t="s">
        <v>166</v>
      </c>
      <c r="N249" s="11">
        <v>190483</v>
      </c>
      <c r="O249" s="66"/>
      <c r="P249" s="66"/>
      <c r="Q249" s="7"/>
    </row>
    <row r="250" spans="1:17" ht="16.5">
      <c r="A250" s="11">
        <v>190486</v>
      </c>
      <c r="B250" s="11">
        <v>162318</v>
      </c>
      <c r="C250" s="10" t="s">
        <v>71</v>
      </c>
      <c r="D250" s="10" t="s">
        <v>326</v>
      </c>
      <c r="E250" s="10" t="s">
        <v>327</v>
      </c>
      <c r="F250" s="10" t="s">
        <v>193</v>
      </c>
      <c r="G250" s="11" t="s">
        <v>163</v>
      </c>
      <c r="H250" s="11" t="s">
        <v>228</v>
      </c>
      <c r="I250" s="10" t="s">
        <v>238</v>
      </c>
      <c r="J250" s="12">
        <v>46045</v>
      </c>
      <c r="K250" s="10" t="s">
        <v>15</v>
      </c>
      <c r="L250" s="11">
        <v>36</v>
      </c>
      <c r="M250" s="10" t="s">
        <v>166</v>
      </c>
      <c r="N250" s="11">
        <v>190486</v>
      </c>
      <c r="O250" s="66"/>
      <c r="P250" s="66"/>
      <c r="Q250" s="7"/>
    </row>
    <row r="251" spans="1:17" ht="16.5">
      <c r="A251" s="11">
        <v>190485</v>
      </c>
      <c r="B251" s="11">
        <v>162318</v>
      </c>
      <c r="C251" s="10" t="s">
        <v>71</v>
      </c>
      <c r="D251" s="10" t="s">
        <v>326</v>
      </c>
      <c r="E251" s="10" t="s">
        <v>327</v>
      </c>
      <c r="F251" s="10" t="s">
        <v>196</v>
      </c>
      <c r="G251" s="11" t="s">
        <v>163</v>
      </c>
      <c r="H251" s="11" t="s">
        <v>228</v>
      </c>
      <c r="I251" s="10" t="s">
        <v>238</v>
      </c>
      <c r="J251" s="12">
        <v>46045</v>
      </c>
      <c r="K251" s="10" t="s">
        <v>15</v>
      </c>
      <c r="L251" s="11">
        <v>36</v>
      </c>
      <c r="M251" s="10" t="s">
        <v>166</v>
      </c>
      <c r="N251" s="11">
        <v>190485</v>
      </c>
      <c r="O251" s="66"/>
      <c r="P251" s="66"/>
      <c r="Q251" s="7"/>
    </row>
    <row r="252" spans="1:17" ht="16.5">
      <c r="A252" s="11">
        <v>190488</v>
      </c>
      <c r="B252" s="11">
        <v>164866</v>
      </c>
      <c r="C252" s="10" t="s">
        <v>328</v>
      </c>
      <c r="D252" s="10" t="s">
        <v>329</v>
      </c>
      <c r="E252" s="10" t="s">
        <v>275</v>
      </c>
      <c r="F252" s="10" t="s">
        <v>169</v>
      </c>
      <c r="G252" s="11" t="s">
        <v>163</v>
      </c>
      <c r="H252" s="11" t="s">
        <v>228</v>
      </c>
      <c r="I252" s="10" t="s">
        <v>283</v>
      </c>
      <c r="J252" s="12">
        <v>46044</v>
      </c>
      <c r="K252" s="10" t="s">
        <v>11</v>
      </c>
      <c r="L252" s="11">
        <v>29</v>
      </c>
      <c r="M252" s="10" t="s">
        <v>166</v>
      </c>
      <c r="N252" s="11">
        <v>190488</v>
      </c>
      <c r="O252" s="66"/>
      <c r="P252" s="66"/>
      <c r="Q252" s="7"/>
    </row>
    <row r="253" spans="1:17" ht="16.5">
      <c r="A253" s="11">
        <v>190495</v>
      </c>
      <c r="B253" s="11">
        <v>161624</v>
      </c>
      <c r="C253" s="10" t="s">
        <v>330</v>
      </c>
      <c r="D253" s="10" t="s">
        <v>331</v>
      </c>
      <c r="E253" s="10" t="s">
        <v>299</v>
      </c>
      <c r="F253" s="10" t="s">
        <v>169</v>
      </c>
      <c r="G253" s="11" t="s">
        <v>163</v>
      </c>
      <c r="H253" s="11" t="s">
        <v>194</v>
      </c>
      <c r="I253" s="10" t="s">
        <v>165</v>
      </c>
      <c r="J253" s="12">
        <v>46055</v>
      </c>
      <c r="K253" s="10" t="s">
        <v>14</v>
      </c>
      <c r="L253" s="11">
        <v>52</v>
      </c>
      <c r="M253" s="10" t="s">
        <v>166</v>
      </c>
      <c r="N253" s="11">
        <v>190495</v>
      </c>
      <c r="O253" s="66"/>
      <c r="P253" s="66"/>
      <c r="Q253" s="7"/>
    </row>
    <row r="254" spans="1:17" ht="16.5">
      <c r="A254" s="11">
        <v>190497</v>
      </c>
      <c r="B254" s="11">
        <v>162311</v>
      </c>
      <c r="C254" s="10" t="s">
        <v>330</v>
      </c>
      <c r="D254" s="10" t="s">
        <v>331</v>
      </c>
      <c r="E254" s="10" t="s">
        <v>316</v>
      </c>
      <c r="F254" s="10" t="s">
        <v>196</v>
      </c>
      <c r="G254" s="11" t="s">
        <v>163</v>
      </c>
      <c r="H254" s="11" t="s">
        <v>194</v>
      </c>
      <c r="I254" s="10" t="s">
        <v>165</v>
      </c>
      <c r="J254" s="12">
        <v>46055</v>
      </c>
      <c r="K254" s="10" t="s">
        <v>14</v>
      </c>
      <c r="L254" s="11">
        <v>57</v>
      </c>
      <c r="M254" s="10" t="s">
        <v>166</v>
      </c>
      <c r="N254" s="11">
        <v>190497</v>
      </c>
      <c r="O254" s="66"/>
      <c r="P254" s="66"/>
      <c r="Q254" s="7"/>
    </row>
    <row r="255" spans="1:17" ht="16.5">
      <c r="A255" s="11">
        <v>190496</v>
      </c>
      <c r="B255" s="11">
        <v>162311</v>
      </c>
      <c r="C255" s="10" t="s">
        <v>330</v>
      </c>
      <c r="D255" s="10" t="s">
        <v>331</v>
      </c>
      <c r="E255" s="10" t="s">
        <v>316</v>
      </c>
      <c r="F255" s="10" t="s">
        <v>193</v>
      </c>
      <c r="G255" s="11" t="s">
        <v>163</v>
      </c>
      <c r="H255" s="11" t="s">
        <v>194</v>
      </c>
      <c r="I255" s="10" t="s">
        <v>165</v>
      </c>
      <c r="J255" s="12">
        <v>46055</v>
      </c>
      <c r="K255" s="10" t="s">
        <v>14</v>
      </c>
      <c r="L255" s="11">
        <v>57</v>
      </c>
      <c r="M255" s="10" t="s">
        <v>166</v>
      </c>
      <c r="N255" s="11">
        <v>190496</v>
      </c>
      <c r="O255" s="66"/>
      <c r="P255" s="66"/>
      <c r="Q255" s="7"/>
    </row>
    <row r="256" spans="1:17" ht="16.5">
      <c r="A256" s="11">
        <v>190498</v>
      </c>
      <c r="B256" s="11">
        <v>162312</v>
      </c>
      <c r="C256" s="10" t="s">
        <v>330</v>
      </c>
      <c r="D256" s="10" t="s">
        <v>331</v>
      </c>
      <c r="E256" s="10" t="s">
        <v>316</v>
      </c>
      <c r="F256" s="10" t="s">
        <v>196</v>
      </c>
      <c r="G256" s="11" t="s">
        <v>163</v>
      </c>
      <c r="H256" s="11" t="s">
        <v>194</v>
      </c>
      <c r="I256" s="10" t="s">
        <v>165</v>
      </c>
      <c r="J256" s="12">
        <v>46055</v>
      </c>
      <c r="K256" s="10" t="s">
        <v>14</v>
      </c>
      <c r="L256" s="11">
        <v>60</v>
      </c>
      <c r="M256" s="10" t="s">
        <v>166</v>
      </c>
      <c r="N256" s="11">
        <v>190498</v>
      </c>
      <c r="O256" s="66"/>
      <c r="P256" s="66"/>
      <c r="Q256" s="7"/>
    </row>
    <row r="257" spans="1:17" ht="16.5">
      <c r="A257" s="11">
        <v>190499</v>
      </c>
      <c r="B257" s="11">
        <v>162312</v>
      </c>
      <c r="C257" s="10" t="s">
        <v>330</v>
      </c>
      <c r="D257" s="10" t="s">
        <v>331</v>
      </c>
      <c r="E257" s="10" t="s">
        <v>316</v>
      </c>
      <c r="F257" s="10" t="s">
        <v>193</v>
      </c>
      <c r="G257" s="11" t="s">
        <v>163</v>
      </c>
      <c r="H257" s="11" t="s">
        <v>194</v>
      </c>
      <c r="I257" s="10" t="s">
        <v>165</v>
      </c>
      <c r="J257" s="12">
        <v>46055</v>
      </c>
      <c r="K257" s="10" t="s">
        <v>14</v>
      </c>
      <c r="L257" s="11">
        <v>61</v>
      </c>
      <c r="M257" s="10" t="s">
        <v>166</v>
      </c>
      <c r="N257" s="11">
        <v>190499</v>
      </c>
      <c r="O257" s="66"/>
      <c r="P257" s="66"/>
      <c r="Q257" s="7"/>
    </row>
    <row r="258" spans="1:17" ht="16.5">
      <c r="A258" s="11">
        <v>190501</v>
      </c>
      <c r="B258" s="11">
        <v>162313</v>
      </c>
      <c r="C258" s="10" t="s">
        <v>330</v>
      </c>
      <c r="D258" s="10" t="s">
        <v>331</v>
      </c>
      <c r="E258" s="10" t="s">
        <v>332</v>
      </c>
      <c r="F258" s="10" t="s">
        <v>196</v>
      </c>
      <c r="G258" s="11" t="s">
        <v>163</v>
      </c>
      <c r="H258" s="11" t="s">
        <v>194</v>
      </c>
      <c r="I258" s="10" t="s">
        <v>165</v>
      </c>
      <c r="J258" s="12">
        <v>46055</v>
      </c>
      <c r="K258" s="10" t="s">
        <v>14</v>
      </c>
      <c r="L258" s="11">
        <v>60</v>
      </c>
      <c r="M258" s="10" t="s">
        <v>166</v>
      </c>
      <c r="N258" s="11">
        <v>190501</v>
      </c>
      <c r="O258" s="66"/>
      <c r="P258" s="66"/>
      <c r="Q258" s="7"/>
    </row>
    <row r="259" spans="1:17" ht="16.5">
      <c r="A259" s="11">
        <v>190500</v>
      </c>
      <c r="B259" s="11">
        <v>162313</v>
      </c>
      <c r="C259" s="10" t="s">
        <v>330</v>
      </c>
      <c r="D259" s="10" t="s">
        <v>331</v>
      </c>
      <c r="E259" s="10" t="s">
        <v>332</v>
      </c>
      <c r="F259" s="10" t="s">
        <v>193</v>
      </c>
      <c r="G259" s="11" t="s">
        <v>163</v>
      </c>
      <c r="H259" s="11" t="s">
        <v>194</v>
      </c>
      <c r="I259" s="10" t="s">
        <v>165</v>
      </c>
      <c r="J259" s="12">
        <v>46055</v>
      </c>
      <c r="K259" s="10" t="s">
        <v>14</v>
      </c>
      <c r="L259" s="11">
        <v>60</v>
      </c>
      <c r="M259" s="10" t="s">
        <v>166</v>
      </c>
      <c r="N259" s="11">
        <v>190500</v>
      </c>
      <c r="O259" s="66"/>
      <c r="P259" s="66"/>
      <c r="Q259" s="7"/>
    </row>
    <row r="260" spans="1:17" ht="16.5">
      <c r="A260" s="11">
        <v>190509</v>
      </c>
      <c r="B260" s="11">
        <v>161864</v>
      </c>
      <c r="C260" s="10" t="s">
        <v>333</v>
      </c>
      <c r="D260" s="10" t="s">
        <v>334</v>
      </c>
      <c r="E260" s="10" t="s">
        <v>335</v>
      </c>
      <c r="F260" s="10" t="s">
        <v>169</v>
      </c>
      <c r="G260" s="11" t="s">
        <v>163</v>
      </c>
      <c r="H260" s="11" t="s">
        <v>164</v>
      </c>
      <c r="I260" s="10" t="s">
        <v>283</v>
      </c>
      <c r="J260" s="12">
        <v>46051</v>
      </c>
      <c r="K260" s="10" t="s">
        <v>13</v>
      </c>
      <c r="L260" s="11">
        <v>42</v>
      </c>
      <c r="M260" s="10" t="s">
        <v>166</v>
      </c>
      <c r="N260" s="11">
        <v>190509</v>
      </c>
      <c r="O260" s="66"/>
      <c r="P260" s="66"/>
      <c r="Q260" s="7"/>
    </row>
    <row r="261" spans="1:17" ht="16.5">
      <c r="A261" s="11">
        <v>190510</v>
      </c>
      <c r="B261" s="11">
        <v>162303</v>
      </c>
      <c r="C261" s="10" t="s">
        <v>336</v>
      </c>
      <c r="D261" s="10" t="s">
        <v>337</v>
      </c>
      <c r="E261" s="10" t="s">
        <v>338</v>
      </c>
      <c r="F261" s="10" t="s">
        <v>169</v>
      </c>
      <c r="G261" s="11" t="s">
        <v>163</v>
      </c>
      <c r="H261" s="11" t="s">
        <v>164</v>
      </c>
      <c r="I261" s="10" t="s">
        <v>283</v>
      </c>
      <c r="J261" s="12">
        <v>46051</v>
      </c>
      <c r="K261" s="10" t="s">
        <v>14</v>
      </c>
      <c r="L261" s="11">
        <v>36</v>
      </c>
      <c r="M261" s="10" t="s">
        <v>166</v>
      </c>
      <c r="N261" s="11">
        <v>190510</v>
      </c>
      <c r="O261" s="66"/>
      <c r="P261" s="66"/>
      <c r="Q261" s="7"/>
    </row>
    <row r="262" spans="1:17" ht="16.5">
      <c r="A262" s="11">
        <v>190511</v>
      </c>
      <c r="B262" s="11">
        <v>162304</v>
      </c>
      <c r="C262" s="10" t="s">
        <v>336</v>
      </c>
      <c r="D262" s="10" t="s">
        <v>337</v>
      </c>
      <c r="E262" s="10" t="s">
        <v>338</v>
      </c>
      <c r="F262" s="10" t="s">
        <v>196</v>
      </c>
      <c r="G262" s="11" t="s">
        <v>163</v>
      </c>
      <c r="H262" s="11" t="s">
        <v>164</v>
      </c>
      <c r="I262" s="10" t="s">
        <v>283</v>
      </c>
      <c r="J262" s="12">
        <v>46051</v>
      </c>
      <c r="K262" s="10" t="s">
        <v>14</v>
      </c>
      <c r="L262" s="11">
        <v>40</v>
      </c>
      <c r="M262" s="10" t="s">
        <v>166</v>
      </c>
      <c r="N262" s="11">
        <v>190511</v>
      </c>
      <c r="O262" s="66"/>
      <c r="P262" s="66"/>
      <c r="Q262" s="7"/>
    </row>
    <row r="263" spans="1:17" ht="16.5">
      <c r="A263" s="11">
        <v>190512</v>
      </c>
      <c r="B263" s="11">
        <v>162304</v>
      </c>
      <c r="C263" s="10" t="s">
        <v>336</v>
      </c>
      <c r="D263" s="10" t="s">
        <v>337</v>
      </c>
      <c r="E263" s="10" t="s">
        <v>338</v>
      </c>
      <c r="F263" s="10" t="s">
        <v>193</v>
      </c>
      <c r="G263" s="11" t="s">
        <v>163</v>
      </c>
      <c r="H263" s="11" t="s">
        <v>164</v>
      </c>
      <c r="I263" s="10" t="s">
        <v>283</v>
      </c>
      <c r="J263" s="12">
        <v>46051</v>
      </c>
      <c r="K263" s="10" t="s">
        <v>14</v>
      </c>
      <c r="L263" s="11">
        <v>40</v>
      </c>
      <c r="M263" s="10" t="s">
        <v>166</v>
      </c>
      <c r="N263" s="11">
        <v>190512</v>
      </c>
      <c r="O263" s="66"/>
      <c r="P263" s="66"/>
      <c r="Q263" s="7"/>
    </row>
    <row r="264" spans="1:17" ht="16.5">
      <c r="A264" s="11">
        <v>190513</v>
      </c>
      <c r="B264" s="11">
        <v>161706</v>
      </c>
      <c r="C264" s="10" t="s">
        <v>339</v>
      </c>
      <c r="D264" s="10" t="s">
        <v>340</v>
      </c>
      <c r="E264" s="10" t="s">
        <v>308</v>
      </c>
      <c r="F264" s="10" t="s">
        <v>169</v>
      </c>
      <c r="G264" s="11" t="s">
        <v>163</v>
      </c>
      <c r="H264" s="11" t="s">
        <v>194</v>
      </c>
      <c r="I264" s="10" t="s">
        <v>215</v>
      </c>
      <c r="J264" s="12">
        <v>46057</v>
      </c>
      <c r="K264" s="10" t="s">
        <v>14</v>
      </c>
      <c r="L264" s="11">
        <v>44</v>
      </c>
      <c r="M264" s="10" t="s">
        <v>166</v>
      </c>
      <c r="N264" s="11">
        <v>190513</v>
      </c>
      <c r="O264" s="66"/>
      <c r="P264" s="66"/>
      <c r="Q264" s="7"/>
    </row>
    <row r="265" spans="1:17" ht="16.5">
      <c r="A265" s="11">
        <v>190517</v>
      </c>
      <c r="B265" s="11">
        <v>161705</v>
      </c>
      <c r="C265" s="10" t="s">
        <v>341</v>
      </c>
      <c r="D265" s="10" t="s">
        <v>342</v>
      </c>
      <c r="E265" s="10" t="s">
        <v>282</v>
      </c>
      <c r="F265" s="10" t="s">
        <v>196</v>
      </c>
      <c r="G265" s="11" t="s">
        <v>163</v>
      </c>
      <c r="H265" s="11" t="s">
        <v>194</v>
      </c>
      <c r="I265" s="10" t="s">
        <v>238</v>
      </c>
      <c r="J265" s="12">
        <v>46059</v>
      </c>
      <c r="K265" s="10" t="s">
        <v>14</v>
      </c>
      <c r="L265" s="11">
        <v>51</v>
      </c>
      <c r="M265" s="10" t="s">
        <v>166</v>
      </c>
      <c r="N265" s="11">
        <v>190517</v>
      </c>
      <c r="O265" s="66"/>
      <c r="P265" s="66"/>
      <c r="Q265" s="7"/>
    </row>
    <row r="266" spans="1:17" ht="16.5">
      <c r="A266" s="11">
        <v>190518</v>
      </c>
      <c r="B266" s="11">
        <v>161705</v>
      </c>
      <c r="C266" s="10" t="s">
        <v>341</v>
      </c>
      <c r="D266" s="10" t="s">
        <v>342</v>
      </c>
      <c r="E266" s="10" t="s">
        <v>282</v>
      </c>
      <c r="F266" s="10" t="s">
        <v>193</v>
      </c>
      <c r="G266" s="11" t="s">
        <v>163</v>
      </c>
      <c r="H266" s="11" t="s">
        <v>194</v>
      </c>
      <c r="I266" s="10" t="s">
        <v>238</v>
      </c>
      <c r="J266" s="12">
        <v>46059</v>
      </c>
      <c r="K266" s="10" t="s">
        <v>14</v>
      </c>
      <c r="L266" s="11">
        <v>51</v>
      </c>
      <c r="M266" s="10" t="s">
        <v>166</v>
      </c>
      <c r="N266" s="11">
        <v>190518</v>
      </c>
      <c r="O266" s="66"/>
      <c r="P266" s="66"/>
      <c r="Q266" s="7"/>
    </row>
    <row r="267" spans="1:17" ht="16.5">
      <c r="A267" s="11">
        <v>190523</v>
      </c>
      <c r="B267" s="11">
        <v>162301</v>
      </c>
      <c r="C267" s="10" t="s">
        <v>103</v>
      </c>
      <c r="D267" s="10" t="s">
        <v>343</v>
      </c>
      <c r="E267" s="10" t="s">
        <v>320</v>
      </c>
      <c r="F267" s="10" t="s">
        <v>193</v>
      </c>
      <c r="G267" s="11" t="s">
        <v>163</v>
      </c>
      <c r="H267" s="11" t="s">
        <v>228</v>
      </c>
      <c r="I267" s="10" t="s">
        <v>278</v>
      </c>
      <c r="J267" s="12">
        <v>46042</v>
      </c>
      <c r="K267" s="10" t="s">
        <v>12</v>
      </c>
      <c r="L267" s="11">
        <v>48</v>
      </c>
      <c r="M267" s="10" t="s">
        <v>166</v>
      </c>
      <c r="N267" s="11">
        <v>190523</v>
      </c>
      <c r="O267" s="66"/>
      <c r="P267" s="66"/>
      <c r="Q267" s="7"/>
    </row>
    <row r="268" spans="1:17" ht="16.5">
      <c r="A268" s="11">
        <v>190524</v>
      </c>
      <c r="B268" s="11">
        <v>162301</v>
      </c>
      <c r="C268" s="10" t="s">
        <v>103</v>
      </c>
      <c r="D268" s="10" t="s">
        <v>343</v>
      </c>
      <c r="E268" s="10" t="s">
        <v>320</v>
      </c>
      <c r="F268" s="10" t="s">
        <v>196</v>
      </c>
      <c r="G268" s="11" t="s">
        <v>163</v>
      </c>
      <c r="H268" s="11" t="s">
        <v>228</v>
      </c>
      <c r="I268" s="10" t="s">
        <v>278</v>
      </c>
      <c r="J268" s="12">
        <v>46042</v>
      </c>
      <c r="K268" s="10" t="s">
        <v>12</v>
      </c>
      <c r="L268" s="11">
        <v>48</v>
      </c>
      <c r="M268" s="10" t="s">
        <v>166</v>
      </c>
      <c r="N268" s="11">
        <v>190524</v>
      </c>
      <c r="O268" s="66"/>
      <c r="P268" s="66"/>
      <c r="Q268" s="7"/>
    </row>
    <row r="269" spans="1:17" ht="16.5">
      <c r="A269" s="11">
        <v>190522</v>
      </c>
      <c r="B269" s="11">
        <v>162301</v>
      </c>
      <c r="C269" s="10" t="s">
        <v>103</v>
      </c>
      <c r="D269" s="10" t="s">
        <v>343</v>
      </c>
      <c r="E269" s="10" t="s">
        <v>320</v>
      </c>
      <c r="F269" s="10" t="s">
        <v>197</v>
      </c>
      <c r="G269" s="11" t="s">
        <v>163</v>
      </c>
      <c r="H269" s="11" t="s">
        <v>228</v>
      </c>
      <c r="I269" s="10" t="s">
        <v>278</v>
      </c>
      <c r="J269" s="12">
        <v>46042</v>
      </c>
      <c r="K269" s="10" t="s">
        <v>12</v>
      </c>
      <c r="L269" s="11">
        <v>48</v>
      </c>
      <c r="M269" s="10" t="s">
        <v>166</v>
      </c>
      <c r="N269" s="11">
        <v>190522</v>
      </c>
      <c r="O269" s="66"/>
      <c r="P269" s="66"/>
      <c r="Q269" s="7"/>
    </row>
    <row r="270" spans="1:17" ht="16.5">
      <c r="A270" s="11">
        <v>190525</v>
      </c>
      <c r="B270" s="11">
        <v>161505</v>
      </c>
      <c r="C270" s="10" t="s">
        <v>344</v>
      </c>
      <c r="D270" s="10" t="s">
        <v>345</v>
      </c>
      <c r="E270" s="10" t="s">
        <v>319</v>
      </c>
      <c r="F270" s="10" t="s">
        <v>169</v>
      </c>
      <c r="G270" s="11" t="s">
        <v>163</v>
      </c>
      <c r="H270" s="11" t="s">
        <v>164</v>
      </c>
      <c r="I270" s="10" t="s">
        <v>165</v>
      </c>
      <c r="J270" s="12">
        <v>46048</v>
      </c>
      <c r="K270" s="10" t="s">
        <v>14</v>
      </c>
      <c r="L270" s="11">
        <v>40</v>
      </c>
      <c r="M270" s="10" t="s">
        <v>166</v>
      </c>
      <c r="N270" s="11">
        <v>190525</v>
      </c>
      <c r="O270" s="66"/>
      <c r="P270" s="66"/>
      <c r="Q270" s="7"/>
    </row>
    <row r="271" spans="1:17" ht="16.5">
      <c r="A271" s="11">
        <v>190527</v>
      </c>
      <c r="B271" s="11">
        <v>162302</v>
      </c>
      <c r="C271" s="10" t="s">
        <v>344</v>
      </c>
      <c r="D271" s="10" t="s">
        <v>345</v>
      </c>
      <c r="E271" s="10" t="s">
        <v>346</v>
      </c>
      <c r="F271" s="10" t="s">
        <v>196</v>
      </c>
      <c r="G271" s="11" t="s">
        <v>163</v>
      </c>
      <c r="H271" s="11" t="s">
        <v>164</v>
      </c>
      <c r="I271" s="10" t="s">
        <v>165</v>
      </c>
      <c r="J271" s="12">
        <v>46048</v>
      </c>
      <c r="K271" s="10" t="s">
        <v>14</v>
      </c>
      <c r="L271" s="11">
        <v>51</v>
      </c>
      <c r="M271" s="10" t="s">
        <v>166</v>
      </c>
      <c r="N271" s="11">
        <v>190527</v>
      </c>
      <c r="O271" s="66"/>
      <c r="P271" s="66"/>
      <c r="Q271" s="7"/>
    </row>
    <row r="272" spans="1:17" ht="16.5">
      <c r="A272" s="11">
        <v>190526</v>
      </c>
      <c r="B272" s="11">
        <v>162302</v>
      </c>
      <c r="C272" s="10" t="s">
        <v>344</v>
      </c>
      <c r="D272" s="10" t="s">
        <v>345</v>
      </c>
      <c r="E272" s="10" t="s">
        <v>346</v>
      </c>
      <c r="F272" s="10" t="s">
        <v>193</v>
      </c>
      <c r="G272" s="11" t="s">
        <v>163</v>
      </c>
      <c r="H272" s="11" t="s">
        <v>164</v>
      </c>
      <c r="I272" s="10" t="s">
        <v>165</v>
      </c>
      <c r="J272" s="12">
        <v>46048</v>
      </c>
      <c r="K272" s="10" t="s">
        <v>14</v>
      </c>
      <c r="L272" s="11">
        <v>51</v>
      </c>
      <c r="M272" s="10" t="s">
        <v>166</v>
      </c>
      <c r="N272" s="11">
        <v>190526</v>
      </c>
      <c r="O272" s="66"/>
      <c r="P272" s="66"/>
      <c r="Q272" s="7"/>
    </row>
    <row r="273" spans="1:30" ht="16.5">
      <c r="A273" s="11">
        <v>190528</v>
      </c>
      <c r="B273" s="11">
        <v>162302</v>
      </c>
      <c r="C273" s="10" t="s">
        <v>344</v>
      </c>
      <c r="D273" s="10" t="s">
        <v>345</v>
      </c>
      <c r="E273" s="10" t="s">
        <v>346</v>
      </c>
      <c r="F273" s="10" t="s">
        <v>197</v>
      </c>
      <c r="G273" s="11" t="s">
        <v>163</v>
      </c>
      <c r="H273" s="11" t="s">
        <v>164</v>
      </c>
      <c r="I273" s="10" t="s">
        <v>165</v>
      </c>
      <c r="J273" s="12">
        <v>46048</v>
      </c>
      <c r="K273" s="10" t="s">
        <v>14</v>
      </c>
      <c r="L273" s="11">
        <v>50</v>
      </c>
      <c r="M273" s="10" t="s">
        <v>166</v>
      </c>
      <c r="N273" s="11">
        <v>190528</v>
      </c>
      <c r="O273" s="66"/>
      <c r="P273" s="66"/>
      <c r="Q273" s="7"/>
    </row>
    <row r="274" spans="1:30" ht="16.5">
      <c r="A274" s="11">
        <v>190530</v>
      </c>
      <c r="B274" s="11">
        <v>162315</v>
      </c>
      <c r="C274" s="10" t="s">
        <v>344</v>
      </c>
      <c r="D274" s="10" t="s">
        <v>345</v>
      </c>
      <c r="E274" s="10" t="s">
        <v>347</v>
      </c>
      <c r="F274" s="10" t="s">
        <v>196</v>
      </c>
      <c r="G274" s="11" t="s">
        <v>163</v>
      </c>
      <c r="H274" s="11" t="s">
        <v>164</v>
      </c>
      <c r="I274" s="10" t="s">
        <v>165</v>
      </c>
      <c r="J274" s="12">
        <v>46048</v>
      </c>
      <c r="K274" s="10" t="s">
        <v>14</v>
      </c>
      <c r="L274" s="11">
        <v>69</v>
      </c>
      <c r="M274" s="10" t="s">
        <v>166</v>
      </c>
      <c r="N274" s="11">
        <v>190530</v>
      </c>
      <c r="O274" s="66"/>
      <c r="P274" s="66"/>
      <c r="Q274" s="7"/>
    </row>
    <row r="275" spans="1:30" ht="16.5">
      <c r="A275" s="11">
        <v>190529</v>
      </c>
      <c r="B275" s="11">
        <v>162315</v>
      </c>
      <c r="C275" s="10" t="s">
        <v>344</v>
      </c>
      <c r="D275" s="10" t="s">
        <v>345</v>
      </c>
      <c r="E275" s="10" t="s">
        <v>347</v>
      </c>
      <c r="F275" s="10" t="s">
        <v>193</v>
      </c>
      <c r="G275" s="11" t="s">
        <v>163</v>
      </c>
      <c r="H275" s="11" t="s">
        <v>164</v>
      </c>
      <c r="I275" s="10" t="s">
        <v>165</v>
      </c>
      <c r="J275" s="12">
        <v>46048</v>
      </c>
      <c r="K275" s="10" t="s">
        <v>14</v>
      </c>
      <c r="L275" s="11">
        <v>69</v>
      </c>
      <c r="M275" s="10" t="s">
        <v>166</v>
      </c>
      <c r="N275" s="11">
        <v>190529</v>
      </c>
      <c r="O275" s="66"/>
      <c r="P275" s="66"/>
      <c r="Q275" s="7"/>
    </row>
    <row r="276" spans="1:30" ht="16.5">
      <c r="A276" s="11">
        <v>190593</v>
      </c>
      <c r="B276" s="11">
        <v>164867</v>
      </c>
      <c r="C276" s="10" t="s">
        <v>348</v>
      </c>
      <c r="D276" s="10" t="s">
        <v>349</v>
      </c>
      <c r="E276" s="10" t="s">
        <v>275</v>
      </c>
      <c r="F276" s="10" t="s">
        <v>169</v>
      </c>
      <c r="G276" s="11" t="s">
        <v>163</v>
      </c>
      <c r="H276" s="11" t="s">
        <v>194</v>
      </c>
      <c r="I276" s="10" t="s">
        <v>283</v>
      </c>
      <c r="J276" s="12">
        <v>46058</v>
      </c>
      <c r="K276" s="10" t="s">
        <v>11</v>
      </c>
      <c r="L276" s="11">
        <v>30</v>
      </c>
      <c r="M276" s="10" t="s">
        <v>166</v>
      </c>
      <c r="N276" s="11">
        <v>190593</v>
      </c>
      <c r="O276" s="66"/>
      <c r="P276" s="66"/>
      <c r="Q276" s="7"/>
    </row>
    <row r="277" spans="1:30" ht="16.5">
      <c r="A277" s="11">
        <v>190595</v>
      </c>
      <c r="B277" s="11">
        <v>164861</v>
      </c>
      <c r="C277" s="10" t="s">
        <v>350</v>
      </c>
      <c r="D277" s="10" t="s">
        <v>351</v>
      </c>
      <c r="E277" s="10" t="s">
        <v>352</v>
      </c>
      <c r="F277" s="10" t="s">
        <v>169</v>
      </c>
      <c r="G277" s="11" t="s">
        <v>163</v>
      </c>
      <c r="H277" s="11" t="s">
        <v>164</v>
      </c>
      <c r="I277" s="10" t="s">
        <v>215</v>
      </c>
      <c r="J277" s="12">
        <v>46050</v>
      </c>
      <c r="K277" s="10" t="s">
        <v>11</v>
      </c>
      <c r="L277" s="11">
        <v>63</v>
      </c>
      <c r="M277" s="10" t="s">
        <v>166</v>
      </c>
      <c r="N277" s="11">
        <v>190595</v>
      </c>
      <c r="O277" s="66"/>
      <c r="P277" s="66"/>
      <c r="Q277" s="7"/>
    </row>
    <row r="278" spans="1:30" ht="16.5">
      <c r="A278" s="11">
        <v>190596</v>
      </c>
      <c r="B278" s="11">
        <v>164862</v>
      </c>
      <c r="C278" s="10" t="s">
        <v>353</v>
      </c>
      <c r="D278" s="10" t="s">
        <v>354</v>
      </c>
      <c r="E278" s="10" t="s">
        <v>352</v>
      </c>
      <c r="F278" s="10" t="s">
        <v>169</v>
      </c>
      <c r="G278" s="11" t="s">
        <v>163</v>
      </c>
      <c r="H278" s="11" t="s">
        <v>164</v>
      </c>
      <c r="I278" s="10" t="s">
        <v>238</v>
      </c>
      <c r="J278" s="12">
        <v>46052</v>
      </c>
      <c r="K278" s="10" t="s">
        <v>11</v>
      </c>
      <c r="L278" s="11">
        <v>61</v>
      </c>
      <c r="M278" s="10" t="s">
        <v>166</v>
      </c>
      <c r="N278" s="11">
        <v>190596</v>
      </c>
      <c r="O278" s="66"/>
      <c r="P278" s="66"/>
      <c r="Q278" s="7"/>
    </row>
    <row r="279" spans="1:30" ht="16.5">
      <c r="A279" s="11">
        <v>190600</v>
      </c>
      <c r="B279" s="11">
        <v>162267</v>
      </c>
      <c r="C279" s="10" t="s">
        <v>135</v>
      </c>
      <c r="D279" s="10" t="s">
        <v>355</v>
      </c>
      <c r="E279" s="10" t="s">
        <v>274</v>
      </c>
      <c r="F279" s="10" t="s">
        <v>169</v>
      </c>
      <c r="G279" s="11" t="s">
        <v>163</v>
      </c>
      <c r="H279" s="11" t="s">
        <v>228</v>
      </c>
      <c r="I279" s="10" t="s">
        <v>238</v>
      </c>
      <c r="J279" s="12">
        <v>46045</v>
      </c>
      <c r="K279" s="10" t="s">
        <v>13</v>
      </c>
      <c r="L279" s="11">
        <v>37</v>
      </c>
      <c r="M279" s="10" t="s">
        <v>166</v>
      </c>
      <c r="N279" s="11">
        <v>190600</v>
      </c>
      <c r="O279" s="66"/>
      <c r="P279" s="66"/>
      <c r="Q279" s="7"/>
    </row>
    <row r="280" spans="1:30">
      <c r="A280" s="18">
        <v>190467</v>
      </c>
      <c r="B280" s="18">
        <v>161250</v>
      </c>
      <c r="C280" s="18" t="s">
        <v>314</v>
      </c>
      <c r="D280" s="19" t="s">
        <v>315</v>
      </c>
      <c r="E280" s="19" t="s">
        <v>356</v>
      </c>
      <c r="F280" s="21" t="s">
        <v>193</v>
      </c>
      <c r="G280" t="s">
        <v>357</v>
      </c>
      <c r="H280" s="21" t="s">
        <v>164</v>
      </c>
      <c r="I280" s="21" t="s">
        <v>238</v>
      </c>
      <c r="J280" s="22">
        <v>46052</v>
      </c>
      <c r="K280" s="21" t="s">
        <v>14</v>
      </c>
      <c r="L280" s="20">
        <v>43</v>
      </c>
      <c r="M280" s="21" t="s">
        <v>358</v>
      </c>
      <c r="N280" s="18">
        <v>190467</v>
      </c>
      <c r="O280" s="18"/>
      <c r="P280" s="18" t="s">
        <v>359</v>
      </c>
      <c r="Q280" s="20">
        <v>670</v>
      </c>
      <c r="R280" s="20">
        <v>43</v>
      </c>
      <c r="S280" s="20" t="s">
        <v>163</v>
      </c>
      <c r="T280" s="20">
        <v>674</v>
      </c>
      <c r="U280" s="20" t="s">
        <v>360</v>
      </c>
      <c r="V280" s="20" t="s">
        <v>361</v>
      </c>
      <c r="W280" s="18" t="s">
        <v>362</v>
      </c>
      <c r="X280" s="18">
        <v>190467</v>
      </c>
      <c r="Y280" s="20" t="s">
        <v>363</v>
      </c>
      <c r="Z280" s="20">
        <v>67</v>
      </c>
      <c r="AA280" s="18" t="s">
        <v>359</v>
      </c>
      <c r="AB280" s="18" t="s">
        <v>364</v>
      </c>
      <c r="AC280" s="20" t="s">
        <v>365</v>
      </c>
      <c r="AD280" s="18" t="s">
        <v>359</v>
      </c>
    </row>
    <row r="281" spans="1:30">
      <c r="A281" s="18">
        <v>190468</v>
      </c>
      <c r="B281" s="18">
        <v>161250</v>
      </c>
      <c r="C281" s="18" t="s">
        <v>314</v>
      </c>
      <c r="D281" s="19" t="s">
        <v>315</v>
      </c>
      <c r="E281" s="19" t="s">
        <v>356</v>
      </c>
      <c r="F281" s="21" t="s">
        <v>196</v>
      </c>
      <c r="G281" t="s">
        <v>357</v>
      </c>
      <c r="H281" s="21" t="s">
        <v>164</v>
      </c>
      <c r="I281" s="21" t="s">
        <v>238</v>
      </c>
      <c r="J281" s="22">
        <v>46052</v>
      </c>
      <c r="K281" s="21" t="s">
        <v>14</v>
      </c>
      <c r="L281" s="20">
        <v>42</v>
      </c>
      <c r="M281" s="21" t="s">
        <v>358</v>
      </c>
      <c r="N281" s="18">
        <v>190468</v>
      </c>
      <c r="O281" s="18"/>
      <c r="P281" s="18" t="s">
        <v>359</v>
      </c>
      <c r="Q281" s="20">
        <v>670</v>
      </c>
      <c r="R281" s="20">
        <v>42</v>
      </c>
      <c r="S281" s="20" t="s">
        <v>163</v>
      </c>
      <c r="T281" s="20">
        <v>674</v>
      </c>
      <c r="U281" s="20" t="s">
        <v>360</v>
      </c>
      <c r="V281" s="20" t="s">
        <v>361</v>
      </c>
      <c r="W281" s="18" t="s">
        <v>362</v>
      </c>
      <c r="X281" s="18">
        <v>190468</v>
      </c>
      <c r="Y281" s="20" t="s">
        <v>363</v>
      </c>
      <c r="Z281" s="20">
        <v>67</v>
      </c>
      <c r="AA281" s="18" t="s">
        <v>359</v>
      </c>
      <c r="AB281" s="18" t="s">
        <v>364</v>
      </c>
      <c r="AC281" s="20" t="s">
        <v>365</v>
      </c>
      <c r="AD281" s="18" t="s">
        <v>359</v>
      </c>
    </row>
    <row r="282" spans="1:30">
      <c r="A282" s="18">
        <v>190489</v>
      </c>
      <c r="B282" s="18">
        <v>161251</v>
      </c>
      <c r="C282" s="18" t="s">
        <v>330</v>
      </c>
      <c r="D282" s="19" t="s">
        <v>331</v>
      </c>
      <c r="E282" s="19" t="s">
        <v>366</v>
      </c>
      <c r="F282" s="21" t="s">
        <v>196</v>
      </c>
      <c r="G282" t="s">
        <v>357</v>
      </c>
      <c r="H282" s="21" t="s">
        <v>194</v>
      </c>
      <c r="I282" s="21" t="s">
        <v>165</v>
      </c>
      <c r="J282" s="22">
        <v>46055</v>
      </c>
      <c r="K282" s="21" t="s">
        <v>367</v>
      </c>
      <c r="L282" s="20">
        <v>51</v>
      </c>
      <c r="M282" s="21" t="s">
        <v>358</v>
      </c>
      <c r="N282" s="18">
        <v>190489</v>
      </c>
      <c r="O282" s="18"/>
      <c r="P282" s="18" t="s">
        <v>368</v>
      </c>
      <c r="Q282" s="20">
        <v>670</v>
      </c>
      <c r="R282" s="20">
        <v>51</v>
      </c>
      <c r="S282" s="20" t="s">
        <v>163</v>
      </c>
      <c r="T282" s="20">
        <v>674</v>
      </c>
      <c r="U282" s="20" t="s">
        <v>360</v>
      </c>
      <c r="V282" s="20" t="s">
        <v>361</v>
      </c>
      <c r="W282" s="18" t="s">
        <v>362</v>
      </c>
      <c r="X282" s="18">
        <v>190489</v>
      </c>
      <c r="Y282" s="20" t="s">
        <v>363</v>
      </c>
      <c r="Z282" s="20">
        <v>67</v>
      </c>
      <c r="AA282" s="18" t="s">
        <v>368</v>
      </c>
      <c r="AB282" s="18" t="s">
        <v>364</v>
      </c>
      <c r="AC282" s="20" t="s">
        <v>365</v>
      </c>
      <c r="AD282" s="18" t="s">
        <v>37</v>
      </c>
    </row>
    <row r="283" spans="1:30">
      <c r="A283" s="18">
        <v>190490</v>
      </c>
      <c r="B283" s="18">
        <v>161251</v>
      </c>
      <c r="C283" s="18" t="s">
        <v>330</v>
      </c>
      <c r="D283" s="19" t="s">
        <v>331</v>
      </c>
      <c r="E283" s="19" t="s">
        <v>366</v>
      </c>
      <c r="F283" s="21" t="s">
        <v>197</v>
      </c>
      <c r="G283" t="s">
        <v>357</v>
      </c>
      <c r="H283" s="21" t="s">
        <v>194</v>
      </c>
      <c r="I283" s="21" t="s">
        <v>165</v>
      </c>
      <c r="J283" s="22">
        <v>46055</v>
      </c>
      <c r="K283" s="21" t="s">
        <v>367</v>
      </c>
      <c r="L283" s="20">
        <v>51</v>
      </c>
      <c r="M283" s="21" t="s">
        <v>358</v>
      </c>
      <c r="N283" s="18">
        <v>190490</v>
      </c>
      <c r="O283" s="18"/>
      <c r="P283" s="18" t="s">
        <v>368</v>
      </c>
      <c r="Q283" s="20">
        <v>670</v>
      </c>
      <c r="R283" s="20">
        <v>51</v>
      </c>
      <c r="S283" s="20" t="s">
        <v>163</v>
      </c>
      <c r="T283" s="20">
        <v>674</v>
      </c>
      <c r="U283" s="20" t="s">
        <v>360</v>
      </c>
      <c r="V283" s="20" t="s">
        <v>361</v>
      </c>
      <c r="W283" s="18" t="s">
        <v>362</v>
      </c>
      <c r="X283" s="18">
        <v>190490</v>
      </c>
      <c r="Y283" s="20" t="s">
        <v>363</v>
      </c>
      <c r="Z283" s="20">
        <v>67</v>
      </c>
      <c r="AA283" s="18" t="s">
        <v>368</v>
      </c>
      <c r="AB283" s="18" t="s">
        <v>364</v>
      </c>
      <c r="AC283" s="20" t="s">
        <v>365</v>
      </c>
      <c r="AD283" s="18" t="s">
        <v>37</v>
      </c>
    </row>
    <row r="284" spans="1:30">
      <c r="A284" s="18">
        <v>190491</v>
      </c>
      <c r="B284" s="18">
        <v>161251</v>
      </c>
      <c r="C284" s="18" t="s">
        <v>330</v>
      </c>
      <c r="D284" s="19" t="s">
        <v>331</v>
      </c>
      <c r="E284" s="19" t="s">
        <v>366</v>
      </c>
      <c r="F284" s="21" t="s">
        <v>193</v>
      </c>
      <c r="G284" t="s">
        <v>357</v>
      </c>
      <c r="H284" s="21" t="s">
        <v>194</v>
      </c>
      <c r="I284" s="21" t="s">
        <v>165</v>
      </c>
      <c r="J284" s="22">
        <v>46055</v>
      </c>
      <c r="K284" s="21" t="s">
        <v>367</v>
      </c>
      <c r="L284" s="20">
        <v>52</v>
      </c>
      <c r="M284" s="21" t="s">
        <v>358</v>
      </c>
      <c r="N284" s="18">
        <v>190491</v>
      </c>
      <c r="O284" s="18"/>
      <c r="P284" s="18" t="s">
        <v>368</v>
      </c>
      <c r="Q284" s="20">
        <v>670</v>
      </c>
      <c r="R284" s="20">
        <v>52</v>
      </c>
      <c r="S284" s="20" t="s">
        <v>163</v>
      </c>
      <c r="T284" s="20">
        <v>674</v>
      </c>
      <c r="U284" s="20" t="s">
        <v>360</v>
      </c>
      <c r="V284" s="20" t="s">
        <v>361</v>
      </c>
      <c r="W284" s="18" t="s">
        <v>362</v>
      </c>
      <c r="X284" s="18">
        <v>190491</v>
      </c>
      <c r="Y284" s="20" t="s">
        <v>363</v>
      </c>
      <c r="Z284" s="20">
        <v>67</v>
      </c>
      <c r="AA284" s="18" t="s">
        <v>368</v>
      </c>
      <c r="AB284" s="18" t="s">
        <v>364</v>
      </c>
      <c r="AC284" s="20" t="s">
        <v>365</v>
      </c>
      <c r="AD284" s="18" t="s">
        <v>37</v>
      </c>
    </row>
    <row r="285" spans="1:30">
      <c r="A285" s="18">
        <v>190493</v>
      </c>
      <c r="B285" s="18">
        <v>161252</v>
      </c>
      <c r="C285" s="18" t="s">
        <v>330</v>
      </c>
      <c r="D285" s="19" t="s">
        <v>331</v>
      </c>
      <c r="E285" s="19" t="s">
        <v>369</v>
      </c>
      <c r="F285" s="21" t="s">
        <v>193</v>
      </c>
      <c r="G285" t="s">
        <v>357</v>
      </c>
      <c r="H285" s="21" t="s">
        <v>194</v>
      </c>
      <c r="I285" s="21" t="s">
        <v>165</v>
      </c>
      <c r="J285" s="22">
        <v>46055</v>
      </c>
      <c r="K285" s="21" t="s">
        <v>367</v>
      </c>
      <c r="L285" s="20">
        <v>47</v>
      </c>
      <c r="M285" s="21" t="s">
        <v>358</v>
      </c>
      <c r="N285" s="18">
        <v>190493</v>
      </c>
      <c r="O285" s="18"/>
      <c r="P285" s="18" t="s">
        <v>370</v>
      </c>
      <c r="Q285" s="20">
        <v>670</v>
      </c>
      <c r="R285" s="20">
        <v>47</v>
      </c>
      <c r="S285" s="20" t="s">
        <v>163</v>
      </c>
      <c r="T285" s="20">
        <v>674</v>
      </c>
      <c r="U285" s="20" t="s">
        <v>360</v>
      </c>
      <c r="V285" s="20" t="s">
        <v>361</v>
      </c>
      <c r="W285" s="18" t="s">
        <v>362</v>
      </c>
      <c r="X285" s="18">
        <v>190493</v>
      </c>
      <c r="Y285" s="20" t="s">
        <v>363</v>
      </c>
      <c r="Z285" s="20">
        <v>67</v>
      </c>
      <c r="AA285" s="18" t="s">
        <v>370</v>
      </c>
      <c r="AB285" s="18" t="s">
        <v>364</v>
      </c>
      <c r="AC285" s="20" t="s">
        <v>365</v>
      </c>
      <c r="AD285" s="18" t="s">
        <v>37</v>
      </c>
    </row>
    <row r="286" spans="1:30">
      <c r="A286" s="18">
        <v>190492</v>
      </c>
      <c r="B286" s="18">
        <v>161252</v>
      </c>
      <c r="C286" s="18" t="s">
        <v>330</v>
      </c>
      <c r="D286" s="19" t="s">
        <v>331</v>
      </c>
      <c r="E286" s="19" t="s">
        <v>369</v>
      </c>
      <c r="F286" s="21" t="s">
        <v>196</v>
      </c>
      <c r="G286" t="s">
        <v>357</v>
      </c>
      <c r="H286" s="21" t="s">
        <v>194</v>
      </c>
      <c r="I286" s="21" t="s">
        <v>165</v>
      </c>
      <c r="J286" s="22">
        <v>46055</v>
      </c>
      <c r="K286" s="21" t="s">
        <v>367</v>
      </c>
      <c r="L286" s="20">
        <v>47</v>
      </c>
      <c r="M286" s="21" t="s">
        <v>358</v>
      </c>
      <c r="N286" s="18">
        <v>190492</v>
      </c>
      <c r="O286" s="18"/>
      <c r="P286" s="18" t="s">
        <v>370</v>
      </c>
      <c r="Q286" s="20">
        <v>670</v>
      </c>
      <c r="R286" s="20">
        <v>47</v>
      </c>
      <c r="S286" s="20" t="s">
        <v>163</v>
      </c>
      <c r="T286" s="20">
        <v>674</v>
      </c>
      <c r="U286" s="20" t="s">
        <v>360</v>
      </c>
      <c r="V286" s="20" t="s">
        <v>361</v>
      </c>
      <c r="W286" s="18" t="s">
        <v>362</v>
      </c>
      <c r="X286" s="18">
        <v>190492</v>
      </c>
      <c r="Y286" s="20" t="s">
        <v>363</v>
      </c>
      <c r="Z286" s="20">
        <v>67</v>
      </c>
      <c r="AA286" s="18" t="s">
        <v>370</v>
      </c>
      <c r="AB286" s="18" t="s">
        <v>364</v>
      </c>
      <c r="AC286" s="20" t="s">
        <v>365</v>
      </c>
      <c r="AD286" s="18" t="s">
        <v>37</v>
      </c>
    </row>
    <row r="287" spans="1:30">
      <c r="A287" s="18">
        <v>190494</v>
      </c>
      <c r="B287" s="18">
        <v>161252</v>
      </c>
      <c r="C287" s="18" t="s">
        <v>330</v>
      </c>
      <c r="D287" s="19" t="s">
        <v>331</v>
      </c>
      <c r="E287" s="19" t="s">
        <v>369</v>
      </c>
      <c r="F287" s="21" t="s">
        <v>197</v>
      </c>
      <c r="G287" t="s">
        <v>357</v>
      </c>
      <c r="H287" s="21" t="s">
        <v>194</v>
      </c>
      <c r="I287" s="21" t="s">
        <v>165</v>
      </c>
      <c r="J287" s="22">
        <v>46055</v>
      </c>
      <c r="K287" s="21" t="s">
        <v>367</v>
      </c>
      <c r="L287" s="20">
        <v>47</v>
      </c>
      <c r="M287" s="21" t="s">
        <v>358</v>
      </c>
      <c r="N287" s="18">
        <v>190494</v>
      </c>
      <c r="O287" s="18"/>
      <c r="P287" s="18" t="s">
        <v>370</v>
      </c>
      <c r="Q287" s="20">
        <v>670</v>
      </c>
      <c r="R287" s="20">
        <v>47</v>
      </c>
      <c r="S287" s="20" t="s">
        <v>163</v>
      </c>
      <c r="T287" s="20">
        <v>674</v>
      </c>
      <c r="U287" s="20" t="s">
        <v>360</v>
      </c>
      <c r="V287" s="20" t="s">
        <v>361</v>
      </c>
      <c r="W287" s="18" t="s">
        <v>362</v>
      </c>
      <c r="X287" s="18">
        <v>190494</v>
      </c>
      <c r="Y287" s="20" t="s">
        <v>363</v>
      </c>
      <c r="Z287" s="20">
        <v>67</v>
      </c>
      <c r="AA287" s="18" t="s">
        <v>370</v>
      </c>
      <c r="AB287" s="18" t="s">
        <v>364</v>
      </c>
      <c r="AC287" s="20" t="s">
        <v>365</v>
      </c>
      <c r="AD287" s="18" t="s">
        <v>37</v>
      </c>
    </row>
    <row r="288" spans="1:30">
      <c r="A288" s="18">
        <v>190235</v>
      </c>
      <c r="B288" s="18">
        <v>161253</v>
      </c>
      <c r="C288" s="18" t="s">
        <v>272</v>
      </c>
      <c r="D288" s="19" t="s">
        <v>273</v>
      </c>
      <c r="E288" s="19" t="s">
        <v>366</v>
      </c>
      <c r="F288" s="21" t="s">
        <v>193</v>
      </c>
      <c r="G288" t="s">
        <v>357</v>
      </c>
      <c r="H288" s="21" t="s">
        <v>164</v>
      </c>
      <c r="I288" s="21" t="s">
        <v>165</v>
      </c>
      <c r="J288" s="22">
        <v>46048</v>
      </c>
      <c r="K288" s="21" t="s">
        <v>371</v>
      </c>
      <c r="L288" s="20">
        <v>60</v>
      </c>
      <c r="M288" s="21" t="s">
        <v>358</v>
      </c>
      <c r="N288" s="18">
        <v>190235</v>
      </c>
      <c r="O288" s="18"/>
      <c r="P288" s="18" t="s">
        <v>372</v>
      </c>
      <c r="Q288" s="20">
        <v>670</v>
      </c>
      <c r="R288" s="20">
        <v>60</v>
      </c>
      <c r="S288" s="20" t="s">
        <v>163</v>
      </c>
      <c r="T288" s="20">
        <v>674</v>
      </c>
      <c r="U288" s="20" t="s">
        <v>360</v>
      </c>
      <c r="V288" s="20" t="s">
        <v>361</v>
      </c>
      <c r="W288" s="18" t="s">
        <v>362</v>
      </c>
      <c r="X288" s="18">
        <v>190235</v>
      </c>
      <c r="Y288" s="20" t="s">
        <v>363</v>
      </c>
      <c r="Z288" s="20">
        <v>67</v>
      </c>
      <c r="AA288" s="18" t="s">
        <v>372</v>
      </c>
      <c r="AB288" s="18" t="s">
        <v>364</v>
      </c>
      <c r="AC288" s="20" t="s">
        <v>365</v>
      </c>
      <c r="AD288" s="18" t="s">
        <v>373</v>
      </c>
    </row>
    <row r="289" spans="1:30">
      <c r="A289" s="18">
        <v>190234</v>
      </c>
      <c r="B289" s="18">
        <v>161253</v>
      </c>
      <c r="C289" s="18" t="s">
        <v>272</v>
      </c>
      <c r="D289" s="19" t="s">
        <v>273</v>
      </c>
      <c r="E289" s="19" t="s">
        <v>366</v>
      </c>
      <c r="F289" s="21" t="s">
        <v>196</v>
      </c>
      <c r="G289" t="s">
        <v>357</v>
      </c>
      <c r="H289" s="21" t="s">
        <v>164</v>
      </c>
      <c r="I289" s="21" t="s">
        <v>165</v>
      </c>
      <c r="J289" s="22">
        <v>46048</v>
      </c>
      <c r="K289" s="21" t="s">
        <v>371</v>
      </c>
      <c r="L289" s="20">
        <v>60</v>
      </c>
      <c r="M289" s="21" t="s">
        <v>358</v>
      </c>
      <c r="N289" s="18">
        <v>190234</v>
      </c>
      <c r="O289" s="18"/>
      <c r="P289" s="18" t="s">
        <v>372</v>
      </c>
      <c r="Q289" s="20">
        <v>670</v>
      </c>
      <c r="R289" s="20">
        <v>60</v>
      </c>
      <c r="S289" s="20" t="s">
        <v>163</v>
      </c>
      <c r="T289" s="20">
        <v>674</v>
      </c>
      <c r="U289" s="20" t="s">
        <v>360</v>
      </c>
      <c r="V289" s="20" t="s">
        <v>361</v>
      </c>
      <c r="W289" s="18" t="s">
        <v>362</v>
      </c>
      <c r="X289" s="18">
        <v>190234</v>
      </c>
      <c r="Y289" s="20" t="s">
        <v>363</v>
      </c>
      <c r="Z289" s="20">
        <v>67</v>
      </c>
      <c r="AA289" s="18" t="s">
        <v>372</v>
      </c>
      <c r="AB289" s="18" t="s">
        <v>364</v>
      </c>
      <c r="AC289" s="20" t="s">
        <v>365</v>
      </c>
      <c r="AD289" s="18" t="s">
        <v>373</v>
      </c>
    </row>
    <row r="290" spans="1:30">
      <c r="A290" s="18">
        <v>190237</v>
      </c>
      <c r="B290" s="18">
        <v>161254</v>
      </c>
      <c r="C290" s="18" t="s">
        <v>272</v>
      </c>
      <c r="D290" s="19" t="s">
        <v>273</v>
      </c>
      <c r="E290" s="19" t="s">
        <v>369</v>
      </c>
      <c r="F290" s="21" t="s">
        <v>196</v>
      </c>
      <c r="G290" t="s">
        <v>357</v>
      </c>
      <c r="H290" s="21" t="s">
        <v>164</v>
      </c>
      <c r="I290" s="21" t="s">
        <v>165</v>
      </c>
      <c r="J290" s="22">
        <v>46048</v>
      </c>
      <c r="K290" s="21" t="s">
        <v>371</v>
      </c>
      <c r="L290" s="20">
        <v>65</v>
      </c>
      <c r="M290" s="21" t="s">
        <v>358</v>
      </c>
      <c r="N290" s="18">
        <v>190237</v>
      </c>
      <c r="O290" s="18"/>
      <c r="P290" s="18" t="s">
        <v>374</v>
      </c>
      <c r="Q290" s="20">
        <v>670</v>
      </c>
      <c r="R290" s="20">
        <v>65</v>
      </c>
      <c r="S290" s="20" t="s">
        <v>163</v>
      </c>
      <c r="T290" s="20">
        <v>674</v>
      </c>
      <c r="U290" s="20" t="s">
        <v>360</v>
      </c>
      <c r="V290" s="20" t="s">
        <v>361</v>
      </c>
      <c r="W290" s="18" t="s">
        <v>362</v>
      </c>
      <c r="X290" s="18">
        <v>190237</v>
      </c>
      <c r="Y290" s="20" t="s">
        <v>363</v>
      </c>
      <c r="Z290" s="20">
        <v>67</v>
      </c>
      <c r="AA290" s="18" t="s">
        <v>374</v>
      </c>
      <c r="AB290" s="18" t="s">
        <v>364</v>
      </c>
      <c r="AC290" s="20" t="s">
        <v>365</v>
      </c>
      <c r="AD290" s="18" t="s">
        <v>373</v>
      </c>
    </row>
    <row r="291" spans="1:30">
      <c r="A291" s="18">
        <v>190236</v>
      </c>
      <c r="B291" s="18">
        <v>161254</v>
      </c>
      <c r="C291" s="18" t="s">
        <v>272</v>
      </c>
      <c r="D291" s="19" t="s">
        <v>273</v>
      </c>
      <c r="E291" s="19" t="s">
        <v>369</v>
      </c>
      <c r="F291" s="21" t="s">
        <v>193</v>
      </c>
      <c r="G291" t="s">
        <v>357</v>
      </c>
      <c r="H291" s="21" t="s">
        <v>164</v>
      </c>
      <c r="I291" s="21" t="s">
        <v>165</v>
      </c>
      <c r="J291" s="22">
        <v>46048</v>
      </c>
      <c r="K291" s="21" t="s">
        <v>371</v>
      </c>
      <c r="L291" s="20">
        <v>66</v>
      </c>
      <c r="M291" s="21" t="s">
        <v>358</v>
      </c>
      <c r="N291" s="18">
        <v>190236</v>
      </c>
      <c r="O291" s="18"/>
      <c r="P291" s="18" t="s">
        <v>374</v>
      </c>
      <c r="Q291" s="20">
        <v>670</v>
      </c>
      <c r="R291" s="20">
        <v>66</v>
      </c>
      <c r="S291" s="20" t="s">
        <v>163</v>
      </c>
      <c r="T291" s="20">
        <v>674</v>
      </c>
      <c r="U291" s="20" t="s">
        <v>360</v>
      </c>
      <c r="V291" s="20" t="s">
        <v>361</v>
      </c>
      <c r="W291" s="18" t="s">
        <v>362</v>
      </c>
      <c r="X291" s="18">
        <v>190236</v>
      </c>
      <c r="Y291" s="20" t="s">
        <v>363</v>
      </c>
      <c r="Z291" s="20">
        <v>67</v>
      </c>
      <c r="AA291" s="18" t="s">
        <v>374</v>
      </c>
      <c r="AB291" s="18" t="s">
        <v>364</v>
      </c>
      <c r="AC291" s="20" t="s">
        <v>365</v>
      </c>
      <c r="AD291" s="18" t="s">
        <v>373</v>
      </c>
    </row>
    <row r="292" spans="1:30">
      <c r="A292" s="18">
        <v>190407</v>
      </c>
      <c r="B292" s="18">
        <v>161255</v>
      </c>
      <c r="C292" s="18" t="s">
        <v>92</v>
      </c>
      <c r="D292" s="19" t="s">
        <v>298</v>
      </c>
      <c r="E292" s="19" t="s">
        <v>375</v>
      </c>
      <c r="F292" s="21" t="s">
        <v>193</v>
      </c>
      <c r="G292" t="s">
        <v>357</v>
      </c>
      <c r="H292" s="21" t="s">
        <v>228</v>
      </c>
      <c r="I292" s="21" t="s">
        <v>165</v>
      </c>
      <c r="J292" s="22">
        <v>46041</v>
      </c>
      <c r="K292" s="21" t="s">
        <v>376</v>
      </c>
      <c r="L292" s="20">
        <v>61</v>
      </c>
      <c r="M292" s="21" t="s">
        <v>358</v>
      </c>
      <c r="N292" s="18">
        <v>190407</v>
      </c>
      <c r="O292" s="18"/>
      <c r="P292" s="18" t="s">
        <v>377</v>
      </c>
      <c r="Q292" s="20">
        <v>670</v>
      </c>
      <c r="R292" s="20">
        <v>61</v>
      </c>
      <c r="S292" s="20" t="s">
        <v>163</v>
      </c>
      <c r="T292" s="20">
        <v>674</v>
      </c>
      <c r="U292" s="20" t="s">
        <v>360</v>
      </c>
      <c r="V292" s="20" t="s">
        <v>361</v>
      </c>
      <c r="W292" s="18" t="s">
        <v>362</v>
      </c>
      <c r="X292" s="18">
        <v>190407</v>
      </c>
      <c r="Y292" s="20" t="s">
        <v>378</v>
      </c>
      <c r="Z292" s="20">
        <v>67</v>
      </c>
      <c r="AA292" s="18" t="s">
        <v>377</v>
      </c>
      <c r="AB292" s="18" t="s">
        <v>364</v>
      </c>
      <c r="AC292" s="20" t="s">
        <v>365</v>
      </c>
      <c r="AD292" s="18" t="s">
        <v>379</v>
      </c>
    </row>
    <row r="293" spans="1:30">
      <c r="A293" s="18">
        <v>190408</v>
      </c>
      <c r="B293" s="18">
        <v>161255</v>
      </c>
      <c r="C293" s="18" t="s">
        <v>92</v>
      </c>
      <c r="D293" s="19" t="s">
        <v>298</v>
      </c>
      <c r="E293" s="19" t="s">
        <v>375</v>
      </c>
      <c r="F293" s="21" t="s">
        <v>196</v>
      </c>
      <c r="G293" t="s">
        <v>357</v>
      </c>
      <c r="H293" s="21" t="s">
        <v>228</v>
      </c>
      <c r="I293" s="21" t="s">
        <v>165</v>
      </c>
      <c r="J293" s="22">
        <v>46041</v>
      </c>
      <c r="K293" s="21" t="s">
        <v>376</v>
      </c>
      <c r="L293" s="20">
        <v>61</v>
      </c>
      <c r="M293" s="21" t="s">
        <v>358</v>
      </c>
      <c r="N293" s="18">
        <v>190408</v>
      </c>
      <c r="O293" s="18"/>
      <c r="P293" s="18" t="s">
        <v>377</v>
      </c>
      <c r="Q293" s="20">
        <v>670</v>
      </c>
      <c r="R293" s="20">
        <v>61</v>
      </c>
      <c r="S293" s="20" t="s">
        <v>163</v>
      </c>
      <c r="T293" s="20">
        <v>674</v>
      </c>
      <c r="U293" s="20" t="s">
        <v>360</v>
      </c>
      <c r="V293" s="20" t="s">
        <v>361</v>
      </c>
      <c r="W293" s="18" t="s">
        <v>362</v>
      </c>
      <c r="X293" s="18">
        <v>190408</v>
      </c>
      <c r="Y293" s="20" t="s">
        <v>378</v>
      </c>
      <c r="Z293" s="20">
        <v>67</v>
      </c>
      <c r="AA293" s="18" t="s">
        <v>377</v>
      </c>
      <c r="AB293" s="18" t="s">
        <v>364</v>
      </c>
      <c r="AC293" s="20" t="s">
        <v>365</v>
      </c>
      <c r="AD293" s="18" t="s">
        <v>379</v>
      </c>
    </row>
    <row r="294" spans="1:30">
      <c r="A294" s="18">
        <v>190410</v>
      </c>
      <c r="B294" s="18">
        <v>161256</v>
      </c>
      <c r="C294" s="18" t="s">
        <v>92</v>
      </c>
      <c r="D294" s="19" t="s">
        <v>298</v>
      </c>
      <c r="E294" s="19" t="s">
        <v>380</v>
      </c>
      <c r="F294" s="21" t="s">
        <v>193</v>
      </c>
      <c r="G294" t="s">
        <v>357</v>
      </c>
      <c r="H294" s="21" t="s">
        <v>228</v>
      </c>
      <c r="I294" s="21" t="s">
        <v>165</v>
      </c>
      <c r="J294" s="22">
        <v>46041</v>
      </c>
      <c r="K294" s="21" t="s">
        <v>376</v>
      </c>
      <c r="L294" s="20">
        <v>61</v>
      </c>
      <c r="M294" s="21" t="s">
        <v>358</v>
      </c>
      <c r="N294" s="18">
        <v>190410</v>
      </c>
      <c r="O294" s="18"/>
      <c r="P294" s="18" t="s">
        <v>377</v>
      </c>
      <c r="Q294" s="20">
        <v>670</v>
      </c>
      <c r="R294" s="20">
        <v>61</v>
      </c>
      <c r="S294" s="20" t="s">
        <v>163</v>
      </c>
      <c r="T294" s="20">
        <v>674</v>
      </c>
      <c r="U294" s="20" t="s">
        <v>360</v>
      </c>
      <c r="V294" s="20" t="s">
        <v>361</v>
      </c>
      <c r="W294" s="18" t="s">
        <v>362</v>
      </c>
      <c r="X294" s="18">
        <v>190410</v>
      </c>
      <c r="Y294" s="20" t="s">
        <v>378</v>
      </c>
      <c r="Z294" s="20">
        <v>67</v>
      </c>
      <c r="AA294" s="18" t="s">
        <v>377</v>
      </c>
      <c r="AB294" s="18" t="s">
        <v>364</v>
      </c>
      <c r="AC294" s="20" t="s">
        <v>365</v>
      </c>
      <c r="AD294" s="18" t="s">
        <v>379</v>
      </c>
    </row>
    <row r="295" spans="1:30">
      <c r="A295" s="18">
        <v>190409</v>
      </c>
      <c r="B295" s="18">
        <v>161256</v>
      </c>
      <c r="C295" s="18" t="s">
        <v>92</v>
      </c>
      <c r="D295" s="19" t="s">
        <v>298</v>
      </c>
      <c r="E295" s="19" t="s">
        <v>380</v>
      </c>
      <c r="F295" s="21" t="s">
        <v>196</v>
      </c>
      <c r="G295" t="s">
        <v>357</v>
      </c>
      <c r="H295" s="21" t="s">
        <v>228</v>
      </c>
      <c r="I295" s="21" t="s">
        <v>165</v>
      </c>
      <c r="J295" s="22">
        <v>46041</v>
      </c>
      <c r="K295" s="21" t="s">
        <v>376</v>
      </c>
      <c r="L295" s="20">
        <v>61</v>
      </c>
      <c r="M295" s="21" t="s">
        <v>358</v>
      </c>
      <c r="N295" s="18">
        <v>190409</v>
      </c>
      <c r="O295" s="18"/>
      <c r="P295" s="18" t="s">
        <v>377</v>
      </c>
      <c r="Q295" s="20">
        <v>670</v>
      </c>
      <c r="R295" s="20">
        <v>61</v>
      </c>
      <c r="S295" s="20" t="s">
        <v>163</v>
      </c>
      <c r="T295" s="20">
        <v>674</v>
      </c>
      <c r="U295" s="20" t="s">
        <v>360</v>
      </c>
      <c r="V295" s="20" t="s">
        <v>361</v>
      </c>
      <c r="W295" s="18" t="s">
        <v>362</v>
      </c>
      <c r="X295" s="18">
        <v>190409</v>
      </c>
      <c r="Y295" s="20" t="s">
        <v>378</v>
      </c>
      <c r="Z295" s="20">
        <v>67</v>
      </c>
      <c r="AA295" s="18" t="s">
        <v>377</v>
      </c>
      <c r="AB295" s="18" t="s">
        <v>364</v>
      </c>
      <c r="AC295" s="20" t="s">
        <v>365</v>
      </c>
      <c r="AD295" s="18" t="s">
        <v>379</v>
      </c>
    </row>
    <row r="296" spans="1:30">
      <c r="A296" s="18">
        <v>190411</v>
      </c>
      <c r="B296" s="18">
        <v>161257</v>
      </c>
      <c r="C296" s="18" t="s">
        <v>92</v>
      </c>
      <c r="D296" s="19" t="s">
        <v>298</v>
      </c>
      <c r="E296" s="19" t="s">
        <v>381</v>
      </c>
      <c r="F296" s="21" t="s">
        <v>196</v>
      </c>
      <c r="G296" t="s">
        <v>357</v>
      </c>
      <c r="H296" s="21" t="s">
        <v>228</v>
      </c>
      <c r="I296" s="21" t="s">
        <v>165</v>
      </c>
      <c r="J296" s="22">
        <v>46041</v>
      </c>
      <c r="K296" s="21" t="s">
        <v>376</v>
      </c>
      <c r="L296" s="20">
        <v>64</v>
      </c>
      <c r="M296" s="21" t="s">
        <v>358</v>
      </c>
      <c r="N296" s="18">
        <v>190411</v>
      </c>
      <c r="O296" s="18"/>
      <c r="P296" s="18" t="s">
        <v>382</v>
      </c>
      <c r="Q296" s="20">
        <v>670</v>
      </c>
      <c r="R296" s="20">
        <v>64</v>
      </c>
      <c r="S296" s="20" t="s">
        <v>163</v>
      </c>
      <c r="T296" s="20">
        <v>674</v>
      </c>
      <c r="U296" s="20" t="s">
        <v>360</v>
      </c>
      <c r="V296" s="20" t="s">
        <v>361</v>
      </c>
      <c r="W296" s="18" t="s">
        <v>362</v>
      </c>
      <c r="X296" s="18">
        <v>190411</v>
      </c>
      <c r="Y296" s="20" t="s">
        <v>378</v>
      </c>
      <c r="Z296" s="20">
        <v>67</v>
      </c>
      <c r="AA296" s="18" t="s">
        <v>382</v>
      </c>
      <c r="AB296" s="18" t="s">
        <v>364</v>
      </c>
      <c r="AC296" s="20" t="s">
        <v>365</v>
      </c>
      <c r="AD296" s="18" t="s">
        <v>379</v>
      </c>
    </row>
    <row r="297" spans="1:30">
      <c r="A297" s="18">
        <v>190412</v>
      </c>
      <c r="B297" s="18">
        <v>161257</v>
      </c>
      <c r="C297" s="18" t="s">
        <v>92</v>
      </c>
      <c r="D297" s="19" t="s">
        <v>298</v>
      </c>
      <c r="E297" s="19" t="s">
        <v>381</v>
      </c>
      <c r="F297" s="21" t="s">
        <v>193</v>
      </c>
      <c r="G297" t="s">
        <v>357</v>
      </c>
      <c r="H297" s="21" t="s">
        <v>228</v>
      </c>
      <c r="I297" s="21" t="s">
        <v>165</v>
      </c>
      <c r="J297" s="22">
        <v>46041</v>
      </c>
      <c r="K297" s="21" t="s">
        <v>376</v>
      </c>
      <c r="L297" s="20">
        <v>64</v>
      </c>
      <c r="M297" s="21" t="s">
        <v>358</v>
      </c>
      <c r="N297" s="18">
        <v>190412</v>
      </c>
      <c r="O297" s="18"/>
      <c r="P297" s="18" t="s">
        <v>382</v>
      </c>
      <c r="Q297" s="20">
        <v>670</v>
      </c>
      <c r="R297" s="20">
        <v>64</v>
      </c>
      <c r="S297" s="20" t="s">
        <v>163</v>
      </c>
      <c r="T297" s="20">
        <v>674</v>
      </c>
      <c r="U297" s="20" t="s">
        <v>360</v>
      </c>
      <c r="V297" s="20" t="s">
        <v>361</v>
      </c>
      <c r="W297" s="18" t="s">
        <v>362</v>
      </c>
      <c r="X297" s="18">
        <v>190412</v>
      </c>
      <c r="Y297" s="20" t="s">
        <v>378</v>
      </c>
      <c r="Z297" s="20">
        <v>67</v>
      </c>
      <c r="AA297" s="18" t="s">
        <v>382</v>
      </c>
      <c r="AB297" s="18" t="s">
        <v>364</v>
      </c>
      <c r="AC297" s="20" t="s">
        <v>365</v>
      </c>
      <c r="AD297" s="18" t="s">
        <v>379</v>
      </c>
    </row>
    <row r="298" spans="1:30">
      <c r="A298" s="18">
        <v>190275</v>
      </c>
      <c r="B298" s="18">
        <v>161268</v>
      </c>
      <c r="C298" s="18" t="s">
        <v>383</v>
      </c>
      <c r="D298" s="19" t="s">
        <v>384</v>
      </c>
      <c r="E298" s="19" t="s">
        <v>385</v>
      </c>
      <c r="F298" s="21" t="s">
        <v>169</v>
      </c>
      <c r="G298" t="s">
        <v>357</v>
      </c>
      <c r="H298" s="21" t="s">
        <v>194</v>
      </c>
      <c r="I298" s="21" t="s">
        <v>278</v>
      </c>
      <c r="J298" s="22">
        <v>46056</v>
      </c>
      <c r="K298" s="21" t="s">
        <v>12</v>
      </c>
      <c r="L298" s="20">
        <v>40</v>
      </c>
      <c r="M298" s="21" t="s">
        <v>358</v>
      </c>
      <c r="N298" s="18">
        <v>190275</v>
      </c>
      <c r="O298" s="18"/>
      <c r="P298" s="18" t="s">
        <v>386</v>
      </c>
      <c r="Q298" s="20">
        <v>670</v>
      </c>
      <c r="R298" s="20">
        <v>40</v>
      </c>
      <c r="S298" s="20" t="s">
        <v>163</v>
      </c>
      <c r="T298" s="20">
        <v>674</v>
      </c>
      <c r="U298" s="20" t="s">
        <v>360</v>
      </c>
      <c r="V298" s="20" t="s">
        <v>361</v>
      </c>
      <c r="W298" s="18" t="s">
        <v>362</v>
      </c>
      <c r="X298" s="18">
        <v>190275</v>
      </c>
      <c r="Y298" s="20" t="s">
        <v>26</v>
      </c>
      <c r="Z298" s="20">
        <v>67</v>
      </c>
      <c r="AA298" s="18" t="s">
        <v>386</v>
      </c>
      <c r="AB298" s="18" t="s">
        <v>364</v>
      </c>
      <c r="AC298" s="20" t="s">
        <v>365</v>
      </c>
      <c r="AD298" s="18" t="s">
        <v>387</v>
      </c>
    </row>
    <row r="299" spans="1:30">
      <c r="A299" s="18">
        <v>190276</v>
      </c>
      <c r="B299" s="18">
        <v>161269</v>
      </c>
      <c r="C299" s="18" t="s">
        <v>383</v>
      </c>
      <c r="D299" s="19" t="s">
        <v>384</v>
      </c>
      <c r="E299" s="19" t="s">
        <v>388</v>
      </c>
      <c r="F299" s="21" t="s">
        <v>169</v>
      </c>
      <c r="G299" t="s">
        <v>357</v>
      </c>
      <c r="H299" s="21" t="s">
        <v>194</v>
      </c>
      <c r="I299" s="21" t="s">
        <v>278</v>
      </c>
      <c r="J299" s="22">
        <v>46056</v>
      </c>
      <c r="K299" s="21" t="s">
        <v>12</v>
      </c>
      <c r="L299" s="20">
        <v>40</v>
      </c>
      <c r="M299" s="21" t="s">
        <v>358</v>
      </c>
      <c r="N299" s="18">
        <v>190276</v>
      </c>
      <c r="O299" s="18"/>
      <c r="P299" s="18" t="s">
        <v>389</v>
      </c>
      <c r="Q299" s="20">
        <v>670</v>
      </c>
      <c r="R299" s="20">
        <v>40</v>
      </c>
      <c r="S299" s="20" t="s">
        <v>163</v>
      </c>
      <c r="T299" s="20">
        <v>674</v>
      </c>
      <c r="U299" s="20" t="s">
        <v>360</v>
      </c>
      <c r="V299" s="20" t="s">
        <v>361</v>
      </c>
      <c r="W299" s="18" t="s">
        <v>362</v>
      </c>
      <c r="X299" s="18">
        <v>190276</v>
      </c>
      <c r="Y299" s="20" t="s">
        <v>27</v>
      </c>
      <c r="Z299" s="20">
        <v>67</v>
      </c>
      <c r="AA299" s="18" t="s">
        <v>389</v>
      </c>
      <c r="AB299" s="18" t="s">
        <v>364</v>
      </c>
      <c r="AC299" s="20" t="s">
        <v>365</v>
      </c>
      <c r="AD299" s="18" t="s">
        <v>387</v>
      </c>
    </row>
    <row r="300" spans="1:30">
      <c r="A300" s="18">
        <v>190277</v>
      </c>
      <c r="B300" s="18">
        <v>161270</v>
      </c>
      <c r="C300" s="18" t="s">
        <v>383</v>
      </c>
      <c r="D300" s="19" t="s">
        <v>384</v>
      </c>
      <c r="E300" s="19" t="s">
        <v>390</v>
      </c>
      <c r="F300" s="21" t="s">
        <v>169</v>
      </c>
      <c r="G300" t="s">
        <v>357</v>
      </c>
      <c r="H300" s="21" t="s">
        <v>194</v>
      </c>
      <c r="I300" s="21" t="s">
        <v>278</v>
      </c>
      <c r="J300" s="22">
        <v>46056</v>
      </c>
      <c r="K300" s="21" t="s">
        <v>12</v>
      </c>
      <c r="L300" s="20">
        <v>40</v>
      </c>
      <c r="M300" s="21" t="s">
        <v>358</v>
      </c>
      <c r="N300" s="18">
        <v>190277</v>
      </c>
      <c r="O300" s="18"/>
      <c r="P300" s="18" t="s">
        <v>391</v>
      </c>
      <c r="Q300" s="20">
        <v>670</v>
      </c>
      <c r="R300" s="20">
        <v>40</v>
      </c>
      <c r="S300" s="20" t="s">
        <v>163</v>
      </c>
      <c r="T300" s="20">
        <v>674</v>
      </c>
      <c r="U300" s="20" t="s">
        <v>360</v>
      </c>
      <c r="V300" s="20" t="s">
        <v>361</v>
      </c>
      <c r="W300" s="18" t="s">
        <v>362</v>
      </c>
      <c r="X300" s="18">
        <v>190277</v>
      </c>
      <c r="Y300" s="20" t="s">
        <v>26</v>
      </c>
      <c r="Z300" s="20">
        <v>67</v>
      </c>
      <c r="AA300" s="18" t="s">
        <v>391</v>
      </c>
      <c r="AB300" s="18" t="s">
        <v>364</v>
      </c>
      <c r="AC300" s="20" t="s">
        <v>365</v>
      </c>
      <c r="AD300" s="18" t="s">
        <v>387</v>
      </c>
    </row>
    <row r="301" spans="1:30">
      <c r="A301" s="18">
        <v>190278</v>
      </c>
      <c r="B301" s="18">
        <v>161272</v>
      </c>
      <c r="C301" s="18" t="s">
        <v>383</v>
      </c>
      <c r="D301" s="19" t="s">
        <v>384</v>
      </c>
      <c r="E301" s="19" t="s">
        <v>392</v>
      </c>
      <c r="F301" s="21" t="s">
        <v>169</v>
      </c>
      <c r="G301" t="s">
        <v>357</v>
      </c>
      <c r="H301" s="21" t="s">
        <v>194</v>
      </c>
      <c r="I301" s="21" t="s">
        <v>278</v>
      </c>
      <c r="J301" s="22">
        <v>46056</v>
      </c>
      <c r="K301" s="21" t="s">
        <v>12</v>
      </c>
      <c r="L301" s="20">
        <v>40</v>
      </c>
      <c r="M301" s="21" t="s">
        <v>358</v>
      </c>
      <c r="N301" s="18">
        <v>190278</v>
      </c>
      <c r="O301" s="18"/>
      <c r="P301" s="18" t="s">
        <v>389</v>
      </c>
      <c r="Q301" s="20">
        <v>670</v>
      </c>
      <c r="R301" s="20">
        <v>40</v>
      </c>
      <c r="S301" s="20" t="s">
        <v>163</v>
      </c>
      <c r="T301" s="20">
        <v>674</v>
      </c>
      <c r="U301" s="20" t="s">
        <v>360</v>
      </c>
      <c r="V301" s="20" t="s">
        <v>361</v>
      </c>
      <c r="W301" s="18" t="s">
        <v>362</v>
      </c>
      <c r="X301" s="18">
        <v>190278</v>
      </c>
      <c r="Y301" s="20" t="s">
        <v>27</v>
      </c>
      <c r="Z301" s="20">
        <v>67</v>
      </c>
      <c r="AA301" s="18" t="s">
        <v>389</v>
      </c>
      <c r="AB301" s="18" t="s">
        <v>364</v>
      </c>
      <c r="AC301" s="20" t="s">
        <v>365</v>
      </c>
      <c r="AD301" s="18" t="s">
        <v>387</v>
      </c>
    </row>
    <row r="302" spans="1:30">
      <c r="A302" s="18">
        <v>190279</v>
      </c>
      <c r="B302" s="18">
        <v>161273</v>
      </c>
      <c r="C302" s="18" t="s">
        <v>383</v>
      </c>
      <c r="D302" s="19" t="s">
        <v>384</v>
      </c>
      <c r="E302" s="19" t="s">
        <v>393</v>
      </c>
      <c r="F302" s="21" t="s">
        <v>169</v>
      </c>
      <c r="G302" t="s">
        <v>357</v>
      </c>
      <c r="H302" s="21" t="s">
        <v>194</v>
      </c>
      <c r="I302" s="21" t="s">
        <v>278</v>
      </c>
      <c r="J302" s="22">
        <v>46056</v>
      </c>
      <c r="K302" s="21" t="s">
        <v>12</v>
      </c>
      <c r="L302" s="20">
        <v>41</v>
      </c>
      <c r="M302" s="21" t="s">
        <v>358</v>
      </c>
      <c r="N302" s="18">
        <v>190279</v>
      </c>
      <c r="O302" s="18"/>
      <c r="P302" s="18" t="s">
        <v>391</v>
      </c>
      <c r="Q302" s="20">
        <v>670</v>
      </c>
      <c r="R302" s="20">
        <v>41</v>
      </c>
      <c r="S302" s="20" t="s">
        <v>163</v>
      </c>
      <c r="T302" s="20">
        <v>674</v>
      </c>
      <c r="U302" s="20" t="s">
        <v>360</v>
      </c>
      <c r="V302" s="20" t="s">
        <v>361</v>
      </c>
      <c r="W302" s="18" t="s">
        <v>362</v>
      </c>
      <c r="X302" s="18">
        <v>190279</v>
      </c>
      <c r="Y302" s="20" t="s">
        <v>26</v>
      </c>
      <c r="Z302" s="20">
        <v>67</v>
      </c>
      <c r="AA302" s="18" t="s">
        <v>391</v>
      </c>
      <c r="AB302" s="18" t="s">
        <v>364</v>
      </c>
      <c r="AC302" s="20" t="s">
        <v>365</v>
      </c>
      <c r="AD302" s="18" t="s">
        <v>387</v>
      </c>
    </row>
    <row r="303" spans="1:30">
      <c r="A303" s="18">
        <v>190280</v>
      </c>
      <c r="B303" s="18">
        <v>161274</v>
      </c>
      <c r="C303" s="18" t="s">
        <v>383</v>
      </c>
      <c r="D303" s="19" t="s">
        <v>384</v>
      </c>
      <c r="E303" s="19" t="s">
        <v>394</v>
      </c>
      <c r="F303" s="21" t="s">
        <v>169</v>
      </c>
      <c r="G303" t="s">
        <v>357</v>
      </c>
      <c r="H303" s="21" t="s">
        <v>194</v>
      </c>
      <c r="I303" s="21" t="s">
        <v>278</v>
      </c>
      <c r="J303" s="22">
        <v>46056</v>
      </c>
      <c r="K303" s="21" t="s">
        <v>12</v>
      </c>
      <c r="L303" s="20">
        <v>40</v>
      </c>
      <c r="M303" s="21" t="s">
        <v>358</v>
      </c>
      <c r="N303" s="18">
        <v>190280</v>
      </c>
      <c r="O303" s="18"/>
      <c r="P303" s="18" t="s">
        <v>387</v>
      </c>
      <c r="Q303" s="20">
        <v>670</v>
      </c>
      <c r="R303" s="20">
        <v>40</v>
      </c>
      <c r="S303" s="20" t="s">
        <v>163</v>
      </c>
      <c r="T303" s="20">
        <v>674</v>
      </c>
      <c r="U303" s="20" t="s">
        <v>360</v>
      </c>
      <c r="V303" s="20" t="s">
        <v>361</v>
      </c>
      <c r="W303" s="18" t="s">
        <v>362</v>
      </c>
      <c r="X303" s="18">
        <v>190280</v>
      </c>
      <c r="Y303" s="20" t="s">
        <v>21</v>
      </c>
      <c r="Z303" s="20">
        <v>67</v>
      </c>
      <c r="AA303" s="18" t="s">
        <v>387</v>
      </c>
      <c r="AB303" s="18" t="s">
        <v>364</v>
      </c>
      <c r="AC303" s="20" t="s">
        <v>365</v>
      </c>
      <c r="AD303" s="18" t="s">
        <v>387</v>
      </c>
    </row>
    <row r="304" spans="1:30">
      <c r="A304" s="18">
        <v>190281</v>
      </c>
      <c r="B304" s="18">
        <v>161276</v>
      </c>
      <c r="C304" s="18" t="s">
        <v>383</v>
      </c>
      <c r="D304" s="19" t="s">
        <v>384</v>
      </c>
      <c r="E304" s="19" t="s">
        <v>395</v>
      </c>
      <c r="F304" s="21" t="s">
        <v>169</v>
      </c>
      <c r="G304" t="s">
        <v>357</v>
      </c>
      <c r="H304" s="21" t="s">
        <v>194</v>
      </c>
      <c r="I304" s="21" t="s">
        <v>278</v>
      </c>
      <c r="J304" s="22">
        <v>46056</v>
      </c>
      <c r="K304" s="21" t="s">
        <v>12</v>
      </c>
      <c r="L304" s="20">
        <v>31</v>
      </c>
      <c r="M304" s="21" t="s">
        <v>358</v>
      </c>
      <c r="N304" s="18">
        <v>190281</v>
      </c>
      <c r="O304" s="18"/>
      <c r="P304" s="18" t="s">
        <v>396</v>
      </c>
      <c r="Q304" s="20">
        <v>670</v>
      </c>
      <c r="R304" s="20">
        <v>31</v>
      </c>
      <c r="S304" s="20" t="s">
        <v>163</v>
      </c>
      <c r="T304" s="20">
        <v>674</v>
      </c>
      <c r="U304" s="20" t="s">
        <v>360</v>
      </c>
      <c r="V304" s="20" t="s">
        <v>361</v>
      </c>
      <c r="W304" s="18" t="s">
        <v>362</v>
      </c>
      <c r="X304" s="18">
        <v>190281</v>
      </c>
      <c r="Y304" s="20" t="s">
        <v>21</v>
      </c>
      <c r="Z304" s="20">
        <v>67</v>
      </c>
      <c r="AA304" s="18" t="s">
        <v>396</v>
      </c>
      <c r="AB304" s="18" t="s">
        <v>364</v>
      </c>
      <c r="AC304" s="20" t="s">
        <v>365</v>
      </c>
      <c r="AD304" s="18" t="s">
        <v>387</v>
      </c>
    </row>
    <row r="305" spans="1:30">
      <c r="A305" s="18">
        <v>190282</v>
      </c>
      <c r="B305" s="18">
        <v>161277</v>
      </c>
      <c r="C305" s="18" t="s">
        <v>383</v>
      </c>
      <c r="D305" s="19" t="s">
        <v>384</v>
      </c>
      <c r="E305" s="19" t="s">
        <v>397</v>
      </c>
      <c r="F305" s="21" t="s">
        <v>169</v>
      </c>
      <c r="G305" t="s">
        <v>357</v>
      </c>
      <c r="H305" s="21" t="s">
        <v>194</v>
      </c>
      <c r="I305" s="21" t="s">
        <v>278</v>
      </c>
      <c r="J305" s="22">
        <v>46056</v>
      </c>
      <c r="K305" s="21" t="s">
        <v>12</v>
      </c>
      <c r="L305" s="20">
        <v>21</v>
      </c>
      <c r="M305" s="21" t="s">
        <v>358</v>
      </c>
      <c r="N305" s="18">
        <v>190282</v>
      </c>
      <c r="O305" s="18"/>
      <c r="P305" s="18" t="s">
        <v>398</v>
      </c>
      <c r="Q305" s="20">
        <v>670</v>
      </c>
      <c r="R305" s="20">
        <v>21</v>
      </c>
      <c r="S305" s="20" t="s">
        <v>163</v>
      </c>
      <c r="T305" s="20">
        <v>674</v>
      </c>
      <c r="U305" s="20" t="s">
        <v>360</v>
      </c>
      <c r="V305" s="20" t="s">
        <v>361</v>
      </c>
      <c r="W305" s="18" t="s">
        <v>362</v>
      </c>
      <c r="X305" s="18">
        <v>190282</v>
      </c>
      <c r="Y305" s="20" t="s">
        <v>27</v>
      </c>
      <c r="Z305" s="20">
        <v>67</v>
      </c>
      <c r="AA305" s="18" t="s">
        <v>398</v>
      </c>
      <c r="AB305" s="18" t="s">
        <v>364</v>
      </c>
      <c r="AC305" s="20" t="s">
        <v>365</v>
      </c>
      <c r="AD305" s="18" t="s">
        <v>387</v>
      </c>
    </row>
    <row r="306" spans="1:30">
      <c r="A306" s="18">
        <v>190283</v>
      </c>
      <c r="B306" s="18">
        <v>161278</v>
      </c>
      <c r="C306" s="18" t="s">
        <v>383</v>
      </c>
      <c r="D306" s="19" t="s">
        <v>384</v>
      </c>
      <c r="E306" s="19" t="s">
        <v>399</v>
      </c>
      <c r="F306" s="21" t="s">
        <v>169</v>
      </c>
      <c r="G306" t="s">
        <v>357</v>
      </c>
      <c r="H306" s="21" t="s">
        <v>194</v>
      </c>
      <c r="I306" s="21" t="s">
        <v>278</v>
      </c>
      <c r="J306" s="22">
        <v>46056</v>
      </c>
      <c r="K306" s="21" t="s">
        <v>12</v>
      </c>
      <c r="L306" s="20">
        <v>41</v>
      </c>
      <c r="M306" s="21" t="s">
        <v>358</v>
      </c>
      <c r="N306" s="18">
        <v>190283</v>
      </c>
      <c r="O306" s="18"/>
      <c r="P306" s="18" t="s">
        <v>398</v>
      </c>
      <c r="Q306" s="20">
        <v>670</v>
      </c>
      <c r="R306" s="20">
        <v>41</v>
      </c>
      <c r="S306" s="20" t="s">
        <v>163</v>
      </c>
      <c r="T306" s="20">
        <v>674</v>
      </c>
      <c r="U306" s="20" t="s">
        <v>360</v>
      </c>
      <c r="V306" s="20" t="s">
        <v>361</v>
      </c>
      <c r="W306" s="18" t="s">
        <v>362</v>
      </c>
      <c r="X306" s="18">
        <v>190283</v>
      </c>
      <c r="Y306" s="20" t="s">
        <v>21</v>
      </c>
      <c r="Z306" s="20">
        <v>67</v>
      </c>
      <c r="AA306" s="18" t="s">
        <v>398</v>
      </c>
      <c r="AB306" s="18" t="s">
        <v>364</v>
      </c>
      <c r="AC306" s="20" t="s">
        <v>365</v>
      </c>
      <c r="AD306" s="18" t="s">
        <v>387</v>
      </c>
    </row>
    <row r="307" spans="1:30">
      <c r="A307" s="18">
        <v>190487</v>
      </c>
      <c r="B307" s="18">
        <v>161301</v>
      </c>
      <c r="C307" s="18" t="s">
        <v>137</v>
      </c>
      <c r="D307" s="19" t="s">
        <v>400</v>
      </c>
      <c r="E307" s="19" t="s">
        <v>401</v>
      </c>
      <c r="F307" s="21" t="s">
        <v>169</v>
      </c>
      <c r="G307" t="s">
        <v>357</v>
      </c>
      <c r="H307" s="21" t="s">
        <v>228</v>
      </c>
      <c r="I307" s="21" t="s">
        <v>238</v>
      </c>
      <c r="J307" s="22">
        <v>46045</v>
      </c>
      <c r="K307" s="21" t="s">
        <v>15</v>
      </c>
      <c r="L307" s="20">
        <v>38</v>
      </c>
      <c r="M307" s="21" t="s">
        <v>358</v>
      </c>
      <c r="N307" s="18">
        <v>190487</v>
      </c>
      <c r="O307" s="18"/>
      <c r="P307" s="18" t="s">
        <v>402</v>
      </c>
      <c r="Q307" s="20">
        <v>670</v>
      </c>
      <c r="R307" s="20">
        <v>38</v>
      </c>
      <c r="S307" s="20" t="s">
        <v>163</v>
      </c>
      <c r="T307" s="20">
        <v>674</v>
      </c>
      <c r="U307" s="20" t="s">
        <v>360</v>
      </c>
      <c r="V307" s="20" t="s">
        <v>361</v>
      </c>
      <c r="W307" s="18" t="s">
        <v>362</v>
      </c>
      <c r="X307" s="18">
        <v>190487</v>
      </c>
      <c r="Y307" s="20" t="s">
        <v>403</v>
      </c>
      <c r="Z307" s="20">
        <v>67</v>
      </c>
      <c r="AA307" s="18" t="s">
        <v>402</v>
      </c>
      <c r="AB307" s="18" t="s">
        <v>364</v>
      </c>
      <c r="AC307" s="20" t="s">
        <v>365</v>
      </c>
      <c r="AD307" s="18" t="s">
        <v>402</v>
      </c>
    </row>
    <row r="308" spans="1:30">
      <c r="A308" s="18">
        <v>190473</v>
      </c>
      <c r="B308" s="18">
        <v>161302</v>
      </c>
      <c r="C308" s="18" t="s">
        <v>404</v>
      </c>
      <c r="D308" s="19" t="s">
        <v>405</v>
      </c>
      <c r="E308" s="19" t="s">
        <v>401</v>
      </c>
      <c r="F308" s="21" t="s">
        <v>169</v>
      </c>
      <c r="G308" t="s">
        <v>357</v>
      </c>
      <c r="H308" s="21" t="s">
        <v>164</v>
      </c>
      <c r="I308" s="21" t="s">
        <v>238</v>
      </c>
      <c r="J308" s="22">
        <v>46052</v>
      </c>
      <c r="K308" s="21" t="s">
        <v>14</v>
      </c>
      <c r="L308" s="20">
        <v>42</v>
      </c>
      <c r="M308" s="21" t="s">
        <v>358</v>
      </c>
      <c r="N308" s="18">
        <v>190473</v>
      </c>
      <c r="O308" s="18"/>
      <c r="P308" s="18" t="s">
        <v>359</v>
      </c>
      <c r="Q308" s="20">
        <v>670</v>
      </c>
      <c r="R308" s="20">
        <v>42</v>
      </c>
      <c r="S308" s="20" t="s">
        <v>163</v>
      </c>
      <c r="T308" s="20">
        <v>674</v>
      </c>
      <c r="U308" s="20" t="s">
        <v>360</v>
      </c>
      <c r="V308" s="20" t="s">
        <v>361</v>
      </c>
      <c r="W308" s="18" t="s">
        <v>362</v>
      </c>
      <c r="X308" s="18">
        <v>190473</v>
      </c>
      <c r="Y308" s="20" t="s">
        <v>406</v>
      </c>
      <c r="Z308" s="20">
        <v>67</v>
      </c>
      <c r="AA308" s="18" t="s">
        <v>359</v>
      </c>
      <c r="AB308" s="18" t="s">
        <v>364</v>
      </c>
      <c r="AC308" s="20" t="s">
        <v>365</v>
      </c>
      <c r="AD308" s="18" t="s">
        <v>359</v>
      </c>
    </row>
    <row r="309" spans="1:30">
      <c r="A309" s="18">
        <v>190423</v>
      </c>
      <c r="B309" s="18">
        <v>161303</v>
      </c>
      <c r="C309" s="18" t="s">
        <v>118</v>
      </c>
      <c r="D309" s="19" t="s">
        <v>407</v>
      </c>
      <c r="E309" s="19" t="s">
        <v>401</v>
      </c>
      <c r="F309" s="21" t="s">
        <v>193</v>
      </c>
      <c r="G309" t="s">
        <v>357</v>
      </c>
      <c r="H309" s="21" t="s">
        <v>228</v>
      </c>
      <c r="I309" s="21" t="s">
        <v>278</v>
      </c>
      <c r="J309" s="22">
        <v>46042</v>
      </c>
      <c r="K309" s="21" t="s">
        <v>15</v>
      </c>
      <c r="L309" s="20">
        <v>45</v>
      </c>
      <c r="M309" s="21" t="s">
        <v>358</v>
      </c>
      <c r="N309" s="18">
        <v>190423</v>
      </c>
      <c r="O309" s="18"/>
      <c r="P309" s="18" t="s">
        <v>408</v>
      </c>
      <c r="Q309" s="20">
        <v>670</v>
      </c>
      <c r="R309" s="20">
        <v>45</v>
      </c>
      <c r="S309" s="20" t="s">
        <v>163</v>
      </c>
      <c r="T309" s="20">
        <v>674</v>
      </c>
      <c r="U309" s="20" t="s">
        <v>360</v>
      </c>
      <c r="V309" s="20" t="s">
        <v>361</v>
      </c>
      <c r="W309" s="18" t="s">
        <v>362</v>
      </c>
      <c r="X309" s="18">
        <v>190423</v>
      </c>
      <c r="Y309" s="20" t="s">
        <v>406</v>
      </c>
      <c r="Z309" s="20">
        <v>67</v>
      </c>
      <c r="AA309" s="18" t="s">
        <v>408</v>
      </c>
      <c r="AB309" s="18" t="s">
        <v>364</v>
      </c>
      <c r="AC309" s="20" t="s">
        <v>365</v>
      </c>
      <c r="AD309" s="18" t="s">
        <v>409</v>
      </c>
    </row>
    <row r="310" spans="1:30">
      <c r="A310" s="18">
        <v>190424</v>
      </c>
      <c r="B310" s="18">
        <v>161303</v>
      </c>
      <c r="C310" s="18" t="s">
        <v>118</v>
      </c>
      <c r="D310" s="19" t="s">
        <v>407</v>
      </c>
      <c r="E310" s="19" t="s">
        <v>401</v>
      </c>
      <c r="F310" s="21" t="s">
        <v>196</v>
      </c>
      <c r="G310" t="s">
        <v>357</v>
      </c>
      <c r="H310" s="21" t="s">
        <v>228</v>
      </c>
      <c r="I310" s="21" t="s">
        <v>278</v>
      </c>
      <c r="J310" s="22">
        <v>46042</v>
      </c>
      <c r="K310" s="21" t="s">
        <v>15</v>
      </c>
      <c r="L310" s="20">
        <v>44</v>
      </c>
      <c r="M310" s="21" t="s">
        <v>358</v>
      </c>
      <c r="N310" s="18">
        <v>190424</v>
      </c>
      <c r="O310" s="18"/>
      <c r="P310" s="18" t="s">
        <v>408</v>
      </c>
      <c r="Q310" s="20">
        <v>670</v>
      </c>
      <c r="R310" s="20">
        <v>44</v>
      </c>
      <c r="S310" s="20" t="s">
        <v>163</v>
      </c>
      <c r="T310" s="20">
        <v>674</v>
      </c>
      <c r="U310" s="20" t="s">
        <v>360</v>
      </c>
      <c r="V310" s="20" t="s">
        <v>361</v>
      </c>
      <c r="W310" s="18" t="s">
        <v>362</v>
      </c>
      <c r="X310" s="18">
        <v>190424</v>
      </c>
      <c r="Y310" s="20" t="s">
        <v>406</v>
      </c>
      <c r="Z310" s="20">
        <v>67</v>
      </c>
      <c r="AA310" s="18" t="s">
        <v>408</v>
      </c>
      <c r="AB310" s="18" t="s">
        <v>364</v>
      </c>
      <c r="AC310" s="20" t="s">
        <v>365</v>
      </c>
      <c r="AD310" s="18" t="s">
        <v>409</v>
      </c>
    </row>
    <row r="311" spans="1:30">
      <c r="A311" s="18">
        <v>190506</v>
      </c>
      <c r="B311" s="18">
        <v>161304</v>
      </c>
      <c r="C311" s="18" t="s">
        <v>333</v>
      </c>
      <c r="D311" s="19" t="s">
        <v>334</v>
      </c>
      <c r="E311" s="19" t="s">
        <v>401</v>
      </c>
      <c r="F311" s="21" t="s">
        <v>196</v>
      </c>
      <c r="G311" t="s">
        <v>357</v>
      </c>
      <c r="H311" s="21" t="s">
        <v>194</v>
      </c>
      <c r="I311" s="21" t="s">
        <v>165</v>
      </c>
      <c r="J311" s="22">
        <v>46055</v>
      </c>
      <c r="K311" s="21" t="s">
        <v>15</v>
      </c>
      <c r="L311" s="20">
        <v>51</v>
      </c>
      <c r="M311" s="21" t="s">
        <v>358</v>
      </c>
      <c r="N311" s="18">
        <v>190506</v>
      </c>
      <c r="O311" s="18"/>
      <c r="P311" s="18" t="s">
        <v>410</v>
      </c>
      <c r="Q311" s="20">
        <v>670</v>
      </c>
      <c r="R311" s="20">
        <v>51</v>
      </c>
      <c r="S311" s="20" t="s">
        <v>163</v>
      </c>
      <c r="T311" s="20">
        <v>674</v>
      </c>
      <c r="U311" s="20" t="s">
        <v>360</v>
      </c>
      <c r="V311" s="20" t="s">
        <v>361</v>
      </c>
      <c r="W311" s="18" t="s">
        <v>362</v>
      </c>
      <c r="X311" s="18">
        <v>190506</v>
      </c>
      <c r="Y311" s="20" t="s">
        <v>363</v>
      </c>
      <c r="Z311" s="20">
        <v>67</v>
      </c>
      <c r="AA311" s="18" t="s">
        <v>410</v>
      </c>
      <c r="AB311" s="18" t="s">
        <v>364</v>
      </c>
      <c r="AC311" s="20" t="s">
        <v>365</v>
      </c>
      <c r="AD311" s="18" t="s">
        <v>37</v>
      </c>
    </row>
    <row r="312" spans="1:30">
      <c r="A312" s="18">
        <v>190505</v>
      </c>
      <c r="B312" s="18">
        <v>161304</v>
      </c>
      <c r="C312" s="18" t="s">
        <v>333</v>
      </c>
      <c r="D312" s="19" t="s">
        <v>334</v>
      </c>
      <c r="E312" s="19" t="s">
        <v>401</v>
      </c>
      <c r="F312" s="21" t="s">
        <v>193</v>
      </c>
      <c r="G312" t="s">
        <v>357</v>
      </c>
      <c r="H312" s="21" t="s">
        <v>194</v>
      </c>
      <c r="I312" s="21" t="s">
        <v>165</v>
      </c>
      <c r="J312" s="22">
        <v>46055</v>
      </c>
      <c r="K312" s="21" t="s">
        <v>15</v>
      </c>
      <c r="L312" s="20">
        <v>51</v>
      </c>
      <c r="M312" s="21" t="s">
        <v>358</v>
      </c>
      <c r="N312" s="18">
        <v>190505</v>
      </c>
      <c r="O312" s="18"/>
      <c r="P312" s="18" t="s">
        <v>410</v>
      </c>
      <c r="Q312" s="20">
        <v>670</v>
      </c>
      <c r="R312" s="20">
        <v>51</v>
      </c>
      <c r="S312" s="20" t="s">
        <v>163</v>
      </c>
      <c r="T312" s="20">
        <v>674</v>
      </c>
      <c r="U312" s="20" t="s">
        <v>360</v>
      </c>
      <c r="V312" s="20" t="s">
        <v>361</v>
      </c>
      <c r="W312" s="18" t="s">
        <v>362</v>
      </c>
      <c r="X312" s="18">
        <v>190505</v>
      </c>
      <c r="Y312" s="20" t="s">
        <v>363</v>
      </c>
      <c r="Z312" s="20">
        <v>67</v>
      </c>
      <c r="AA312" s="18" t="s">
        <v>410</v>
      </c>
      <c r="AB312" s="18" t="s">
        <v>364</v>
      </c>
      <c r="AC312" s="20" t="s">
        <v>365</v>
      </c>
      <c r="AD312" s="18" t="s">
        <v>37</v>
      </c>
    </row>
    <row r="313" spans="1:30">
      <c r="A313" s="18">
        <v>190375</v>
      </c>
      <c r="B313" s="18">
        <v>161306</v>
      </c>
      <c r="C313" s="18" t="s">
        <v>284</v>
      </c>
      <c r="D313" s="19" t="s">
        <v>285</v>
      </c>
      <c r="E313" s="19" t="s">
        <v>401</v>
      </c>
      <c r="F313" s="21" t="s">
        <v>169</v>
      </c>
      <c r="G313" t="s">
        <v>357</v>
      </c>
      <c r="H313" s="21" t="s">
        <v>164</v>
      </c>
      <c r="I313" s="21" t="s">
        <v>283</v>
      </c>
      <c r="J313" s="22">
        <v>46051</v>
      </c>
      <c r="K313" s="21" t="s">
        <v>15</v>
      </c>
      <c r="L313" s="20">
        <v>67</v>
      </c>
      <c r="M313" s="21" t="s">
        <v>358</v>
      </c>
      <c r="N313" s="18">
        <v>190375</v>
      </c>
      <c r="O313" s="18"/>
      <c r="P313" s="18" t="s">
        <v>373</v>
      </c>
      <c r="Q313" s="20">
        <v>670</v>
      </c>
      <c r="R313" s="20">
        <v>67</v>
      </c>
      <c r="S313" s="20" t="s">
        <v>163</v>
      </c>
      <c r="T313" s="20">
        <v>674</v>
      </c>
      <c r="U313" s="20" t="s">
        <v>360</v>
      </c>
      <c r="V313" s="20" t="s">
        <v>361</v>
      </c>
      <c r="W313" s="18" t="s">
        <v>362</v>
      </c>
      <c r="X313" s="18">
        <v>190375</v>
      </c>
      <c r="Y313" s="20" t="s">
        <v>403</v>
      </c>
      <c r="Z313" s="20">
        <v>67</v>
      </c>
      <c r="AA313" s="18" t="s">
        <v>373</v>
      </c>
      <c r="AB313" s="18" t="s">
        <v>364</v>
      </c>
      <c r="AC313" s="20" t="s">
        <v>365</v>
      </c>
      <c r="AD313" s="18" t="s">
        <v>373</v>
      </c>
    </row>
    <row r="314" spans="1:30">
      <c r="A314" s="18">
        <v>190338</v>
      </c>
      <c r="B314" s="18">
        <v>161310</v>
      </c>
      <c r="C314" s="18" t="s">
        <v>411</v>
      </c>
      <c r="D314" s="19" t="s">
        <v>412</v>
      </c>
      <c r="E314" s="19" t="s">
        <v>401</v>
      </c>
      <c r="F314" s="21" t="s">
        <v>196</v>
      </c>
      <c r="G314" t="s">
        <v>357</v>
      </c>
      <c r="H314" s="21" t="s">
        <v>164</v>
      </c>
      <c r="I314" s="21" t="s">
        <v>278</v>
      </c>
      <c r="J314" s="22">
        <v>46049</v>
      </c>
      <c r="K314" s="21" t="s">
        <v>15</v>
      </c>
      <c r="L314" s="20">
        <v>43</v>
      </c>
      <c r="M314" s="21" t="s">
        <v>358</v>
      </c>
      <c r="N314" s="18">
        <v>190338</v>
      </c>
      <c r="O314" s="18"/>
      <c r="P314" s="18" t="s">
        <v>413</v>
      </c>
      <c r="Q314" s="20">
        <v>670</v>
      </c>
      <c r="R314" s="20">
        <v>43</v>
      </c>
      <c r="S314" s="20" t="s">
        <v>163</v>
      </c>
      <c r="T314" s="20">
        <v>674</v>
      </c>
      <c r="U314" s="20" t="s">
        <v>360</v>
      </c>
      <c r="V314" s="20" t="s">
        <v>361</v>
      </c>
      <c r="W314" s="18" t="s">
        <v>362</v>
      </c>
      <c r="X314" s="18">
        <v>190338</v>
      </c>
      <c r="Y314" s="20" t="s">
        <v>363</v>
      </c>
      <c r="Z314" s="20">
        <v>67</v>
      </c>
      <c r="AA314" s="18" t="s">
        <v>413</v>
      </c>
      <c r="AB314" s="18" t="s">
        <v>364</v>
      </c>
      <c r="AC314" s="20" t="s">
        <v>365</v>
      </c>
      <c r="AD314" s="18" t="s">
        <v>414</v>
      </c>
    </row>
    <row r="315" spans="1:30">
      <c r="A315" s="18">
        <v>190339</v>
      </c>
      <c r="B315" s="18">
        <v>161310</v>
      </c>
      <c r="C315" s="18" t="s">
        <v>411</v>
      </c>
      <c r="D315" s="19" t="s">
        <v>412</v>
      </c>
      <c r="E315" s="19" t="s">
        <v>401</v>
      </c>
      <c r="F315" s="21" t="s">
        <v>193</v>
      </c>
      <c r="G315" t="s">
        <v>357</v>
      </c>
      <c r="H315" s="21" t="s">
        <v>164</v>
      </c>
      <c r="I315" s="21" t="s">
        <v>278</v>
      </c>
      <c r="J315" s="22">
        <v>46049</v>
      </c>
      <c r="K315" s="21" t="s">
        <v>15</v>
      </c>
      <c r="L315" s="20">
        <v>43</v>
      </c>
      <c r="M315" s="21" t="s">
        <v>358</v>
      </c>
      <c r="N315" s="18">
        <v>190339</v>
      </c>
      <c r="O315" s="18"/>
      <c r="P315" s="18" t="s">
        <v>413</v>
      </c>
      <c r="Q315" s="20">
        <v>670</v>
      </c>
      <c r="R315" s="20">
        <v>43</v>
      </c>
      <c r="S315" s="20" t="s">
        <v>163</v>
      </c>
      <c r="T315" s="20">
        <v>674</v>
      </c>
      <c r="U315" s="20" t="s">
        <v>360</v>
      </c>
      <c r="V315" s="20" t="s">
        <v>361</v>
      </c>
      <c r="W315" s="18" t="s">
        <v>362</v>
      </c>
      <c r="X315" s="18">
        <v>190339</v>
      </c>
      <c r="Y315" s="20" t="s">
        <v>363</v>
      </c>
      <c r="Z315" s="20">
        <v>67</v>
      </c>
      <c r="AA315" s="18" t="s">
        <v>413</v>
      </c>
      <c r="AB315" s="18" t="s">
        <v>364</v>
      </c>
      <c r="AC315" s="20" t="s">
        <v>365</v>
      </c>
      <c r="AD315" s="18" t="s">
        <v>414</v>
      </c>
    </row>
    <row r="316" spans="1:30">
      <c r="A316" s="18">
        <v>190360</v>
      </c>
      <c r="B316" s="18">
        <v>161311</v>
      </c>
      <c r="C316" s="18" t="s">
        <v>88</v>
      </c>
      <c r="D316" s="19" t="s">
        <v>415</v>
      </c>
      <c r="E316" s="19" t="s">
        <v>416</v>
      </c>
      <c r="F316" s="21" t="s">
        <v>193</v>
      </c>
      <c r="G316" t="s">
        <v>357</v>
      </c>
      <c r="H316" s="21" t="s">
        <v>228</v>
      </c>
      <c r="I316" s="21" t="s">
        <v>417</v>
      </c>
      <c r="J316" s="22">
        <v>46046</v>
      </c>
      <c r="K316" s="21" t="s">
        <v>14</v>
      </c>
      <c r="L316" s="20">
        <v>61</v>
      </c>
      <c r="M316" s="21" t="s">
        <v>358</v>
      </c>
      <c r="N316" s="18">
        <v>190360</v>
      </c>
      <c r="O316" s="18"/>
      <c r="P316" s="18" t="s">
        <v>418</v>
      </c>
      <c r="Q316" s="20">
        <v>670</v>
      </c>
      <c r="R316" s="20">
        <v>61</v>
      </c>
      <c r="S316" s="20" t="s">
        <v>163</v>
      </c>
      <c r="T316" s="20">
        <v>674</v>
      </c>
      <c r="U316" s="20" t="s">
        <v>360</v>
      </c>
      <c r="V316" s="20" t="s">
        <v>361</v>
      </c>
      <c r="W316" s="18" t="s">
        <v>362</v>
      </c>
      <c r="X316" s="18">
        <v>190360</v>
      </c>
      <c r="Y316" s="20" t="s">
        <v>378</v>
      </c>
      <c r="Z316" s="20">
        <v>68</v>
      </c>
      <c r="AA316" s="18" t="s">
        <v>418</v>
      </c>
      <c r="AB316" s="18" t="s">
        <v>364</v>
      </c>
      <c r="AC316" s="20" t="s">
        <v>365</v>
      </c>
      <c r="AD316" s="18" t="s">
        <v>409</v>
      </c>
    </row>
    <row r="317" spans="1:30">
      <c r="A317" s="18">
        <v>190359</v>
      </c>
      <c r="B317" s="18">
        <v>161311</v>
      </c>
      <c r="C317" s="18" t="s">
        <v>88</v>
      </c>
      <c r="D317" s="19" t="s">
        <v>415</v>
      </c>
      <c r="E317" s="19" t="s">
        <v>416</v>
      </c>
      <c r="F317" s="21" t="s">
        <v>196</v>
      </c>
      <c r="G317" t="s">
        <v>357</v>
      </c>
      <c r="H317" s="21" t="s">
        <v>228</v>
      </c>
      <c r="I317" s="21" t="s">
        <v>417</v>
      </c>
      <c r="J317" s="22">
        <v>46046</v>
      </c>
      <c r="K317" s="21" t="s">
        <v>14</v>
      </c>
      <c r="L317" s="20">
        <v>61</v>
      </c>
      <c r="M317" s="21" t="s">
        <v>358</v>
      </c>
      <c r="N317" s="18">
        <v>190359</v>
      </c>
      <c r="O317" s="18"/>
      <c r="P317" s="18" t="s">
        <v>418</v>
      </c>
      <c r="Q317" s="20">
        <v>670</v>
      </c>
      <c r="R317" s="20">
        <v>61</v>
      </c>
      <c r="S317" s="20" t="s">
        <v>163</v>
      </c>
      <c r="T317" s="20">
        <v>674</v>
      </c>
      <c r="U317" s="20" t="s">
        <v>360</v>
      </c>
      <c r="V317" s="20" t="s">
        <v>361</v>
      </c>
      <c r="W317" s="18" t="s">
        <v>362</v>
      </c>
      <c r="X317" s="18">
        <v>190359</v>
      </c>
      <c r="Y317" s="20" t="s">
        <v>378</v>
      </c>
      <c r="Z317" s="20">
        <v>68</v>
      </c>
      <c r="AA317" s="18" t="s">
        <v>418</v>
      </c>
      <c r="AB317" s="18" t="s">
        <v>364</v>
      </c>
      <c r="AC317" s="20" t="s">
        <v>365</v>
      </c>
      <c r="AD317" s="18" t="s">
        <v>409</v>
      </c>
    </row>
    <row r="318" spans="1:30">
      <c r="A318" s="18">
        <v>190362</v>
      </c>
      <c r="B318" s="18">
        <v>161312</v>
      </c>
      <c r="C318" s="18" t="s">
        <v>88</v>
      </c>
      <c r="D318" s="19" t="s">
        <v>415</v>
      </c>
      <c r="E318" s="19" t="s">
        <v>419</v>
      </c>
      <c r="F318" s="21" t="s">
        <v>193</v>
      </c>
      <c r="G318" t="s">
        <v>357</v>
      </c>
      <c r="H318" s="21" t="s">
        <v>228</v>
      </c>
      <c r="I318" s="21" t="s">
        <v>417</v>
      </c>
      <c r="J318" s="22">
        <v>46046</v>
      </c>
      <c r="K318" s="21" t="s">
        <v>14</v>
      </c>
      <c r="L318" s="20">
        <v>52</v>
      </c>
      <c r="M318" s="21" t="s">
        <v>358</v>
      </c>
      <c r="N318" s="18">
        <v>190362</v>
      </c>
      <c r="O318" s="18"/>
      <c r="P318" s="18" t="s">
        <v>420</v>
      </c>
      <c r="Q318" s="20">
        <v>670</v>
      </c>
      <c r="R318" s="20">
        <v>52</v>
      </c>
      <c r="S318" s="20" t="s">
        <v>163</v>
      </c>
      <c r="T318" s="20">
        <v>674</v>
      </c>
      <c r="U318" s="20" t="s">
        <v>360</v>
      </c>
      <c r="V318" s="20" t="s">
        <v>361</v>
      </c>
      <c r="W318" s="18" t="s">
        <v>362</v>
      </c>
      <c r="X318" s="18">
        <v>190362</v>
      </c>
      <c r="Y318" s="20" t="s">
        <v>378</v>
      </c>
      <c r="Z318" s="20">
        <v>68</v>
      </c>
      <c r="AA318" s="18" t="s">
        <v>420</v>
      </c>
      <c r="AB318" s="18" t="s">
        <v>364</v>
      </c>
      <c r="AC318" s="20" t="s">
        <v>365</v>
      </c>
      <c r="AD318" s="18" t="s">
        <v>409</v>
      </c>
    </row>
    <row r="319" spans="1:30">
      <c r="A319" s="18">
        <v>190361</v>
      </c>
      <c r="B319" s="18">
        <v>161312</v>
      </c>
      <c r="C319" s="18" t="s">
        <v>88</v>
      </c>
      <c r="D319" s="19" t="s">
        <v>415</v>
      </c>
      <c r="E319" s="19" t="s">
        <v>419</v>
      </c>
      <c r="F319" s="21" t="s">
        <v>196</v>
      </c>
      <c r="G319" t="s">
        <v>357</v>
      </c>
      <c r="H319" s="21" t="s">
        <v>228</v>
      </c>
      <c r="I319" s="21" t="s">
        <v>417</v>
      </c>
      <c r="J319" s="22">
        <v>46046</v>
      </c>
      <c r="K319" s="21" t="s">
        <v>14</v>
      </c>
      <c r="L319" s="20">
        <v>52</v>
      </c>
      <c r="M319" s="21" t="s">
        <v>358</v>
      </c>
      <c r="N319" s="18">
        <v>190361</v>
      </c>
      <c r="O319" s="18"/>
      <c r="P319" s="18" t="s">
        <v>420</v>
      </c>
      <c r="Q319" s="20">
        <v>670</v>
      </c>
      <c r="R319" s="20">
        <v>52</v>
      </c>
      <c r="S319" s="20" t="s">
        <v>163</v>
      </c>
      <c r="T319" s="20">
        <v>674</v>
      </c>
      <c r="U319" s="20" t="s">
        <v>360</v>
      </c>
      <c r="V319" s="20" t="s">
        <v>361</v>
      </c>
      <c r="W319" s="18" t="s">
        <v>362</v>
      </c>
      <c r="X319" s="18">
        <v>190361</v>
      </c>
      <c r="Y319" s="20" t="s">
        <v>378</v>
      </c>
      <c r="Z319" s="20">
        <v>68</v>
      </c>
      <c r="AA319" s="18" t="s">
        <v>420</v>
      </c>
      <c r="AB319" s="18" t="s">
        <v>364</v>
      </c>
      <c r="AC319" s="20" t="s">
        <v>365</v>
      </c>
      <c r="AD319" s="18" t="s">
        <v>409</v>
      </c>
    </row>
    <row r="320" spans="1:30">
      <c r="A320" s="18">
        <v>190334</v>
      </c>
      <c r="B320" s="18">
        <v>161313</v>
      </c>
      <c r="C320" s="18" t="s">
        <v>421</v>
      </c>
      <c r="D320" s="19" t="s">
        <v>280</v>
      </c>
      <c r="E320" s="19" t="s">
        <v>422</v>
      </c>
      <c r="F320" s="21" t="s">
        <v>196</v>
      </c>
      <c r="G320" t="s">
        <v>357</v>
      </c>
      <c r="H320" s="21" t="s">
        <v>164</v>
      </c>
      <c r="I320" s="21" t="s">
        <v>278</v>
      </c>
      <c r="J320" s="22">
        <v>46049</v>
      </c>
      <c r="K320" s="21" t="s">
        <v>15</v>
      </c>
      <c r="L320" s="20">
        <v>65</v>
      </c>
      <c r="M320" s="21" t="s">
        <v>358</v>
      </c>
      <c r="N320" s="18">
        <v>190334</v>
      </c>
      <c r="O320" s="18"/>
      <c r="P320" s="18" t="s">
        <v>414</v>
      </c>
      <c r="Q320" s="20">
        <v>670</v>
      </c>
      <c r="R320" s="20">
        <v>65</v>
      </c>
      <c r="S320" s="20" t="s">
        <v>163</v>
      </c>
      <c r="T320" s="20">
        <v>674</v>
      </c>
      <c r="U320" s="20" t="s">
        <v>360</v>
      </c>
      <c r="V320" s="20" t="s">
        <v>361</v>
      </c>
      <c r="W320" s="18" t="s">
        <v>362</v>
      </c>
      <c r="X320" s="18">
        <v>190334</v>
      </c>
      <c r="Y320" s="20" t="s">
        <v>378</v>
      </c>
      <c r="Z320" s="20">
        <v>68</v>
      </c>
      <c r="AA320" s="18" t="s">
        <v>414</v>
      </c>
      <c r="AB320" s="18" t="s">
        <v>364</v>
      </c>
      <c r="AC320" s="20" t="s">
        <v>365</v>
      </c>
      <c r="AD320" s="18" t="s">
        <v>414</v>
      </c>
    </row>
    <row r="321" spans="1:30">
      <c r="A321" s="18">
        <v>190335</v>
      </c>
      <c r="B321" s="18">
        <v>161313</v>
      </c>
      <c r="C321" s="18" t="s">
        <v>421</v>
      </c>
      <c r="D321" s="19" t="s">
        <v>280</v>
      </c>
      <c r="E321" s="19" t="s">
        <v>422</v>
      </c>
      <c r="F321" s="21" t="s">
        <v>193</v>
      </c>
      <c r="G321" t="s">
        <v>357</v>
      </c>
      <c r="H321" s="21" t="s">
        <v>164</v>
      </c>
      <c r="I321" s="21" t="s">
        <v>278</v>
      </c>
      <c r="J321" s="22">
        <v>46049</v>
      </c>
      <c r="K321" s="21" t="s">
        <v>15</v>
      </c>
      <c r="L321" s="20">
        <v>66</v>
      </c>
      <c r="M321" s="21" t="s">
        <v>358</v>
      </c>
      <c r="N321" s="18">
        <v>190335</v>
      </c>
      <c r="O321" s="18"/>
      <c r="P321" s="18" t="s">
        <v>414</v>
      </c>
      <c r="Q321" s="20">
        <v>670</v>
      </c>
      <c r="R321" s="20">
        <v>66</v>
      </c>
      <c r="S321" s="20" t="s">
        <v>163</v>
      </c>
      <c r="T321" s="20">
        <v>674</v>
      </c>
      <c r="U321" s="20" t="s">
        <v>360</v>
      </c>
      <c r="V321" s="20" t="s">
        <v>361</v>
      </c>
      <c r="W321" s="18" t="s">
        <v>362</v>
      </c>
      <c r="X321" s="18">
        <v>190335</v>
      </c>
      <c r="Y321" s="20" t="s">
        <v>378</v>
      </c>
      <c r="Z321" s="20">
        <v>68</v>
      </c>
      <c r="AA321" s="18" t="s">
        <v>414</v>
      </c>
      <c r="AB321" s="18" t="s">
        <v>364</v>
      </c>
      <c r="AC321" s="20" t="s">
        <v>365</v>
      </c>
      <c r="AD321" s="18" t="s">
        <v>414</v>
      </c>
    </row>
    <row r="322" spans="1:30">
      <c r="A322" s="18">
        <v>190337</v>
      </c>
      <c r="B322" s="18">
        <v>161314</v>
      </c>
      <c r="C322" s="18" t="s">
        <v>421</v>
      </c>
      <c r="D322" s="19" t="s">
        <v>280</v>
      </c>
      <c r="E322" s="19" t="s">
        <v>423</v>
      </c>
      <c r="F322" s="21" t="s">
        <v>196</v>
      </c>
      <c r="G322" t="s">
        <v>357</v>
      </c>
      <c r="H322" s="21" t="s">
        <v>164</v>
      </c>
      <c r="I322" s="21" t="s">
        <v>278</v>
      </c>
      <c r="J322" s="22">
        <v>46049</v>
      </c>
      <c r="K322" s="21" t="s">
        <v>15</v>
      </c>
      <c r="L322" s="20">
        <v>48</v>
      </c>
      <c r="M322" s="21" t="s">
        <v>358</v>
      </c>
      <c r="N322" s="18">
        <v>190337</v>
      </c>
      <c r="O322" s="18"/>
      <c r="P322" s="18" t="s">
        <v>413</v>
      </c>
      <c r="Q322" s="20">
        <v>670</v>
      </c>
      <c r="R322" s="20">
        <v>48</v>
      </c>
      <c r="S322" s="20" t="s">
        <v>163</v>
      </c>
      <c r="T322" s="20">
        <v>674</v>
      </c>
      <c r="U322" s="20" t="s">
        <v>360</v>
      </c>
      <c r="V322" s="20" t="s">
        <v>361</v>
      </c>
      <c r="W322" s="18" t="s">
        <v>362</v>
      </c>
      <c r="X322" s="18">
        <v>190337</v>
      </c>
      <c r="Y322" s="20" t="s">
        <v>378</v>
      </c>
      <c r="Z322" s="20">
        <v>68</v>
      </c>
      <c r="AA322" s="18" t="s">
        <v>413</v>
      </c>
      <c r="AB322" s="18" t="s">
        <v>364</v>
      </c>
      <c r="AC322" s="20" t="s">
        <v>365</v>
      </c>
      <c r="AD322" s="18" t="s">
        <v>414</v>
      </c>
    </row>
    <row r="323" spans="1:30">
      <c r="A323" s="18">
        <v>190336</v>
      </c>
      <c r="B323" s="18">
        <v>161314</v>
      </c>
      <c r="C323" s="18" t="s">
        <v>421</v>
      </c>
      <c r="D323" s="19" t="s">
        <v>280</v>
      </c>
      <c r="E323" s="19" t="s">
        <v>423</v>
      </c>
      <c r="F323" s="21" t="s">
        <v>193</v>
      </c>
      <c r="G323" t="s">
        <v>357</v>
      </c>
      <c r="H323" s="21" t="s">
        <v>164</v>
      </c>
      <c r="I323" s="21" t="s">
        <v>278</v>
      </c>
      <c r="J323" s="22">
        <v>46049</v>
      </c>
      <c r="K323" s="21" t="s">
        <v>15</v>
      </c>
      <c r="L323" s="20">
        <v>49</v>
      </c>
      <c r="M323" s="21" t="s">
        <v>358</v>
      </c>
      <c r="N323" s="18">
        <v>190336</v>
      </c>
      <c r="O323" s="18"/>
      <c r="P323" s="18" t="s">
        <v>413</v>
      </c>
      <c r="Q323" s="20">
        <v>670</v>
      </c>
      <c r="R323" s="20">
        <v>49</v>
      </c>
      <c r="S323" s="20" t="s">
        <v>163</v>
      </c>
      <c r="T323" s="20">
        <v>674</v>
      </c>
      <c r="U323" s="20" t="s">
        <v>360</v>
      </c>
      <c r="V323" s="20" t="s">
        <v>361</v>
      </c>
      <c r="W323" s="18" t="s">
        <v>362</v>
      </c>
      <c r="X323" s="18">
        <v>190336</v>
      </c>
      <c r="Y323" s="20" t="s">
        <v>378</v>
      </c>
      <c r="Z323" s="20">
        <v>68</v>
      </c>
      <c r="AA323" s="18" t="s">
        <v>413</v>
      </c>
      <c r="AB323" s="18" t="s">
        <v>364</v>
      </c>
      <c r="AC323" s="20" t="s">
        <v>365</v>
      </c>
      <c r="AD323" s="18" t="s">
        <v>414</v>
      </c>
    </row>
    <row r="324" spans="1:30">
      <c r="A324" s="18">
        <v>190119</v>
      </c>
      <c r="B324" s="18">
        <v>161315</v>
      </c>
      <c r="C324" s="18" t="s">
        <v>235</v>
      </c>
      <c r="D324" s="19" t="s">
        <v>236</v>
      </c>
      <c r="E324" s="19" t="s">
        <v>424</v>
      </c>
      <c r="F324" s="21" t="s">
        <v>193</v>
      </c>
      <c r="G324" t="s">
        <v>357</v>
      </c>
      <c r="H324" s="21" t="s">
        <v>194</v>
      </c>
      <c r="I324" s="21" t="s">
        <v>238</v>
      </c>
      <c r="J324" s="22">
        <v>46059</v>
      </c>
      <c r="K324" s="21" t="s">
        <v>371</v>
      </c>
      <c r="L324" s="20">
        <v>58</v>
      </c>
      <c r="M324" s="21" t="s">
        <v>358</v>
      </c>
      <c r="N324" s="18">
        <v>190119</v>
      </c>
      <c r="O324" s="18"/>
      <c r="P324" s="18" t="s">
        <v>387</v>
      </c>
      <c r="Q324" s="20">
        <v>670</v>
      </c>
      <c r="R324" s="20">
        <v>58</v>
      </c>
      <c r="S324" s="20" t="s">
        <v>163</v>
      </c>
      <c r="T324" s="20">
        <v>674</v>
      </c>
      <c r="U324" s="20" t="s">
        <v>360</v>
      </c>
      <c r="V324" s="20" t="s">
        <v>361</v>
      </c>
      <c r="W324" s="18" t="s">
        <v>362</v>
      </c>
      <c r="X324" s="18">
        <v>190119</v>
      </c>
      <c r="Y324" s="20" t="s">
        <v>425</v>
      </c>
      <c r="Z324" s="20">
        <v>68</v>
      </c>
      <c r="AA324" s="18" t="s">
        <v>387</v>
      </c>
      <c r="AB324" s="18" t="s">
        <v>364</v>
      </c>
      <c r="AC324" s="20" t="s">
        <v>365</v>
      </c>
      <c r="AD324" s="18" t="s">
        <v>387</v>
      </c>
    </row>
    <row r="325" spans="1:30">
      <c r="A325" s="18">
        <v>190120</v>
      </c>
      <c r="B325" s="18">
        <v>161315</v>
      </c>
      <c r="C325" s="18" t="s">
        <v>235</v>
      </c>
      <c r="D325" s="19" t="s">
        <v>236</v>
      </c>
      <c r="E325" s="19" t="s">
        <v>424</v>
      </c>
      <c r="F325" s="21" t="s">
        <v>196</v>
      </c>
      <c r="G325" t="s">
        <v>357</v>
      </c>
      <c r="H325" s="21" t="s">
        <v>194</v>
      </c>
      <c r="I325" s="21" t="s">
        <v>238</v>
      </c>
      <c r="J325" s="22">
        <v>46059</v>
      </c>
      <c r="K325" s="21" t="s">
        <v>371</v>
      </c>
      <c r="L325" s="20">
        <v>59</v>
      </c>
      <c r="M325" s="21" t="s">
        <v>358</v>
      </c>
      <c r="N325" s="18">
        <v>190120</v>
      </c>
      <c r="O325" s="18"/>
      <c r="P325" s="18" t="s">
        <v>387</v>
      </c>
      <c r="Q325" s="20">
        <v>670</v>
      </c>
      <c r="R325" s="20">
        <v>59</v>
      </c>
      <c r="S325" s="20" t="s">
        <v>163</v>
      </c>
      <c r="T325" s="20">
        <v>674</v>
      </c>
      <c r="U325" s="20" t="s">
        <v>360</v>
      </c>
      <c r="V325" s="20" t="s">
        <v>361</v>
      </c>
      <c r="W325" s="18" t="s">
        <v>362</v>
      </c>
      <c r="X325" s="18">
        <v>190120</v>
      </c>
      <c r="Y325" s="20" t="s">
        <v>425</v>
      </c>
      <c r="Z325" s="20">
        <v>68</v>
      </c>
      <c r="AA325" s="18" t="s">
        <v>387</v>
      </c>
      <c r="AB325" s="18" t="s">
        <v>364</v>
      </c>
      <c r="AC325" s="20" t="s">
        <v>365</v>
      </c>
      <c r="AD325" s="18" t="s">
        <v>387</v>
      </c>
    </row>
    <row r="326" spans="1:30">
      <c r="A326" s="18">
        <v>190122</v>
      </c>
      <c r="B326" s="18">
        <v>161316</v>
      </c>
      <c r="C326" s="18" t="s">
        <v>235</v>
      </c>
      <c r="D326" s="19" t="s">
        <v>236</v>
      </c>
      <c r="E326" s="19" t="s">
        <v>426</v>
      </c>
      <c r="F326" s="21" t="s">
        <v>193</v>
      </c>
      <c r="G326" t="s">
        <v>357</v>
      </c>
      <c r="H326" s="21" t="s">
        <v>194</v>
      </c>
      <c r="I326" s="21" t="s">
        <v>238</v>
      </c>
      <c r="J326" s="22">
        <v>46059</v>
      </c>
      <c r="K326" s="21" t="s">
        <v>371</v>
      </c>
      <c r="L326" s="20">
        <v>56</v>
      </c>
      <c r="M326" s="21" t="s">
        <v>358</v>
      </c>
      <c r="N326" s="18">
        <v>190122</v>
      </c>
      <c r="O326" s="18"/>
      <c r="P326" s="18" t="s">
        <v>427</v>
      </c>
      <c r="Q326" s="20">
        <v>670</v>
      </c>
      <c r="R326" s="20">
        <v>56</v>
      </c>
      <c r="S326" s="20" t="s">
        <v>163</v>
      </c>
      <c r="T326" s="20">
        <v>674</v>
      </c>
      <c r="U326" s="20" t="s">
        <v>360</v>
      </c>
      <c r="V326" s="20" t="s">
        <v>361</v>
      </c>
      <c r="W326" s="18" t="s">
        <v>362</v>
      </c>
      <c r="X326" s="18">
        <v>190122</v>
      </c>
      <c r="Y326" s="20" t="s">
        <v>428</v>
      </c>
      <c r="Z326" s="20">
        <v>68</v>
      </c>
      <c r="AA326" s="18" t="s">
        <v>427</v>
      </c>
      <c r="AB326" s="18" t="s">
        <v>364</v>
      </c>
      <c r="AC326" s="20" t="s">
        <v>365</v>
      </c>
      <c r="AD326" s="18" t="s">
        <v>387</v>
      </c>
    </row>
    <row r="327" spans="1:30">
      <c r="A327" s="18">
        <v>190121</v>
      </c>
      <c r="B327" s="18">
        <v>161316</v>
      </c>
      <c r="C327" s="18" t="s">
        <v>235</v>
      </c>
      <c r="D327" s="19" t="s">
        <v>236</v>
      </c>
      <c r="E327" s="19" t="s">
        <v>426</v>
      </c>
      <c r="F327" s="21" t="s">
        <v>196</v>
      </c>
      <c r="G327" t="s">
        <v>357</v>
      </c>
      <c r="H327" s="21" t="s">
        <v>194</v>
      </c>
      <c r="I327" s="21" t="s">
        <v>238</v>
      </c>
      <c r="J327" s="22">
        <v>46059</v>
      </c>
      <c r="K327" s="21" t="s">
        <v>371</v>
      </c>
      <c r="L327" s="20">
        <v>55</v>
      </c>
      <c r="M327" s="21" t="s">
        <v>358</v>
      </c>
      <c r="N327" s="18">
        <v>190121</v>
      </c>
      <c r="O327" s="18"/>
      <c r="P327" s="18" t="s">
        <v>427</v>
      </c>
      <c r="Q327" s="20">
        <v>670</v>
      </c>
      <c r="R327" s="20">
        <v>55</v>
      </c>
      <c r="S327" s="20" t="s">
        <v>163</v>
      </c>
      <c r="T327" s="20">
        <v>674</v>
      </c>
      <c r="U327" s="20" t="s">
        <v>360</v>
      </c>
      <c r="V327" s="20" t="s">
        <v>361</v>
      </c>
      <c r="W327" s="18" t="s">
        <v>362</v>
      </c>
      <c r="X327" s="18">
        <v>190121</v>
      </c>
      <c r="Y327" s="20" t="s">
        <v>428</v>
      </c>
      <c r="Z327" s="20">
        <v>68</v>
      </c>
      <c r="AA327" s="18" t="s">
        <v>427</v>
      </c>
      <c r="AB327" s="18" t="s">
        <v>364</v>
      </c>
      <c r="AC327" s="20" t="s">
        <v>365</v>
      </c>
      <c r="AD327" s="18" t="s">
        <v>387</v>
      </c>
    </row>
    <row r="328" spans="1:30">
      <c r="A328" s="18">
        <v>190124</v>
      </c>
      <c r="B328" s="18">
        <v>161317</v>
      </c>
      <c r="C328" s="18" t="s">
        <v>235</v>
      </c>
      <c r="D328" s="19" t="s">
        <v>236</v>
      </c>
      <c r="E328" s="19" t="s">
        <v>429</v>
      </c>
      <c r="F328" s="21" t="s">
        <v>196</v>
      </c>
      <c r="G328" t="s">
        <v>357</v>
      </c>
      <c r="H328" s="21" t="s">
        <v>194</v>
      </c>
      <c r="I328" s="21" t="s">
        <v>238</v>
      </c>
      <c r="J328" s="22">
        <v>46059</v>
      </c>
      <c r="K328" s="21" t="s">
        <v>371</v>
      </c>
      <c r="L328" s="20">
        <v>55</v>
      </c>
      <c r="M328" s="21" t="s">
        <v>358</v>
      </c>
      <c r="N328" s="18">
        <v>190124</v>
      </c>
      <c r="O328" s="18"/>
      <c r="P328" s="18" t="s">
        <v>430</v>
      </c>
      <c r="Q328" s="20">
        <v>670</v>
      </c>
      <c r="R328" s="20">
        <v>55</v>
      </c>
      <c r="S328" s="20" t="s">
        <v>163</v>
      </c>
      <c r="T328" s="20">
        <v>674</v>
      </c>
      <c r="U328" s="20" t="s">
        <v>360</v>
      </c>
      <c r="V328" s="20" t="s">
        <v>361</v>
      </c>
      <c r="W328" s="18" t="s">
        <v>362</v>
      </c>
      <c r="X328" s="18">
        <v>190124</v>
      </c>
      <c r="Y328" s="20" t="s">
        <v>378</v>
      </c>
      <c r="Z328" s="20">
        <v>68</v>
      </c>
      <c r="AA328" s="18" t="s">
        <v>430</v>
      </c>
      <c r="AB328" s="18" t="s">
        <v>364</v>
      </c>
      <c r="AC328" s="20" t="s">
        <v>365</v>
      </c>
      <c r="AD328" s="18" t="s">
        <v>387</v>
      </c>
    </row>
    <row r="329" spans="1:30">
      <c r="A329" s="18">
        <v>190123</v>
      </c>
      <c r="B329" s="18">
        <v>161317</v>
      </c>
      <c r="C329" s="18" t="s">
        <v>235</v>
      </c>
      <c r="D329" s="19" t="s">
        <v>236</v>
      </c>
      <c r="E329" s="19" t="s">
        <v>429</v>
      </c>
      <c r="F329" s="21" t="s">
        <v>193</v>
      </c>
      <c r="G329" t="s">
        <v>357</v>
      </c>
      <c r="H329" s="21" t="s">
        <v>194</v>
      </c>
      <c r="I329" s="21" t="s">
        <v>238</v>
      </c>
      <c r="J329" s="22">
        <v>46059</v>
      </c>
      <c r="K329" s="21" t="s">
        <v>371</v>
      </c>
      <c r="L329" s="20">
        <v>55</v>
      </c>
      <c r="M329" s="21" t="s">
        <v>358</v>
      </c>
      <c r="N329" s="18">
        <v>190123</v>
      </c>
      <c r="O329" s="18"/>
      <c r="P329" s="18" t="s">
        <v>430</v>
      </c>
      <c r="Q329" s="20">
        <v>670</v>
      </c>
      <c r="R329" s="20">
        <v>55</v>
      </c>
      <c r="S329" s="20" t="s">
        <v>163</v>
      </c>
      <c r="T329" s="20">
        <v>674</v>
      </c>
      <c r="U329" s="20" t="s">
        <v>360</v>
      </c>
      <c r="V329" s="20" t="s">
        <v>361</v>
      </c>
      <c r="W329" s="18" t="s">
        <v>362</v>
      </c>
      <c r="X329" s="18">
        <v>190123</v>
      </c>
      <c r="Y329" s="20" t="s">
        <v>378</v>
      </c>
      <c r="Z329" s="20">
        <v>68</v>
      </c>
      <c r="AA329" s="18" t="s">
        <v>430</v>
      </c>
      <c r="AB329" s="18" t="s">
        <v>364</v>
      </c>
      <c r="AC329" s="20" t="s">
        <v>365</v>
      </c>
      <c r="AD329" s="18" t="s">
        <v>387</v>
      </c>
    </row>
    <row r="330" spans="1:30">
      <c r="A330" s="18">
        <v>190136</v>
      </c>
      <c r="B330" s="18">
        <v>161318</v>
      </c>
      <c r="C330" s="18" t="s">
        <v>431</v>
      </c>
      <c r="D330" s="19" t="s">
        <v>432</v>
      </c>
      <c r="E330" s="19" t="s">
        <v>433</v>
      </c>
      <c r="F330" s="21" t="s">
        <v>196</v>
      </c>
      <c r="G330" t="s">
        <v>357</v>
      </c>
      <c r="H330" s="21" t="s">
        <v>164</v>
      </c>
      <c r="I330" s="21" t="s">
        <v>238</v>
      </c>
      <c r="J330" s="22">
        <v>46052</v>
      </c>
      <c r="K330" s="21" t="s">
        <v>434</v>
      </c>
      <c r="L330" s="20">
        <v>61</v>
      </c>
      <c r="M330" s="21" t="s">
        <v>358</v>
      </c>
      <c r="N330" s="18">
        <v>190136</v>
      </c>
      <c r="O330" s="18"/>
      <c r="P330" s="18" t="s">
        <v>435</v>
      </c>
      <c r="Q330" s="20">
        <v>670</v>
      </c>
      <c r="R330" s="20">
        <v>61</v>
      </c>
      <c r="S330" s="20" t="s">
        <v>163</v>
      </c>
      <c r="T330" s="20">
        <v>674</v>
      </c>
      <c r="U330" s="20" t="s">
        <v>360</v>
      </c>
      <c r="V330" s="20" t="s">
        <v>361</v>
      </c>
      <c r="W330" s="18" t="s">
        <v>362</v>
      </c>
      <c r="X330" s="18">
        <v>190136</v>
      </c>
      <c r="Y330" s="20" t="s">
        <v>378</v>
      </c>
      <c r="Z330" s="20">
        <v>68</v>
      </c>
      <c r="AA330" s="18" t="s">
        <v>435</v>
      </c>
      <c r="AB330" s="18" t="s">
        <v>364</v>
      </c>
      <c r="AC330" s="20" t="s">
        <v>365</v>
      </c>
      <c r="AD330" s="18" t="s">
        <v>359</v>
      </c>
    </row>
    <row r="331" spans="1:30">
      <c r="A331" s="18">
        <v>190135</v>
      </c>
      <c r="B331" s="18">
        <v>161318</v>
      </c>
      <c r="C331" s="18" t="s">
        <v>431</v>
      </c>
      <c r="D331" s="19" t="s">
        <v>432</v>
      </c>
      <c r="E331" s="19" t="s">
        <v>433</v>
      </c>
      <c r="F331" s="21" t="s">
        <v>193</v>
      </c>
      <c r="G331" t="s">
        <v>357</v>
      </c>
      <c r="H331" s="21" t="s">
        <v>164</v>
      </c>
      <c r="I331" s="21" t="s">
        <v>238</v>
      </c>
      <c r="J331" s="22">
        <v>46052</v>
      </c>
      <c r="K331" s="21" t="s">
        <v>434</v>
      </c>
      <c r="L331" s="20">
        <v>60</v>
      </c>
      <c r="M331" s="21" t="s">
        <v>358</v>
      </c>
      <c r="N331" s="18">
        <v>190135</v>
      </c>
      <c r="O331" s="18"/>
      <c r="P331" s="18" t="s">
        <v>435</v>
      </c>
      <c r="Q331" s="20">
        <v>670</v>
      </c>
      <c r="R331" s="20">
        <v>60</v>
      </c>
      <c r="S331" s="20" t="s">
        <v>163</v>
      </c>
      <c r="T331" s="20">
        <v>674</v>
      </c>
      <c r="U331" s="20" t="s">
        <v>360</v>
      </c>
      <c r="V331" s="20" t="s">
        <v>361</v>
      </c>
      <c r="W331" s="18" t="s">
        <v>362</v>
      </c>
      <c r="X331" s="18">
        <v>190135</v>
      </c>
      <c r="Y331" s="20" t="s">
        <v>378</v>
      </c>
      <c r="Z331" s="20">
        <v>68</v>
      </c>
      <c r="AA331" s="18" t="s">
        <v>435</v>
      </c>
      <c r="AB331" s="18" t="s">
        <v>364</v>
      </c>
      <c r="AC331" s="20" t="s">
        <v>365</v>
      </c>
      <c r="AD331" s="18" t="s">
        <v>359</v>
      </c>
    </row>
    <row r="332" spans="1:30">
      <c r="A332" s="18">
        <v>190138</v>
      </c>
      <c r="B332" s="18">
        <v>161319</v>
      </c>
      <c r="C332" s="18" t="s">
        <v>431</v>
      </c>
      <c r="D332" s="19" t="s">
        <v>432</v>
      </c>
      <c r="E332" s="19" t="s">
        <v>436</v>
      </c>
      <c r="F332" s="21" t="s">
        <v>193</v>
      </c>
      <c r="G332" t="s">
        <v>357</v>
      </c>
      <c r="H332" s="21" t="s">
        <v>164</v>
      </c>
      <c r="I332" s="21" t="s">
        <v>238</v>
      </c>
      <c r="J332" s="22">
        <v>46052</v>
      </c>
      <c r="K332" s="21" t="s">
        <v>434</v>
      </c>
      <c r="L332" s="20">
        <v>60</v>
      </c>
      <c r="M332" s="21" t="s">
        <v>358</v>
      </c>
      <c r="N332" s="18">
        <v>190138</v>
      </c>
      <c r="O332" s="18"/>
      <c r="P332" s="18" t="s">
        <v>359</v>
      </c>
      <c r="Q332" s="20">
        <v>670</v>
      </c>
      <c r="R332" s="20">
        <v>60</v>
      </c>
      <c r="S332" s="20" t="s">
        <v>163</v>
      </c>
      <c r="T332" s="20">
        <v>674</v>
      </c>
      <c r="U332" s="20" t="s">
        <v>360</v>
      </c>
      <c r="V332" s="20" t="s">
        <v>361</v>
      </c>
      <c r="W332" s="18" t="s">
        <v>362</v>
      </c>
      <c r="X332" s="18">
        <v>190138</v>
      </c>
      <c r="Y332" s="20" t="s">
        <v>363</v>
      </c>
      <c r="Z332" s="20">
        <v>68</v>
      </c>
      <c r="AA332" s="18" t="s">
        <v>359</v>
      </c>
      <c r="AB332" s="18" t="s">
        <v>364</v>
      </c>
      <c r="AC332" s="20" t="s">
        <v>365</v>
      </c>
      <c r="AD332" s="18" t="s">
        <v>359</v>
      </c>
    </row>
    <row r="333" spans="1:30">
      <c r="A333" s="18">
        <v>190137</v>
      </c>
      <c r="B333" s="18">
        <v>161319</v>
      </c>
      <c r="C333" s="18" t="s">
        <v>431</v>
      </c>
      <c r="D333" s="19" t="s">
        <v>432</v>
      </c>
      <c r="E333" s="19" t="s">
        <v>436</v>
      </c>
      <c r="F333" s="21" t="s">
        <v>196</v>
      </c>
      <c r="G333" t="s">
        <v>357</v>
      </c>
      <c r="H333" s="21" t="s">
        <v>164</v>
      </c>
      <c r="I333" s="21" t="s">
        <v>238</v>
      </c>
      <c r="J333" s="22">
        <v>46052</v>
      </c>
      <c r="K333" s="21" t="s">
        <v>434</v>
      </c>
      <c r="L333" s="20">
        <v>59</v>
      </c>
      <c r="M333" s="21" t="s">
        <v>358</v>
      </c>
      <c r="N333" s="18">
        <v>190137</v>
      </c>
      <c r="O333" s="18"/>
      <c r="P333" s="18" t="s">
        <v>359</v>
      </c>
      <c r="Q333" s="20">
        <v>670</v>
      </c>
      <c r="R333" s="20">
        <v>59</v>
      </c>
      <c r="S333" s="20" t="s">
        <v>163</v>
      </c>
      <c r="T333" s="20">
        <v>674</v>
      </c>
      <c r="U333" s="20" t="s">
        <v>360</v>
      </c>
      <c r="V333" s="20" t="s">
        <v>361</v>
      </c>
      <c r="W333" s="18" t="s">
        <v>362</v>
      </c>
      <c r="X333" s="18">
        <v>190137</v>
      </c>
      <c r="Y333" s="20" t="s">
        <v>363</v>
      </c>
      <c r="Z333" s="20">
        <v>68</v>
      </c>
      <c r="AA333" s="18" t="s">
        <v>359</v>
      </c>
      <c r="AB333" s="18" t="s">
        <v>364</v>
      </c>
      <c r="AC333" s="20" t="s">
        <v>365</v>
      </c>
      <c r="AD333" s="18" t="s">
        <v>359</v>
      </c>
    </row>
    <row r="334" spans="1:30">
      <c r="A334" s="18">
        <v>190140</v>
      </c>
      <c r="B334" s="18">
        <v>161320</v>
      </c>
      <c r="C334" s="18" t="s">
        <v>431</v>
      </c>
      <c r="D334" s="19" t="s">
        <v>432</v>
      </c>
      <c r="E334" s="19" t="s">
        <v>429</v>
      </c>
      <c r="F334" s="21" t="s">
        <v>193</v>
      </c>
      <c r="G334" t="s">
        <v>357</v>
      </c>
      <c r="H334" s="21" t="s">
        <v>164</v>
      </c>
      <c r="I334" s="21" t="s">
        <v>238</v>
      </c>
      <c r="J334" s="22">
        <v>46052</v>
      </c>
      <c r="K334" s="21" t="s">
        <v>434</v>
      </c>
      <c r="L334" s="20">
        <v>46</v>
      </c>
      <c r="M334" s="21" t="s">
        <v>358</v>
      </c>
      <c r="N334" s="18">
        <v>190140</v>
      </c>
      <c r="O334" s="18"/>
      <c r="P334" s="18" t="s">
        <v>410</v>
      </c>
      <c r="Q334" s="20">
        <v>670</v>
      </c>
      <c r="R334" s="20">
        <v>46</v>
      </c>
      <c r="S334" s="20" t="s">
        <v>163</v>
      </c>
      <c r="T334" s="20">
        <v>674</v>
      </c>
      <c r="U334" s="20" t="s">
        <v>360</v>
      </c>
      <c r="V334" s="20" t="s">
        <v>361</v>
      </c>
      <c r="W334" s="18" t="s">
        <v>362</v>
      </c>
      <c r="X334" s="18">
        <v>190140</v>
      </c>
      <c r="Y334" s="20" t="s">
        <v>425</v>
      </c>
      <c r="Z334" s="20">
        <v>68</v>
      </c>
      <c r="AA334" s="18" t="s">
        <v>410</v>
      </c>
      <c r="AB334" s="18" t="s">
        <v>364</v>
      </c>
      <c r="AC334" s="20" t="s">
        <v>365</v>
      </c>
      <c r="AD334" s="18" t="s">
        <v>359</v>
      </c>
    </row>
    <row r="335" spans="1:30">
      <c r="A335" s="18">
        <v>190139</v>
      </c>
      <c r="B335" s="18">
        <v>161320</v>
      </c>
      <c r="C335" s="18" t="s">
        <v>431</v>
      </c>
      <c r="D335" s="19" t="s">
        <v>432</v>
      </c>
      <c r="E335" s="19" t="s">
        <v>429</v>
      </c>
      <c r="F335" s="21" t="s">
        <v>196</v>
      </c>
      <c r="G335" t="s">
        <v>357</v>
      </c>
      <c r="H335" s="21" t="s">
        <v>164</v>
      </c>
      <c r="I335" s="21" t="s">
        <v>238</v>
      </c>
      <c r="J335" s="22">
        <v>46052</v>
      </c>
      <c r="K335" s="21" t="s">
        <v>434</v>
      </c>
      <c r="L335" s="20">
        <v>45</v>
      </c>
      <c r="M335" s="21" t="s">
        <v>358</v>
      </c>
      <c r="N335" s="18">
        <v>190139</v>
      </c>
      <c r="O335" s="18"/>
      <c r="P335" s="18" t="s">
        <v>410</v>
      </c>
      <c r="Q335" s="20">
        <v>670</v>
      </c>
      <c r="R335" s="20">
        <v>45</v>
      </c>
      <c r="S335" s="20" t="s">
        <v>163</v>
      </c>
      <c r="T335" s="20">
        <v>674</v>
      </c>
      <c r="U335" s="20" t="s">
        <v>360</v>
      </c>
      <c r="V335" s="20" t="s">
        <v>361</v>
      </c>
      <c r="W335" s="18" t="s">
        <v>362</v>
      </c>
      <c r="X335" s="18">
        <v>190139</v>
      </c>
      <c r="Y335" s="20" t="s">
        <v>425</v>
      </c>
      <c r="Z335" s="20">
        <v>68</v>
      </c>
      <c r="AA335" s="18" t="s">
        <v>410</v>
      </c>
      <c r="AB335" s="18" t="s">
        <v>364</v>
      </c>
      <c r="AC335" s="20" t="s">
        <v>365</v>
      </c>
      <c r="AD335" s="18" t="s">
        <v>359</v>
      </c>
    </row>
    <row r="336" spans="1:30">
      <c r="A336" s="18">
        <v>190205</v>
      </c>
      <c r="B336" s="18">
        <v>161321</v>
      </c>
      <c r="C336" s="18" t="s">
        <v>261</v>
      </c>
      <c r="D336" s="19" t="s">
        <v>262</v>
      </c>
      <c r="E336" s="19" t="s">
        <v>422</v>
      </c>
      <c r="F336" s="21" t="s">
        <v>196</v>
      </c>
      <c r="G336" t="s">
        <v>357</v>
      </c>
      <c r="H336" s="21" t="s">
        <v>164</v>
      </c>
      <c r="I336" s="21" t="s">
        <v>215</v>
      </c>
      <c r="J336" s="22">
        <v>46050</v>
      </c>
      <c r="K336" s="21" t="s">
        <v>15</v>
      </c>
      <c r="L336" s="20">
        <v>48</v>
      </c>
      <c r="M336" s="21" t="s">
        <v>358</v>
      </c>
      <c r="N336" s="18">
        <v>190205</v>
      </c>
      <c r="O336" s="18"/>
      <c r="P336" s="18" t="s">
        <v>437</v>
      </c>
      <c r="Q336" s="20">
        <v>670</v>
      </c>
      <c r="R336" s="20">
        <v>48</v>
      </c>
      <c r="S336" s="20" t="s">
        <v>163</v>
      </c>
      <c r="T336" s="20">
        <v>674</v>
      </c>
      <c r="U336" s="20" t="s">
        <v>360</v>
      </c>
      <c r="V336" s="20" t="s">
        <v>361</v>
      </c>
      <c r="W336" s="18" t="s">
        <v>362</v>
      </c>
      <c r="X336" s="18">
        <v>190205</v>
      </c>
      <c r="Y336" s="20" t="s">
        <v>378</v>
      </c>
      <c r="Z336" s="20">
        <v>68</v>
      </c>
      <c r="AA336" s="18" t="s">
        <v>437</v>
      </c>
      <c r="AB336" s="18" t="s">
        <v>364</v>
      </c>
      <c r="AC336" s="20" t="s">
        <v>365</v>
      </c>
      <c r="AD336" s="18" t="s">
        <v>438</v>
      </c>
    </row>
    <row r="337" spans="1:30">
      <c r="A337" s="18">
        <v>190203</v>
      </c>
      <c r="B337" s="18">
        <v>161321</v>
      </c>
      <c r="C337" s="18" t="s">
        <v>261</v>
      </c>
      <c r="D337" s="19" t="s">
        <v>262</v>
      </c>
      <c r="E337" s="19" t="s">
        <v>422</v>
      </c>
      <c r="F337" s="21" t="s">
        <v>197</v>
      </c>
      <c r="G337" t="s">
        <v>357</v>
      </c>
      <c r="H337" s="21" t="s">
        <v>164</v>
      </c>
      <c r="I337" s="21" t="s">
        <v>215</v>
      </c>
      <c r="J337" s="22">
        <v>46050</v>
      </c>
      <c r="K337" s="21" t="s">
        <v>15</v>
      </c>
      <c r="L337" s="20">
        <v>47</v>
      </c>
      <c r="M337" s="21" t="s">
        <v>358</v>
      </c>
      <c r="N337" s="18">
        <v>190203</v>
      </c>
      <c r="O337" s="18"/>
      <c r="P337" s="18" t="s">
        <v>437</v>
      </c>
      <c r="Q337" s="20">
        <v>670</v>
      </c>
      <c r="R337" s="20">
        <v>47</v>
      </c>
      <c r="S337" s="20" t="s">
        <v>163</v>
      </c>
      <c r="T337" s="20">
        <v>674</v>
      </c>
      <c r="U337" s="20" t="s">
        <v>360</v>
      </c>
      <c r="V337" s="20" t="s">
        <v>361</v>
      </c>
      <c r="W337" s="18" t="s">
        <v>362</v>
      </c>
      <c r="X337" s="18">
        <v>190203</v>
      </c>
      <c r="Y337" s="20" t="s">
        <v>378</v>
      </c>
      <c r="Z337" s="20">
        <v>68</v>
      </c>
      <c r="AA337" s="18" t="s">
        <v>437</v>
      </c>
      <c r="AB337" s="18" t="s">
        <v>364</v>
      </c>
      <c r="AC337" s="20" t="s">
        <v>365</v>
      </c>
      <c r="AD337" s="18" t="s">
        <v>438</v>
      </c>
    </row>
    <row r="338" spans="1:30">
      <c r="A338" s="18">
        <v>190204</v>
      </c>
      <c r="B338" s="18">
        <v>161321</v>
      </c>
      <c r="C338" s="18" t="s">
        <v>261</v>
      </c>
      <c r="D338" s="19" t="s">
        <v>262</v>
      </c>
      <c r="E338" s="19" t="s">
        <v>422</v>
      </c>
      <c r="F338" s="21" t="s">
        <v>193</v>
      </c>
      <c r="G338" t="s">
        <v>357</v>
      </c>
      <c r="H338" s="21" t="s">
        <v>164</v>
      </c>
      <c r="I338" s="21" t="s">
        <v>215</v>
      </c>
      <c r="J338" s="22">
        <v>46050</v>
      </c>
      <c r="K338" s="21" t="s">
        <v>15</v>
      </c>
      <c r="L338" s="20">
        <v>48</v>
      </c>
      <c r="M338" s="21" t="s">
        <v>358</v>
      </c>
      <c r="N338" s="18">
        <v>190204</v>
      </c>
      <c r="O338" s="18"/>
      <c r="P338" s="18" t="s">
        <v>437</v>
      </c>
      <c r="Q338" s="20">
        <v>670</v>
      </c>
      <c r="R338" s="20">
        <v>48</v>
      </c>
      <c r="S338" s="20" t="s">
        <v>163</v>
      </c>
      <c r="T338" s="20">
        <v>674</v>
      </c>
      <c r="U338" s="20" t="s">
        <v>360</v>
      </c>
      <c r="V338" s="20" t="s">
        <v>361</v>
      </c>
      <c r="W338" s="18" t="s">
        <v>362</v>
      </c>
      <c r="X338" s="18">
        <v>190204</v>
      </c>
      <c r="Y338" s="20" t="s">
        <v>378</v>
      </c>
      <c r="Z338" s="20">
        <v>68</v>
      </c>
      <c r="AA338" s="18" t="s">
        <v>437</v>
      </c>
      <c r="AB338" s="18" t="s">
        <v>364</v>
      </c>
      <c r="AC338" s="20" t="s">
        <v>365</v>
      </c>
      <c r="AD338" s="18" t="s">
        <v>438</v>
      </c>
    </row>
    <row r="339" spans="1:30">
      <c r="A339" s="18">
        <v>190208</v>
      </c>
      <c r="B339" s="18">
        <v>161322</v>
      </c>
      <c r="C339" s="18" t="s">
        <v>261</v>
      </c>
      <c r="D339" s="19" t="s">
        <v>262</v>
      </c>
      <c r="E339" s="19" t="s">
        <v>426</v>
      </c>
      <c r="F339" s="21" t="s">
        <v>193</v>
      </c>
      <c r="G339" t="s">
        <v>357</v>
      </c>
      <c r="H339" s="21" t="s">
        <v>164</v>
      </c>
      <c r="I339" s="21" t="s">
        <v>215</v>
      </c>
      <c r="J339" s="22">
        <v>46050</v>
      </c>
      <c r="K339" s="21" t="s">
        <v>15</v>
      </c>
      <c r="L339" s="20">
        <v>48</v>
      </c>
      <c r="M339" s="21" t="s">
        <v>358</v>
      </c>
      <c r="N339" s="18">
        <v>190208</v>
      </c>
      <c r="O339" s="18"/>
      <c r="P339" s="18" t="s">
        <v>396</v>
      </c>
      <c r="Q339" s="20">
        <v>670</v>
      </c>
      <c r="R339" s="20">
        <v>48</v>
      </c>
      <c r="S339" s="20" t="s">
        <v>163</v>
      </c>
      <c r="T339" s="20">
        <v>674</v>
      </c>
      <c r="U339" s="20" t="s">
        <v>360</v>
      </c>
      <c r="V339" s="20" t="s">
        <v>361</v>
      </c>
      <c r="W339" s="18" t="s">
        <v>362</v>
      </c>
      <c r="X339" s="18">
        <v>190208</v>
      </c>
      <c r="Y339" s="20" t="s">
        <v>363</v>
      </c>
      <c r="Z339" s="20">
        <v>68</v>
      </c>
      <c r="AA339" s="18" t="s">
        <v>396</v>
      </c>
      <c r="AB339" s="18" t="s">
        <v>364</v>
      </c>
      <c r="AC339" s="20" t="s">
        <v>365</v>
      </c>
      <c r="AD339" s="18" t="s">
        <v>438</v>
      </c>
    </row>
    <row r="340" spans="1:30">
      <c r="A340" s="18">
        <v>190207</v>
      </c>
      <c r="B340" s="18">
        <v>161322</v>
      </c>
      <c r="C340" s="18" t="s">
        <v>261</v>
      </c>
      <c r="D340" s="19" t="s">
        <v>262</v>
      </c>
      <c r="E340" s="19" t="s">
        <v>426</v>
      </c>
      <c r="F340" s="21" t="s">
        <v>196</v>
      </c>
      <c r="G340" t="s">
        <v>357</v>
      </c>
      <c r="H340" s="21" t="s">
        <v>164</v>
      </c>
      <c r="I340" s="21" t="s">
        <v>215</v>
      </c>
      <c r="J340" s="22">
        <v>46050</v>
      </c>
      <c r="K340" s="21" t="s">
        <v>15</v>
      </c>
      <c r="L340" s="20">
        <v>47</v>
      </c>
      <c r="M340" s="21" t="s">
        <v>358</v>
      </c>
      <c r="N340" s="18">
        <v>190207</v>
      </c>
      <c r="O340" s="18"/>
      <c r="P340" s="18" t="s">
        <v>396</v>
      </c>
      <c r="Q340" s="20">
        <v>670</v>
      </c>
      <c r="R340" s="20">
        <v>47</v>
      </c>
      <c r="S340" s="20" t="s">
        <v>163</v>
      </c>
      <c r="T340" s="20">
        <v>674</v>
      </c>
      <c r="U340" s="20" t="s">
        <v>360</v>
      </c>
      <c r="V340" s="20" t="s">
        <v>361</v>
      </c>
      <c r="W340" s="18" t="s">
        <v>362</v>
      </c>
      <c r="X340" s="18">
        <v>190207</v>
      </c>
      <c r="Y340" s="20" t="s">
        <v>363</v>
      </c>
      <c r="Z340" s="20">
        <v>68</v>
      </c>
      <c r="AA340" s="18" t="s">
        <v>396</v>
      </c>
      <c r="AB340" s="18" t="s">
        <v>364</v>
      </c>
      <c r="AC340" s="20" t="s">
        <v>365</v>
      </c>
      <c r="AD340" s="18" t="s">
        <v>438</v>
      </c>
    </row>
    <row r="341" spans="1:30">
      <c r="A341" s="18">
        <v>190206</v>
      </c>
      <c r="B341" s="18">
        <v>161322</v>
      </c>
      <c r="C341" s="18" t="s">
        <v>261</v>
      </c>
      <c r="D341" s="19" t="s">
        <v>262</v>
      </c>
      <c r="E341" s="19" t="s">
        <v>426</v>
      </c>
      <c r="F341" s="21" t="s">
        <v>197</v>
      </c>
      <c r="G341" t="s">
        <v>357</v>
      </c>
      <c r="H341" s="21" t="s">
        <v>164</v>
      </c>
      <c r="I341" s="21" t="s">
        <v>215</v>
      </c>
      <c r="J341" s="22">
        <v>46050</v>
      </c>
      <c r="K341" s="21" t="s">
        <v>15</v>
      </c>
      <c r="L341" s="20">
        <v>47</v>
      </c>
      <c r="M341" s="21" t="s">
        <v>358</v>
      </c>
      <c r="N341" s="18">
        <v>190206</v>
      </c>
      <c r="O341" s="18"/>
      <c r="P341" s="18" t="s">
        <v>396</v>
      </c>
      <c r="Q341" s="20">
        <v>670</v>
      </c>
      <c r="R341" s="20">
        <v>47</v>
      </c>
      <c r="S341" s="20" t="s">
        <v>163</v>
      </c>
      <c r="T341" s="20">
        <v>674</v>
      </c>
      <c r="U341" s="20" t="s">
        <v>360</v>
      </c>
      <c r="V341" s="20" t="s">
        <v>361</v>
      </c>
      <c r="W341" s="18" t="s">
        <v>362</v>
      </c>
      <c r="X341" s="18">
        <v>190206</v>
      </c>
      <c r="Y341" s="20" t="s">
        <v>363</v>
      </c>
      <c r="Z341" s="20">
        <v>68</v>
      </c>
      <c r="AA341" s="18" t="s">
        <v>396</v>
      </c>
      <c r="AB341" s="18" t="s">
        <v>364</v>
      </c>
      <c r="AC341" s="20" t="s">
        <v>365</v>
      </c>
      <c r="AD341" s="18" t="s">
        <v>438</v>
      </c>
    </row>
    <row r="342" spans="1:30">
      <c r="A342" s="18">
        <v>190445</v>
      </c>
      <c r="B342" s="18">
        <v>161324</v>
      </c>
      <c r="C342" s="18" t="s">
        <v>309</v>
      </c>
      <c r="D342" s="19" t="s">
        <v>310</v>
      </c>
      <c r="E342" s="19" t="s">
        <v>439</v>
      </c>
      <c r="F342" s="21" t="s">
        <v>196</v>
      </c>
      <c r="G342" t="s">
        <v>357</v>
      </c>
      <c r="H342" s="21" t="s">
        <v>194</v>
      </c>
      <c r="I342" s="21" t="s">
        <v>283</v>
      </c>
      <c r="J342" s="22">
        <v>46058</v>
      </c>
      <c r="K342" s="21" t="s">
        <v>440</v>
      </c>
      <c r="L342" s="20">
        <v>60</v>
      </c>
      <c r="M342" s="21" t="s">
        <v>358</v>
      </c>
      <c r="N342" s="18">
        <v>190445</v>
      </c>
      <c r="O342" s="18"/>
      <c r="P342" s="18" t="s">
        <v>441</v>
      </c>
      <c r="Q342" s="20">
        <v>670</v>
      </c>
      <c r="R342" s="20">
        <v>60</v>
      </c>
      <c r="S342" s="20" t="s">
        <v>163</v>
      </c>
      <c r="T342" s="20">
        <v>674</v>
      </c>
      <c r="U342" s="20" t="s">
        <v>360</v>
      </c>
      <c r="V342" s="20" t="s">
        <v>361</v>
      </c>
      <c r="W342" s="18" t="s">
        <v>362</v>
      </c>
      <c r="X342" s="18">
        <v>190445</v>
      </c>
      <c r="Y342" s="20" t="s">
        <v>442</v>
      </c>
      <c r="Z342" s="20">
        <v>68</v>
      </c>
      <c r="AA342" s="18" t="s">
        <v>441</v>
      </c>
      <c r="AB342" s="18" t="s">
        <v>364</v>
      </c>
      <c r="AC342" s="20" t="s">
        <v>365</v>
      </c>
      <c r="AD342" s="18" t="s">
        <v>441</v>
      </c>
    </row>
    <row r="343" spans="1:30">
      <c r="A343" s="18">
        <v>190446</v>
      </c>
      <c r="B343" s="18">
        <v>161324</v>
      </c>
      <c r="C343" s="18" t="s">
        <v>309</v>
      </c>
      <c r="D343" s="19" t="s">
        <v>310</v>
      </c>
      <c r="E343" s="19" t="s">
        <v>439</v>
      </c>
      <c r="F343" s="21" t="s">
        <v>193</v>
      </c>
      <c r="G343" t="s">
        <v>357</v>
      </c>
      <c r="H343" s="21" t="s">
        <v>194</v>
      </c>
      <c r="I343" s="21" t="s">
        <v>283</v>
      </c>
      <c r="J343" s="22">
        <v>46058</v>
      </c>
      <c r="K343" s="21" t="s">
        <v>440</v>
      </c>
      <c r="L343" s="20">
        <v>60</v>
      </c>
      <c r="M343" s="21" t="s">
        <v>358</v>
      </c>
      <c r="N343" s="18">
        <v>190446</v>
      </c>
      <c r="O343" s="18"/>
      <c r="P343" s="18" t="s">
        <v>441</v>
      </c>
      <c r="Q343" s="20">
        <v>670</v>
      </c>
      <c r="R343" s="20">
        <v>60</v>
      </c>
      <c r="S343" s="20" t="s">
        <v>163</v>
      </c>
      <c r="T343" s="20">
        <v>674</v>
      </c>
      <c r="U343" s="20" t="s">
        <v>360</v>
      </c>
      <c r="V343" s="20" t="s">
        <v>361</v>
      </c>
      <c r="W343" s="18" t="s">
        <v>362</v>
      </c>
      <c r="X343" s="18">
        <v>190446</v>
      </c>
      <c r="Y343" s="20" t="s">
        <v>442</v>
      </c>
      <c r="Z343" s="20">
        <v>68</v>
      </c>
      <c r="AA343" s="18" t="s">
        <v>441</v>
      </c>
      <c r="AB343" s="18" t="s">
        <v>364</v>
      </c>
      <c r="AC343" s="20" t="s">
        <v>365</v>
      </c>
      <c r="AD343" s="18" t="s">
        <v>441</v>
      </c>
    </row>
    <row r="344" spans="1:30">
      <c r="A344" s="18">
        <v>190447</v>
      </c>
      <c r="B344" s="18">
        <v>161325</v>
      </c>
      <c r="C344" s="18" t="s">
        <v>309</v>
      </c>
      <c r="D344" s="19" t="s">
        <v>310</v>
      </c>
      <c r="E344" s="19" t="s">
        <v>443</v>
      </c>
      <c r="F344" s="21" t="s">
        <v>196</v>
      </c>
      <c r="G344" t="s">
        <v>357</v>
      </c>
      <c r="H344" s="21" t="s">
        <v>194</v>
      </c>
      <c r="I344" s="21" t="s">
        <v>283</v>
      </c>
      <c r="J344" s="22">
        <v>46058</v>
      </c>
      <c r="K344" s="21" t="s">
        <v>440</v>
      </c>
      <c r="L344" s="20">
        <v>47</v>
      </c>
      <c r="M344" s="21" t="s">
        <v>358</v>
      </c>
      <c r="N344" s="18">
        <v>190447</v>
      </c>
      <c r="O344" s="18"/>
      <c r="P344" s="18" t="s">
        <v>441</v>
      </c>
      <c r="Q344" s="20">
        <v>670</v>
      </c>
      <c r="R344" s="20">
        <v>47</v>
      </c>
      <c r="S344" s="20" t="s">
        <v>163</v>
      </c>
      <c r="T344" s="20">
        <v>674</v>
      </c>
      <c r="U344" s="20" t="s">
        <v>360</v>
      </c>
      <c r="V344" s="20" t="s">
        <v>361</v>
      </c>
      <c r="W344" s="18" t="s">
        <v>362</v>
      </c>
      <c r="X344" s="18">
        <v>190447</v>
      </c>
      <c r="Y344" s="20" t="s">
        <v>444</v>
      </c>
      <c r="Z344" s="20">
        <v>68</v>
      </c>
      <c r="AA344" s="18" t="s">
        <v>441</v>
      </c>
      <c r="AB344" s="18" t="s">
        <v>364</v>
      </c>
      <c r="AC344" s="20" t="s">
        <v>365</v>
      </c>
      <c r="AD344" s="18" t="s">
        <v>441</v>
      </c>
    </row>
    <row r="345" spans="1:30">
      <c r="A345" s="18">
        <v>190448</v>
      </c>
      <c r="B345" s="18">
        <v>161325</v>
      </c>
      <c r="C345" s="18" t="s">
        <v>309</v>
      </c>
      <c r="D345" s="19" t="s">
        <v>310</v>
      </c>
      <c r="E345" s="19" t="s">
        <v>443</v>
      </c>
      <c r="F345" s="21" t="s">
        <v>193</v>
      </c>
      <c r="G345" t="s">
        <v>357</v>
      </c>
      <c r="H345" s="21" t="s">
        <v>194</v>
      </c>
      <c r="I345" s="21" t="s">
        <v>283</v>
      </c>
      <c r="J345" s="22">
        <v>46058</v>
      </c>
      <c r="K345" s="21" t="s">
        <v>440</v>
      </c>
      <c r="L345" s="20">
        <v>48</v>
      </c>
      <c r="M345" s="21" t="s">
        <v>358</v>
      </c>
      <c r="N345" s="18">
        <v>190448</v>
      </c>
      <c r="O345" s="18"/>
      <c r="P345" s="18" t="s">
        <v>441</v>
      </c>
      <c r="Q345" s="20">
        <v>670</v>
      </c>
      <c r="R345" s="20">
        <v>48</v>
      </c>
      <c r="S345" s="20" t="s">
        <v>163</v>
      </c>
      <c r="T345" s="20">
        <v>674</v>
      </c>
      <c r="U345" s="20" t="s">
        <v>360</v>
      </c>
      <c r="V345" s="20" t="s">
        <v>361</v>
      </c>
      <c r="W345" s="18" t="s">
        <v>362</v>
      </c>
      <c r="X345" s="18">
        <v>190448</v>
      </c>
      <c r="Y345" s="20" t="s">
        <v>444</v>
      </c>
      <c r="Z345" s="20">
        <v>68</v>
      </c>
      <c r="AA345" s="18" t="s">
        <v>441</v>
      </c>
      <c r="AB345" s="18" t="s">
        <v>364</v>
      </c>
      <c r="AC345" s="20" t="s">
        <v>365</v>
      </c>
      <c r="AD345" s="18" t="s">
        <v>441</v>
      </c>
    </row>
    <row r="346" spans="1:30">
      <c r="A346" s="18">
        <v>190508</v>
      </c>
      <c r="B346" s="18">
        <v>161347</v>
      </c>
      <c r="C346" s="18" t="s">
        <v>333</v>
      </c>
      <c r="D346" s="19" t="s">
        <v>334</v>
      </c>
      <c r="E346" s="19" t="s">
        <v>445</v>
      </c>
      <c r="F346" s="21" t="s">
        <v>196</v>
      </c>
      <c r="G346" t="s">
        <v>357</v>
      </c>
      <c r="H346" s="21" t="s">
        <v>194</v>
      </c>
      <c r="I346" s="21" t="s">
        <v>165</v>
      </c>
      <c r="J346" s="22">
        <v>46055</v>
      </c>
      <c r="K346" s="21" t="s">
        <v>15</v>
      </c>
      <c r="L346" s="20">
        <v>38</v>
      </c>
      <c r="M346" s="21" t="s">
        <v>358</v>
      </c>
      <c r="N346" s="18">
        <v>190508</v>
      </c>
      <c r="O346" s="18"/>
      <c r="P346" s="18" t="s">
        <v>370</v>
      </c>
      <c r="Q346" s="20">
        <v>670</v>
      </c>
      <c r="R346" s="20">
        <v>38</v>
      </c>
      <c r="S346" s="20" t="s">
        <v>163</v>
      </c>
      <c r="T346" s="20">
        <v>674</v>
      </c>
      <c r="U346" s="20" t="s">
        <v>360</v>
      </c>
      <c r="V346" s="20" t="s">
        <v>361</v>
      </c>
      <c r="W346" s="18" t="s">
        <v>362</v>
      </c>
      <c r="X346" s="18">
        <v>190508</v>
      </c>
      <c r="Y346" s="20" t="s">
        <v>446</v>
      </c>
      <c r="Z346" s="20">
        <v>68</v>
      </c>
      <c r="AA346" s="18" t="s">
        <v>370</v>
      </c>
      <c r="AB346" s="18" t="s">
        <v>364</v>
      </c>
      <c r="AC346" s="20" t="s">
        <v>365</v>
      </c>
      <c r="AD346" s="18" t="s">
        <v>447</v>
      </c>
    </row>
    <row r="347" spans="1:30">
      <c r="A347" s="18">
        <v>190507</v>
      </c>
      <c r="B347" s="18">
        <v>161347</v>
      </c>
      <c r="C347" s="18" t="s">
        <v>333</v>
      </c>
      <c r="D347" s="19" t="s">
        <v>334</v>
      </c>
      <c r="E347" s="19" t="s">
        <v>445</v>
      </c>
      <c r="F347" s="21" t="s">
        <v>193</v>
      </c>
      <c r="G347" t="s">
        <v>357</v>
      </c>
      <c r="H347" s="21" t="s">
        <v>194</v>
      </c>
      <c r="I347" s="21" t="s">
        <v>165</v>
      </c>
      <c r="J347" s="22">
        <v>46055</v>
      </c>
      <c r="K347" s="21" t="s">
        <v>15</v>
      </c>
      <c r="L347" s="20">
        <v>39</v>
      </c>
      <c r="M347" s="21" t="s">
        <v>358</v>
      </c>
      <c r="N347" s="18">
        <v>190507</v>
      </c>
      <c r="O347" s="18"/>
      <c r="P347" s="18" t="s">
        <v>370</v>
      </c>
      <c r="Q347" s="20">
        <v>670</v>
      </c>
      <c r="R347" s="20">
        <v>39</v>
      </c>
      <c r="S347" s="20" t="s">
        <v>163</v>
      </c>
      <c r="T347" s="20">
        <v>674</v>
      </c>
      <c r="U347" s="20" t="s">
        <v>360</v>
      </c>
      <c r="V347" s="20" t="s">
        <v>361</v>
      </c>
      <c r="W347" s="18" t="s">
        <v>362</v>
      </c>
      <c r="X347" s="18">
        <v>190507</v>
      </c>
      <c r="Y347" s="20" t="s">
        <v>446</v>
      </c>
      <c r="Z347" s="20">
        <v>68</v>
      </c>
      <c r="AA347" s="18" t="s">
        <v>370</v>
      </c>
      <c r="AB347" s="18" t="s">
        <v>364</v>
      </c>
      <c r="AC347" s="20" t="s">
        <v>365</v>
      </c>
      <c r="AD347" s="18" t="s">
        <v>37</v>
      </c>
    </row>
    <row r="348" spans="1:30">
      <c r="A348" s="18">
        <v>190145</v>
      </c>
      <c r="B348" s="18">
        <v>161350</v>
      </c>
      <c r="C348" s="18" t="s">
        <v>239</v>
      </c>
      <c r="D348" s="19" t="s">
        <v>240</v>
      </c>
      <c r="E348" s="19" t="s">
        <v>445</v>
      </c>
      <c r="F348" s="21" t="s">
        <v>196</v>
      </c>
      <c r="G348" t="s">
        <v>357</v>
      </c>
      <c r="H348" s="21" t="s">
        <v>164</v>
      </c>
      <c r="I348" s="21" t="s">
        <v>238</v>
      </c>
      <c r="J348" s="22">
        <v>46052</v>
      </c>
      <c r="K348" s="21" t="s">
        <v>13</v>
      </c>
      <c r="L348" s="20">
        <v>58</v>
      </c>
      <c r="M348" s="21" t="s">
        <v>358</v>
      </c>
      <c r="N348" s="18">
        <v>190145</v>
      </c>
      <c r="O348" s="18"/>
      <c r="P348" s="18" t="s">
        <v>448</v>
      </c>
      <c r="Q348" s="20">
        <v>670</v>
      </c>
      <c r="R348" s="20">
        <v>58</v>
      </c>
      <c r="S348" s="20" t="s">
        <v>163</v>
      </c>
      <c r="T348" s="20">
        <v>674</v>
      </c>
      <c r="U348" s="20" t="s">
        <v>360</v>
      </c>
      <c r="V348" s="20" t="s">
        <v>361</v>
      </c>
      <c r="W348" s="18" t="s">
        <v>362</v>
      </c>
      <c r="X348" s="18">
        <v>190145</v>
      </c>
      <c r="Y348" s="20" t="s">
        <v>425</v>
      </c>
      <c r="Z348" s="20">
        <v>68</v>
      </c>
      <c r="AA348" s="18" t="s">
        <v>448</v>
      </c>
      <c r="AB348" s="18" t="s">
        <v>364</v>
      </c>
      <c r="AC348" s="20" t="s">
        <v>365</v>
      </c>
      <c r="AD348" s="18" t="s">
        <v>359</v>
      </c>
    </row>
    <row r="349" spans="1:30">
      <c r="A349" s="18">
        <v>190146</v>
      </c>
      <c r="B349" s="18">
        <v>161350</v>
      </c>
      <c r="C349" s="18" t="s">
        <v>239</v>
      </c>
      <c r="D349" s="19" t="s">
        <v>240</v>
      </c>
      <c r="E349" s="19" t="s">
        <v>445</v>
      </c>
      <c r="F349" s="21" t="s">
        <v>193</v>
      </c>
      <c r="G349" t="s">
        <v>357</v>
      </c>
      <c r="H349" s="21" t="s">
        <v>164</v>
      </c>
      <c r="I349" s="21" t="s">
        <v>238</v>
      </c>
      <c r="J349" s="22">
        <v>46052</v>
      </c>
      <c r="K349" s="21" t="s">
        <v>13</v>
      </c>
      <c r="L349" s="20">
        <v>59</v>
      </c>
      <c r="M349" s="21" t="s">
        <v>358</v>
      </c>
      <c r="N349" s="18">
        <v>190146</v>
      </c>
      <c r="O349" s="18"/>
      <c r="P349" s="18" t="s">
        <v>448</v>
      </c>
      <c r="Q349" s="20">
        <v>670</v>
      </c>
      <c r="R349" s="20">
        <v>59</v>
      </c>
      <c r="S349" s="20" t="s">
        <v>163</v>
      </c>
      <c r="T349" s="20">
        <v>674</v>
      </c>
      <c r="U349" s="20" t="s">
        <v>360</v>
      </c>
      <c r="V349" s="20" t="s">
        <v>361</v>
      </c>
      <c r="W349" s="18" t="s">
        <v>362</v>
      </c>
      <c r="X349" s="18">
        <v>190146</v>
      </c>
      <c r="Y349" s="20" t="s">
        <v>425</v>
      </c>
      <c r="Z349" s="20">
        <v>68</v>
      </c>
      <c r="AA349" s="18" t="s">
        <v>448</v>
      </c>
      <c r="AB349" s="18" t="s">
        <v>364</v>
      </c>
      <c r="AC349" s="20" t="s">
        <v>365</v>
      </c>
      <c r="AD349" s="18" t="s">
        <v>359</v>
      </c>
    </row>
    <row r="350" spans="1:30">
      <c r="A350" s="18">
        <v>190271</v>
      </c>
      <c r="B350" s="18">
        <v>161351</v>
      </c>
      <c r="C350" s="18" t="s">
        <v>449</v>
      </c>
      <c r="D350" s="19" t="s">
        <v>450</v>
      </c>
      <c r="E350" s="19" t="s">
        <v>445</v>
      </c>
      <c r="F350" s="21" t="s">
        <v>196</v>
      </c>
      <c r="G350" t="s">
        <v>357</v>
      </c>
      <c r="H350" s="21" t="s">
        <v>164</v>
      </c>
      <c r="I350" s="21" t="s">
        <v>283</v>
      </c>
      <c r="J350" s="22">
        <v>46051</v>
      </c>
      <c r="K350" s="21" t="s">
        <v>13</v>
      </c>
      <c r="L350" s="20">
        <v>62</v>
      </c>
      <c r="M350" s="21" t="s">
        <v>358</v>
      </c>
      <c r="N350" s="18">
        <v>190271</v>
      </c>
      <c r="O350" s="18"/>
      <c r="P350" s="18" t="s">
        <v>451</v>
      </c>
      <c r="Q350" s="20">
        <v>670</v>
      </c>
      <c r="R350" s="20">
        <v>62</v>
      </c>
      <c r="S350" s="20" t="s">
        <v>163</v>
      </c>
      <c r="T350" s="20">
        <v>674</v>
      </c>
      <c r="U350" s="20" t="s">
        <v>360</v>
      </c>
      <c r="V350" s="20" t="s">
        <v>361</v>
      </c>
      <c r="W350" s="18" t="s">
        <v>362</v>
      </c>
      <c r="X350" s="18">
        <v>190271</v>
      </c>
      <c r="Y350" s="20" t="s">
        <v>378</v>
      </c>
      <c r="Z350" s="20">
        <v>68</v>
      </c>
      <c r="AA350" s="18" t="s">
        <v>451</v>
      </c>
      <c r="AB350" s="18" t="s">
        <v>364</v>
      </c>
      <c r="AC350" s="20" t="s">
        <v>365</v>
      </c>
      <c r="AD350" s="18" t="s">
        <v>451</v>
      </c>
    </row>
    <row r="351" spans="1:30">
      <c r="A351" s="18">
        <v>190270</v>
      </c>
      <c r="B351" s="18">
        <v>161351</v>
      </c>
      <c r="C351" s="18" t="s">
        <v>449</v>
      </c>
      <c r="D351" s="19" t="s">
        <v>450</v>
      </c>
      <c r="E351" s="19" t="s">
        <v>445</v>
      </c>
      <c r="F351" s="21" t="s">
        <v>193</v>
      </c>
      <c r="G351" t="s">
        <v>357</v>
      </c>
      <c r="H351" s="21" t="s">
        <v>164</v>
      </c>
      <c r="I351" s="21" t="s">
        <v>283</v>
      </c>
      <c r="J351" s="22">
        <v>46051</v>
      </c>
      <c r="K351" s="21" t="s">
        <v>13</v>
      </c>
      <c r="L351" s="20">
        <v>64</v>
      </c>
      <c r="M351" s="21" t="s">
        <v>358</v>
      </c>
      <c r="N351" s="18">
        <v>190270</v>
      </c>
      <c r="O351" s="18"/>
      <c r="P351" s="18" t="s">
        <v>451</v>
      </c>
      <c r="Q351" s="20">
        <v>670</v>
      </c>
      <c r="R351" s="20">
        <v>64</v>
      </c>
      <c r="S351" s="20" t="s">
        <v>163</v>
      </c>
      <c r="T351" s="20">
        <v>674</v>
      </c>
      <c r="U351" s="20" t="s">
        <v>360</v>
      </c>
      <c r="V351" s="20" t="s">
        <v>361</v>
      </c>
      <c r="W351" s="18" t="s">
        <v>362</v>
      </c>
      <c r="X351" s="18">
        <v>190270</v>
      </c>
      <c r="Y351" s="20" t="s">
        <v>378</v>
      </c>
      <c r="Z351" s="20">
        <v>68</v>
      </c>
      <c r="AA351" s="18" t="s">
        <v>451</v>
      </c>
      <c r="AB351" s="18" t="s">
        <v>364</v>
      </c>
      <c r="AC351" s="20" t="s">
        <v>365</v>
      </c>
      <c r="AD351" s="18" t="s">
        <v>451</v>
      </c>
    </row>
    <row r="352" spans="1:30">
      <c r="A352" s="18">
        <v>190364</v>
      </c>
      <c r="B352" s="18">
        <v>161355</v>
      </c>
      <c r="C352" s="18" t="s">
        <v>114</v>
      </c>
      <c r="D352" s="19" t="s">
        <v>452</v>
      </c>
      <c r="E352" s="19" t="s">
        <v>445</v>
      </c>
      <c r="F352" s="21" t="s">
        <v>196</v>
      </c>
      <c r="G352" t="s">
        <v>357</v>
      </c>
      <c r="H352" s="21" t="s">
        <v>228</v>
      </c>
      <c r="I352" s="21" t="s">
        <v>417</v>
      </c>
      <c r="J352" s="22">
        <v>46046</v>
      </c>
      <c r="K352" s="21" t="s">
        <v>14</v>
      </c>
      <c r="L352" s="20">
        <v>54</v>
      </c>
      <c r="M352" s="21" t="s">
        <v>358</v>
      </c>
      <c r="N352" s="18">
        <v>190364</v>
      </c>
      <c r="O352" s="18"/>
      <c r="P352" s="18" t="s">
        <v>453</v>
      </c>
      <c r="Q352" s="20">
        <v>670</v>
      </c>
      <c r="R352" s="20">
        <v>54</v>
      </c>
      <c r="S352" s="20" t="s">
        <v>163</v>
      </c>
      <c r="T352" s="20">
        <v>674</v>
      </c>
      <c r="U352" s="20" t="s">
        <v>360</v>
      </c>
      <c r="V352" s="20" t="s">
        <v>361</v>
      </c>
      <c r="W352" s="18" t="s">
        <v>362</v>
      </c>
      <c r="X352" s="18">
        <v>190364</v>
      </c>
      <c r="Y352" s="20" t="s">
        <v>378</v>
      </c>
      <c r="Z352" s="20">
        <v>68</v>
      </c>
      <c r="AA352" s="18" t="s">
        <v>453</v>
      </c>
      <c r="AB352" s="18" t="s">
        <v>364</v>
      </c>
      <c r="AC352" s="20" t="s">
        <v>365</v>
      </c>
      <c r="AD352" s="18" t="s">
        <v>409</v>
      </c>
    </row>
    <row r="353" spans="1:30">
      <c r="A353" s="18">
        <v>190363</v>
      </c>
      <c r="B353" s="18">
        <v>161355</v>
      </c>
      <c r="C353" s="18" t="s">
        <v>114</v>
      </c>
      <c r="D353" s="19" t="s">
        <v>452</v>
      </c>
      <c r="E353" s="19" t="s">
        <v>445</v>
      </c>
      <c r="F353" s="21" t="s">
        <v>193</v>
      </c>
      <c r="G353" t="s">
        <v>357</v>
      </c>
      <c r="H353" s="21" t="s">
        <v>228</v>
      </c>
      <c r="I353" s="21" t="s">
        <v>417</v>
      </c>
      <c r="J353" s="22">
        <v>46046</v>
      </c>
      <c r="K353" s="21" t="s">
        <v>14</v>
      </c>
      <c r="L353" s="20">
        <v>55</v>
      </c>
      <c r="M353" s="21" t="s">
        <v>358</v>
      </c>
      <c r="N353" s="18">
        <v>190363</v>
      </c>
      <c r="O353" s="18"/>
      <c r="P353" s="18" t="s">
        <v>453</v>
      </c>
      <c r="Q353" s="20">
        <v>670</v>
      </c>
      <c r="R353" s="20">
        <v>55</v>
      </c>
      <c r="S353" s="20" t="s">
        <v>163</v>
      </c>
      <c r="T353" s="20">
        <v>674</v>
      </c>
      <c r="U353" s="20" t="s">
        <v>360</v>
      </c>
      <c r="V353" s="20" t="s">
        <v>361</v>
      </c>
      <c r="W353" s="18" t="s">
        <v>362</v>
      </c>
      <c r="X353" s="18">
        <v>190363</v>
      </c>
      <c r="Y353" s="20" t="s">
        <v>378</v>
      </c>
      <c r="Z353" s="20">
        <v>68</v>
      </c>
      <c r="AA353" s="18" t="s">
        <v>453</v>
      </c>
      <c r="AB353" s="18" t="s">
        <v>364</v>
      </c>
      <c r="AC353" s="20" t="s">
        <v>365</v>
      </c>
      <c r="AD353" s="18" t="s">
        <v>409</v>
      </c>
    </row>
    <row r="354" spans="1:30">
      <c r="A354" s="18">
        <v>190457</v>
      </c>
      <c r="B354" s="18">
        <v>161356</v>
      </c>
      <c r="C354" s="18" t="s">
        <v>454</v>
      </c>
      <c r="D354" s="19" t="s">
        <v>455</v>
      </c>
      <c r="E354" s="19" t="s">
        <v>445</v>
      </c>
      <c r="F354" s="21" t="s">
        <v>196</v>
      </c>
      <c r="G354" t="s">
        <v>357</v>
      </c>
      <c r="H354" s="21" t="s">
        <v>194</v>
      </c>
      <c r="I354" s="21" t="s">
        <v>283</v>
      </c>
      <c r="J354" s="22">
        <v>46058</v>
      </c>
      <c r="K354" s="21" t="s">
        <v>440</v>
      </c>
      <c r="L354" s="20">
        <v>63</v>
      </c>
      <c r="M354" s="21" t="s">
        <v>358</v>
      </c>
      <c r="N354" s="18">
        <v>190457</v>
      </c>
      <c r="O354" s="18"/>
      <c r="P354" s="18" t="s">
        <v>456</v>
      </c>
      <c r="Q354" s="20">
        <v>670</v>
      </c>
      <c r="R354" s="20">
        <v>63</v>
      </c>
      <c r="S354" s="20" t="s">
        <v>163</v>
      </c>
      <c r="T354" s="20">
        <v>674</v>
      </c>
      <c r="U354" s="20" t="s">
        <v>360</v>
      </c>
      <c r="V354" s="20" t="s">
        <v>361</v>
      </c>
      <c r="W354" s="18" t="s">
        <v>362</v>
      </c>
      <c r="X354" s="18">
        <v>190457</v>
      </c>
      <c r="Y354" s="20" t="s">
        <v>378</v>
      </c>
      <c r="Z354" s="20">
        <v>68</v>
      </c>
      <c r="AA354" s="18" t="s">
        <v>456</v>
      </c>
      <c r="AB354" s="18" t="s">
        <v>364</v>
      </c>
      <c r="AC354" s="20" t="s">
        <v>365</v>
      </c>
      <c r="AD354" s="18" t="s">
        <v>441</v>
      </c>
    </row>
    <row r="355" spans="1:30">
      <c r="A355" s="18">
        <v>190456</v>
      </c>
      <c r="B355" s="18">
        <v>161356</v>
      </c>
      <c r="C355" s="18" t="s">
        <v>454</v>
      </c>
      <c r="D355" s="19" t="s">
        <v>455</v>
      </c>
      <c r="E355" s="19" t="s">
        <v>445</v>
      </c>
      <c r="F355" s="21" t="s">
        <v>193</v>
      </c>
      <c r="G355" t="s">
        <v>357</v>
      </c>
      <c r="H355" s="21" t="s">
        <v>194</v>
      </c>
      <c r="I355" s="21" t="s">
        <v>283</v>
      </c>
      <c r="J355" s="22">
        <v>46058</v>
      </c>
      <c r="K355" s="21" t="s">
        <v>440</v>
      </c>
      <c r="L355" s="20">
        <v>63</v>
      </c>
      <c r="M355" s="21" t="s">
        <v>358</v>
      </c>
      <c r="N355" s="18">
        <v>190456</v>
      </c>
      <c r="O355" s="18"/>
      <c r="P355" s="18" t="s">
        <v>456</v>
      </c>
      <c r="Q355" s="20">
        <v>670</v>
      </c>
      <c r="R355" s="20">
        <v>63</v>
      </c>
      <c r="S355" s="20" t="s">
        <v>163</v>
      </c>
      <c r="T355" s="20">
        <v>674</v>
      </c>
      <c r="U355" s="20" t="s">
        <v>360</v>
      </c>
      <c r="V355" s="20" t="s">
        <v>361</v>
      </c>
      <c r="W355" s="18" t="s">
        <v>362</v>
      </c>
      <c r="X355" s="18">
        <v>190456</v>
      </c>
      <c r="Y355" s="20" t="s">
        <v>378</v>
      </c>
      <c r="Z355" s="20">
        <v>68</v>
      </c>
      <c r="AA355" s="18" t="s">
        <v>456</v>
      </c>
      <c r="AB355" s="18" t="s">
        <v>364</v>
      </c>
      <c r="AC355" s="20" t="s">
        <v>365</v>
      </c>
      <c r="AD355" s="18" t="s">
        <v>441</v>
      </c>
    </row>
    <row r="356" spans="1:30">
      <c r="A356" s="18">
        <v>190293</v>
      </c>
      <c r="B356" s="18">
        <v>161366</v>
      </c>
      <c r="C356" s="18" t="s">
        <v>457</v>
      </c>
      <c r="D356" s="19" t="s">
        <v>458</v>
      </c>
      <c r="E356" s="19" t="s">
        <v>459</v>
      </c>
      <c r="F356" s="21" t="s">
        <v>193</v>
      </c>
      <c r="G356" t="s">
        <v>357</v>
      </c>
      <c r="H356" s="21" t="s">
        <v>194</v>
      </c>
      <c r="I356" s="21" t="s">
        <v>283</v>
      </c>
      <c r="J356" s="22">
        <v>46058</v>
      </c>
      <c r="K356" s="21" t="s">
        <v>11</v>
      </c>
      <c r="L356" s="20">
        <v>56</v>
      </c>
      <c r="M356" s="21" t="s">
        <v>358</v>
      </c>
      <c r="N356" s="18">
        <v>190293</v>
      </c>
      <c r="O356" s="18"/>
      <c r="P356" s="18" t="s">
        <v>441</v>
      </c>
      <c r="Q356" s="20">
        <v>670</v>
      </c>
      <c r="R356" s="20">
        <v>56</v>
      </c>
      <c r="S356" s="20" t="s">
        <v>163</v>
      </c>
      <c r="T356" s="20">
        <v>674</v>
      </c>
      <c r="U356" s="20" t="s">
        <v>360</v>
      </c>
      <c r="V356" s="20" t="s">
        <v>361</v>
      </c>
      <c r="W356" s="18" t="s">
        <v>362</v>
      </c>
      <c r="X356" s="18">
        <v>190293</v>
      </c>
      <c r="Y356" s="20" t="s">
        <v>363</v>
      </c>
      <c r="Z356" s="20">
        <v>69</v>
      </c>
      <c r="AA356" s="18" t="s">
        <v>441</v>
      </c>
      <c r="AB356" s="18" t="s">
        <v>364</v>
      </c>
      <c r="AC356" s="20" t="s">
        <v>365</v>
      </c>
      <c r="AD356" s="18" t="s">
        <v>456</v>
      </c>
    </row>
    <row r="357" spans="1:30">
      <c r="A357" s="18">
        <v>190294</v>
      </c>
      <c r="B357" s="18">
        <v>161366</v>
      </c>
      <c r="C357" s="18" t="s">
        <v>457</v>
      </c>
      <c r="D357" s="19" t="s">
        <v>458</v>
      </c>
      <c r="E357" s="19" t="s">
        <v>459</v>
      </c>
      <c r="F357" s="21" t="s">
        <v>196</v>
      </c>
      <c r="G357" t="s">
        <v>357</v>
      </c>
      <c r="H357" s="21" t="s">
        <v>194</v>
      </c>
      <c r="I357" s="21" t="s">
        <v>283</v>
      </c>
      <c r="J357" s="22">
        <v>46058</v>
      </c>
      <c r="K357" s="21" t="s">
        <v>11</v>
      </c>
      <c r="L357" s="20">
        <v>56</v>
      </c>
      <c r="M357" s="21" t="s">
        <v>358</v>
      </c>
      <c r="N357" s="18">
        <v>190294</v>
      </c>
      <c r="O357" s="18"/>
      <c r="P357" s="18" t="s">
        <v>441</v>
      </c>
      <c r="Q357" s="20">
        <v>670</v>
      </c>
      <c r="R357" s="20">
        <v>56</v>
      </c>
      <c r="S357" s="20" t="s">
        <v>163</v>
      </c>
      <c r="T357" s="20">
        <v>674</v>
      </c>
      <c r="U357" s="20" t="s">
        <v>360</v>
      </c>
      <c r="V357" s="20" t="s">
        <v>361</v>
      </c>
      <c r="W357" s="18" t="s">
        <v>362</v>
      </c>
      <c r="X357" s="18">
        <v>190294</v>
      </c>
      <c r="Y357" s="20" t="s">
        <v>363</v>
      </c>
      <c r="Z357" s="20">
        <v>69</v>
      </c>
      <c r="AA357" s="18" t="s">
        <v>441</v>
      </c>
      <c r="AB357" s="18" t="s">
        <v>364</v>
      </c>
      <c r="AC357" s="20" t="s">
        <v>365</v>
      </c>
      <c r="AD357" s="18" t="s">
        <v>456</v>
      </c>
    </row>
    <row r="358" spans="1:30">
      <c r="A358" s="18">
        <v>190296</v>
      </c>
      <c r="B358" s="18">
        <v>161367</v>
      </c>
      <c r="C358" s="18" t="s">
        <v>457</v>
      </c>
      <c r="D358" s="19" t="s">
        <v>458</v>
      </c>
      <c r="E358" s="19" t="s">
        <v>460</v>
      </c>
      <c r="F358" s="21" t="s">
        <v>193</v>
      </c>
      <c r="G358" t="s">
        <v>357</v>
      </c>
      <c r="H358" s="21" t="s">
        <v>194</v>
      </c>
      <c r="I358" s="21" t="s">
        <v>283</v>
      </c>
      <c r="J358" s="22">
        <v>46058</v>
      </c>
      <c r="K358" s="21" t="s">
        <v>11</v>
      </c>
      <c r="L358" s="20">
        <v>56</v>
      </c>
      <c r="M358" s="21" t="s">
        <v>358</v>
      </c>
      <c r="N358" s="18">
        <v>190296</v>
      </c>
      <c r="O358" s="18"/>
      <c r="P358" s="18" t="s">
        <v>461</v>
      </c>
      <c r="Q358" s="20">
        <v>670</v>
      </c>
      <c r="R358" s="20">
        <v>56</v>
      </c>
      <c r="S358" s="20" t="s">
        <v>163</v>
      </c>
      <c r="T358" s="20">
        <v>674</v>
      </c>
      <c r="U358" s="20" t="s">
        <v>360</v>
      </c>
      <c r="V358" s="20" t="s">
        <v>361</v>
      </c>
      <c r="W358" s="18" t="s">
        <v>362</v>
      </c>
      <c r="X358" s="18">
        <v>190296</v>
      </c>
      <c r="Y358" s="20" t="s">
        <v>363</v>
      </c>
      <c r="Z358" s="20">
        <v>69</v>
      </c>
      <c r="AA358" s="18" t="s">
        <v>461</v>
      </c>
      <c r="AB358" s="18" t="s">
        <v>364</v>
      </c>
      <c r="AC358" s="20" t="s">
        <v>365</v>
      </c>
      <c r="AD358" s="18" t="s">
        <v>456</v>
      </c>
    </row>
    <row r="359" spans="1:30">
      <c r="A359" s="18">
        <v>190295</v>
      </c>
      <c r="B359" s="18">
        <v>161367</v>
      </c>
      <c r="C359" s="18" t="s">
        <v>457</v>
      </c>
      <c r="D359" s="19" t="s">
        <v>458</v>
      </c>
      <c r="E359" s="19" t="s">
        <v>460</v>
      </c>
      <c r="F359" s="21" t="s">
        <v>196</v>
      </c>
      <c r="G359" t="s">
        <v>357</v>
      </c>
      <c r="H359" s="21" t="s">
        <v>194</v>
      </c>
      <c r="I359" s="21" t="s">
        <v>283</v>
      </c>
      <c r="J359" s="22">
        <v>46058</v>
      </c>
      <c r="K359" s="21" t="s">
        <v>11</v>
      </c>
      <c r="L359" s="20">
        <v>56</v>
      </c>
      <c r="M359" s="21" t="s">
        <v>358</v>
      </c>
      <c r="N359" s="18">
        <v>190295</v>
      </c>
      <c r="O359" s="18"/>
      <c r="P359" s="18" t="s">
        <v>461</v>
      </c>
      <c r="Q359" s="20">
        <v>670</v>
      </c>
      <c r="R359" s="20">
        <v>56</v>
      </c>
      <c r="S359" s="20" t="s">
        <v>163</v>
      </c>
      <c r="T359" s="20">
        <v>674</v>
      </c>
      <c r="U359" s="20" t="s">
        <v>360</v>
      </c>
      <c r="V359" s="20" t="s">
        <v>361</v>
      </c>
      <c r="W359" s="18" t="s">
        <v>362</v>
      </c>
      <c r="X359" s="18">
        <v>190295</v>
      </c>
      <c r="Y359" s="20" t="s">
        <v>363</v>
      </c>
      <c r="Z359" s="20">
        <v>69</v>
      </c>
      <c r="AA359" s="18" t="s">
        <v>461</v>
      </c>
      <c r="AB359" s="18" t="s">
        <v>364</v>
      </c>
      <c r="AC359" s="20" t="s">
        <v>365</v>
      </c>
      <c r="AD359" s="18" t="s">
        <v>456</v>
      </c>
    </row>
    <row r="360" spans="1:30">
      <c r="A360" s="18">
        <v>190298</v>
      </c>
      <c r="B360" s="18">
        <v>161368</v>
      </c>
      <c r="C360" s="18" t="s">
        <v>457</v>
      </c>
      <c r="D360" s="19" t="s">
        <v>458</v>
      </c>
      <c r="E360" s="19" t="s">
        <v>462</v>
      </c>
      <c r="F360" s="21" t="s">
        <v>196</v>
      </c>
      <c r="G360" t="s">
        <v>357</v>
      </c>
      <c r="H360" s="21" t="s">
        <v>194</v>
      </c>
      <c r="I360" s="21" t="s">
        <v>283</v>
      </c>
      <c r="J360" s="22">
        <v>46058</v>
      </c>
      <c r="K360" s="21" t="s">
        <v>11</v>
      </c>
      <c r="L360" s="20">
        <v>57</v>
      </c>
      <c r="M360" s="21" t="s">
        <v>358</v>
      </c>
      <c r="N360" s="18">
        <v>190298</v>
      </c>
      <c r="O360" s="18"/>
      <c r="P360" s="18" t="s">
        <v>463</v>
      </c>
      <c r="Q360" s="20">
        <v>670</v>
      </c>
      <c r="R360" s="20">
        <v>57</v>
      </c>
      <c r="S360" s="20" t="s">
        <v>163</v>
      </c>
      <c r="T360" s="20">
        <v>674</v>
      </c>
      <c r="U360" s="20" t="s">
        <v>360</v>
      </c>
      <c r="V360" s="20" t="s">
        <v>361</v>
      </c>
      <c r="W360" s="18" t="s">
        <v>362</v>
      </c>
      <c r="X360" s="18">
        <v>190298</v>
      </c>
      <c r="Y360" s="20" t="s">
        <v>363</v>
      </c>
      <c r="Z360" s="20">
        <v>69</v>
      </c>
      <c r="AA360" s="18" t="s">
        <v>463</v>
      </c>
      <c r="AB360" s="18" t="s">
        <v>364</v>
      </c>
      <c r="AC360" s="20" t="s">
        <v>365</v>
      </c>
      <c r="AD360" s="18" t="s">
        <v>456</v>
      </c>
    </row>
    <row r="361" spans="1:30">
      <c r="A361" s="18">
        <v>190297</v>
      </c>
      <c r="B361" s="18">
        <v>161368</v>
      </c>
      <c r="C361" s="18" t="s">
        <v>457</v>
      </c>
      <c r="D361" s="19" t="s">
        <v>458</v>
      </c>
      <c r="E361" s="19" t="s">
        <v>462</v>
      </c>
      <c r="F361" s="21" t="s">
        <v>193</v>
      </c>
      <c r="G361" t="s">
        <v>357</v>
      </c>
      <c r="H361" s="21" t="s">
        <v>194</v>
      </c>
      <c r="I361" s="21" t="s">
        <v>283</v>
      </c>
      <c r="J361" s="22">
        <v>46058</v>
      </c>
      <c r="K361" s="21" t="s">
        <v>11</v>
      </c>
      <c r="L361" s="20">
        <v>58</v>
      </c>
      <c r="M361" s="21" t="s">
        <v>358</v>
      </c>
      <c r="N361" s="18">
        <v>190297</v>
      </c>
      <c r="O361" s="18"/>
      <c r="P361" s="18" t="s">
        <v>463</v>
      </c>
      <c r="Q361" s="20">
        <v>670</v>
      </c>
      <c r="R361" s="20">
        <v>58</v>
      </c>
      <c r="S361" s="20" t="s">
        <v>163</v>
      </c>
      <c r="T361" s="20">
        <v>674</v>
      </c>
      <c r="U361" s="20" t="s">
        <v>360</v>
      </c>
      <c r="V361" s="20" t="s">
        <v>361</v>
      </c>
      <c r="W361" s="18" t="s">
        <v>362</v>
      </c>
      <c r="X361" s="18">
        <v>190297</v>
      </c>
      <c r="Y361" s="20" t="s">
        <v>363</v>
      </c>
      <c r="Z361" s="20">
        <v>69</v>
      </c>
      <c r="AA361" s="18" t="s">
        <v>463</v>
      </c>
      <c r="AB361" s="18" t="s">
        <v>364</v>
      </c>
      <c r="AC361" s="20" t="s">
        <v>365</v>
      </c>
      <c r="AD361" s="18" t="s">
        <v>456</v>
      </c>
    </row>
    <row r="362" spans="1:30">
      <c r="A362" s="18">
        <v>190379</v>
      </c>
      <c r="B362" s="18">
        <v>161380</v>
      </c>
      <c r="C362" s="18" t="s">
        <v>68</v>
      </c>
      <c r="D362" s="19" t="s">
        <v>287</v>
      </c>
      <c r="E362" s="19" t="s">
        <v>459</v>
      </c>
      <c r="F362" s="21" t="s">
        <v>196</v>
      </c>
      <c r="G362" t="s">
        <v>357</v>
      </c>
      <c r="H362" s="21" t="s">
        <v>228</v>
      </c>
      <c r="I362" s="21" t="s">
        <v>283</v>
      </c>
      <c r="J362" s="22">
        <v>46044</v>
      </c>
      <c r="K362" s="21" t="s">
        <v>376</v>
      </c>
      <c r="L362" s="20">
        <v>54</v>
      </c>
      <c r="M362" s="21" t="s">
        <v>358</v>
      </c>
      <c r="N362" s="18">
        <v>190379</v>
      </c>
      <c r="O362" s="18"/>
      <c r="P362" s="18" t="s">
        <v>464</v>
      </c>
      <c r="Q362" s="20">
        <v>670</v>
      </c>
      <c r="R362" s="20">
        <v>54</v>
      </c>
      <c r="S362" s="20" t="s">
        <v>163</v>
      </c>
      <c r="T362" s="20">
        <v>674</v>
      </c>
      <c r="U362" s="20" t="s">
        <v>360</v>
      </c>
      <c r="V362" s="20" t="s">
        <v>361</v>
      </c>
      <c r="W362" s="18" t="s">
        <v>362</v>
      </c>
      <c r="X362" s="18">
        <v>190379</v>
      </c>
      <c r="Y362" s="20" t="s">
        <v>465</v>
      </c>
      <c r="Z362" s="20">
        <v>69</v>
      </c>
      <c r="AA362" s="18" t="s">
        <v>464</v>
      </c>
      <c r="AB362" s="18" t="s">
        <v>364</v>
      </c>
      <c r="AC362" s="20" t="s">
        <v>365</v>
      </c>
      <c r="AD362" s="18" t="s">
        <v>464</v>
      </c>
    </row>
    <row r="363" spans="1:30">
      <c r="A363" s="18">
        <v>190378</v>
      </c>
      <c r="B363" s="18">
        <v>161380</v>
      </c>
      <c r="C363" s="18" t="s">
        <v>68</v>
      </c>
      <c r="D363" s="19" t="s">
        <v>287</v>
      </c>
      <c r="E363" s="19" t="s">
        <v>459</v>
      </c>
      <c r="F363" s="21" t="s">
        <v>193</v>
      </c>
      <c r="G363" t="s">
        <v>357</v>
      </c>
      <c r="H363" s="21" t="s">
        <v>228</v>
      </c>
      <c r="I363" s="21" t="s">
        <v>283</v>
      </c>
      <c r="J363" s="22">
        <v>46044</v>
      </c>
      <c r="K363" s="21" t="s">
        <v>376</v>
      </c>
      <c r="L363" s="20">
        <v>55</v>
      </c>
      <c r="M363" s="21" t="s">
        <v>358</v>
      </c>
      <c r="N363" s="18">
        <v>190378</v>
      </c>
      <c r="O363" s="18"/>
      <c r="P363" s="18" t="s">
        <v>464</v>
      </c>
      <c r="Q363" s="20">
        <v>670</v>
      </c>
      <c r="R363" s="20">
        <v>55</v>
      </c>
      <c r="S363" s="20" t="s">
        <v>163</v>
      </c>
      <c r="T363" s="20">
        <v>674</v>
      </c>
      <c r="U363" s="20" t="s">
        <v>360</v>
      </c>
      <c r="V363" s="20" t="s">
        <v>361</v>
      </c>
      <c r="W363" s="18" t="s">
        <v>362</v>
      </c>
      <c r="X363" s="18">
        <v>190378</v>
      </c>
      <c r="Y363" s="20" t="s">
        <v>465</v>
      </c>
      <c r="Z363" s="20">
        <v>69</v>
      </c>
      <c r="AA363" s="18" t="s">
        <v>464</v>
      </c>
      <c r="AB363" s="18" t="s">
        <v>364</v>
      </c>
      <c r="AC363" s="20" t="s">
        <v>365</v>
      </c>
      <c r="AD363" s="18" t="s">
        <v>464</v>
      </c>
    </row>
    <row r="364" spans="1:30">
      <c r="A364" s="18">
        <v>190381</v>
      </c>
      <c r="B364" s="18">
        <v>161381</v>
      </c>
      <c r="C364" s="18" t="s">
        <v>68</v>
      </c>
      <c r="D364" s="19" t="s">
        <v>287</v>
      </c>
      <c r="E364" s="19" t="s">
        <v>466</v>
      </c>
      <c r="F364" s="21" t="s">
        <v>193</v>
      </c>
      <c r="G364" t="s">
        <v>357</v>
      </c>
      <c r="H364" s="21" t="s">
        <v>228</v>
      </c>
      <c r="I364" s="21" t="s">
        <v>283</v>
      </c>
      <c r="J364" s="22">
        <v>46044</v>
      </c>
      <c r="K364" s="21" t="s">
        <v>376</v>
      </c>
      <c r="L364" s="20">
        <v>55</v>
      </c>
      <c r="M364" s="21" t="s">
        <v>358</v>
      </c>
      <c r="N364" s="18">
        <v>190381</v>
      </c>
      <c r="O364" s="18"/>
      <c r="P364" s="18" t="s">
        <v>467</v>
      </c>
      <c r="Q364" s="20">
        <v>670</v>
      </c>
      <c r="R364" s="20">
        <v>55</v>
      </c>
      <c r="S364" s="20" t="s">
        <v>163</v>
      </c>
      <c r="T364" s="20">
        <v>674</v>
      </c>
      <c r="U364" s="20" t="s">
        <v>360</v>
      </c>
      <c r="V364" s="20" t="s">
        <v>361</v>
      </c>
      <c r="W364" s="18" t="s">
        <v>362</v>
      </c>
      <c r="X364" s="18">
        <v>190381</v>
      </c>
      <c r="Y364" s="20" t="s">
        <v>425</v>
      </c>
      <c r="Z364" s="20">
        <v>69</v>
      </c>
      <c r="AA364" s="18" t="s">
        <v>467</v>
      </c>
      <c r="AB364" s="18" t="s">
        <v>364</v>
      </c>
      <c r="AC364" s="20" t="s">
        <v>365</v>
      </c>
      <c r="AD364" s="18" t="s">
        <v>464</v>
      </c>
    </row>
    <row r="365" spans="1:30">
      <c r="A365" s="18">
        <v>190380</v>
      </c>
      <c r="B365" s="18">
        <v>161381</v>
      </c>
      <c r="C365" s="18" t="s">
        <v>68</v>
      </c>
      <c r="D365" s="19" t="s">
        <v>287</v>
      </c>
      <c r="E365" s="19" t="s">
        <v>466</v>
      </c>
      <c r="F365" s="21" t="s">
        <v>196</v>
      </c>
      <c r="G365" t="s">
        <v>357</v>
      </c>
      <c r="H365" s="21" t="s">
        <v>228</v>
      </c>
      <c r="I365" s="21" t="s">
        <v>283</v>
      </c>
      <c r="J365" s="22">
        <v>46044</v>
      </c>
      <c r="K365" s="21" t="s">
        <v>376</v>
      </c>
      <c r="L365" s="20">
        <v>54</v>
      </c>
      <c r="M365" s="21" t="s">
        <v>358</v>
      </c>
      <c r="N365" s="18">
        <v>190380</v>
      </c>
      <c r="O365" s="18"/>
      <c r="P365" s="18" t="s">
        <v>467</v>
      </c>
      <c r="Q365" s="20">
        <v>670</v>
      </c>
      <c r="R365" s="20">
        <v>54</v>
      </c>
      <c r="S365" s="20" t="s">
        <v>163</v>
      </c>
      <c r="T365" s="20">
        <v>674</v>
      </c>
      <c r="U365" s="20" t="s">
        <v>360</v>
      </c>
      <c r="V365" s="20" t="s">
        <v>361</v>
      </c>
      <c r="W365" s="18" t="s">
        <v>362</v>
      </c>
      <c r="X365" s="18">
        <v>190380</v>
      </c>
      <c r="Y365" s="20" t="s">
        <v>425</v>
      </c>
      <c r="Z365" s="20">
        <v>69</v>
      </c>
      <c r="AA365" s="18" t="s">
        <v>467</v>
      </c>
      <c r="AB365" s="18" t="s">
        <v>364</v>
      </c>
      <c r="AC365" s="20" t="s">
        <v>365</v>
      </c>
      <c r="AD365" s="18" t="s">
        <v>464</v>
      </c>
    </row>
    <row r="366" spans="1:30">
      <c r="A366" s="18">
        <v>190383</v>
      </c>
      <c r="B366" s="18">
        <v>161382</v>
      </c>
      <c r="C366" s="18" t="s">
        <v>68</v>
      </c>
      <c r="D366" s="19" t="s">
        <v>287</v>
      </c>
      <c r="E366" s="19" t="s">
        <v>462</v>
      </c>
      <c r="F366" s="21" t="s">
        <v>193</v>
      </c>
      <c r="G366" t="s">
        <v>357</v>
      </c>
      <c r="H366" s="21" t="s">
        <v>228</v>
      </c>
      <c r="I366" s="21" t="s">
        <v>283</v>
      </c>
      <c r="J366" s="22">
        <v>46044</v>
      </c>
      <c r="K366" s="21" t="s">
        <v>376</v>
      </c>
      <c r="L366" s="20">
        <v>56</v>
      </c>
      <c r="M366" s="21" t="s">
        <v>358</v>
      </c>
      <c r="N366" s="18">
        <v>190383</v>
      </c>
      <c r="O366" s="18"/>
      <c r="P366" s="18" t="s">
        <v>370</v>
      </c>
      <c r="Q366" s="20">
        <v>670</v>
      </c>
      <c r="R366" s="20">
        <v>56</v>
      </c>
      <c r="S366" s="20" t="s">
        <v>163</v>
      </c>
      <c r="T366" s="20">
        <v>674</v>
      </c>
      <c r="U366" s="20" t="s">
        <v>360</v>
      </c>
      <c r="V366" s="20" t="s">
        <v>361</v>
      </c>
      <c r="W366" s="18" t="s">
        <v>362</v>
      </c>
      <c r="X366" s="18">
        <v>190383</v>
      </c>
      <c r="Y366" s="20" t="s">
        <v>465</v>
      </c>
      <c r="Z366" s="20">
        <v>69</v>
      </c>
      <c r="AA366" s="18" t="s">
        <v>370</v>
      </c>
      <c r="AB366" s="18" t="s">
        <v>364</v>
      </c>
      <c r="AC366" s="20" t="s">
        <v>365</v>
      </c>
      <c r="AD366" s="18" t="s">
        <v>464</v>
      </c>
    </row>
    <row r="367" spans="1:30">
      <c r="A367" s="18">
        <v>190382</v>
      </c>
      <c r="B367" s="18">
        <v>161382</v>
      </c>
      <c r="C367" s="18" t="s">
        <v>68</v>
      </c>
      <c r="D367" s="19" t="s">
        <v>287</v>
      </c>
      <c r="E367" s="19" t="s">
        <v>462</v>
      </c>
      <c r="F367" s="21" t="s">
        <v>196</v>
      </c>
      <c r="G367" t="s">
        <v>357</v>
      </c>
      <c r="H367" s="21" t="s">
        <v>228</v>
      </c>
      <c r="I367" s="21" t="s">
        <v>283</v>
      </c>
      <c r="J367" s="22">
        <v>46044</v>
      </c>
      <c r="K367" s="21" t="s">
        <v>376</v>
      </c>
      <c r="L367" s="20">
        <v>55</v>
      </c>
      <c r="M367" s="21" t="s">
        <v>358</v>
      </c>
      <c r="N367" s="18">
        <v>190382</v>
      </c>
      <c r="O367" s="18"/>
      <c r="P367" s="18" t="s">
        <v>370</v>
      </c>
      <c r="Q367" s="20">
        <v>670</v>
      </c>
      <c r="R367" s="20">
        <v>55</v>
      </c>
      <c r="S367" s="20" t="s">
        <v>163</v>
      </c>
      <c r="T367" s="20">
        <v>674</v>
      </c>
      <c r="U367" s="20" t="s">
        <v>360</v>
      </c>
      <c r="V367" s="20" t="s">
        <v>361</v>
      </c>
      <c r="W367" s="18" t="s">
        <v>362</v>
      </c>
      <c r="X367" s="18">
        <v>190382</v>
      </c>
      <c r="Y367" s="20" t="s">
        <v>465</v>
      </c>
      <c r="Z367" s="20">
        <v>69</v>
      </c>
      <c r="AA367" s="18" t="s">
        <v>370</v>
      </c>
      <c r="AB367" s="18" t="s">
        <v>364</v>
      </c>
      <c r="AC367" s="20" t="s">
        <v>365</v>
      </c>
      <c r="AD367" s="18" t="s">
        <v>464</v>
      </c>
    </row>
    <row r="368" spans="1:30">
      <c r="A368" s="52">
        <v>190068</v>
      </c>
      <c r="B368" s="52">
        <v>161383</v>
      </c>
      <c r="C368" s="52" t="s">
        <v>216</v>
      </c>
      <c r="D368" s="53" t="s">
        <v>217</v>
      </c>
      <c r="E368" s="53" t="s">
        <v>459</v>
      </c>
      <c r="F368" s="55" t="s">
        <v>196</v>
      </c>
      <c r="G368" t="s">
        <v>357</v>
      </c>
      <c r="H368" s="55" t="s">
        <v>194</v>
      </c>
      <c r="I368" s="55" t="s">
        <v>215</v>
      </c>
      <c r="J368" s="56">
        <v>46057</v>
      </c>
      <c r="K368" s="100" t="s">
        <v>15</v>
      </c>
      <c r="L368" s="54">
        <v>55</v>
      </c>
      <c r="M368" s="55" t="s">
        <v>358</v>
      </c>
      <c r="N368" s="52">
        <v>190068</v>
      </c>
      <c r="O368" s="52"/>
      <c r="P368" s="52" t="s">
        <v>468</v>
      </c>
      <c r="Q368" s="54">
        <v>670</v>
      </c>
      <c r="R368" s="54">
        <v>55</v>
      </c>
      <c r="S368" s="54" t="s">
        <v>163</v>
      </c>
      <c r="T368" s="54">
        <v>674</v>
      </c>
      <c r="U368" s="54" t="s">
        <v>360</v>
      </c>
      <c r="V368" s="54" t="s">
        <v>361</v>
      </c>
      <c r="W368" s="52" t="s">
        <v>362</v>
      </c>
      <c r="X368" s="52">
        <v>190068</v>
      </c>
      <c r="Y368" s="54" t="s">
        <v>425</v>
      </c>
      <c r="Z368" s="54">
        <v>69</v>
      </c>
      <c r="AA368" s="52" t="s">
        <v>468</v>
      </c>
      <c r="AB368" s="52" t="s">
        <v>364</v>
      </c>
      <c r="AC368" s="54" t="s">
        <v>365</v>
      </c>
      <c r="AD368" s="52" t="s">
        <v>438</v>
      </c>
    </row>
    <row r="369" spans="1:30">
      <c r="A369" s="52">
        <v>190067</v>
      </c>
      <c r="B369" s="52">
        <v>161383</v>
      </c>
      <c r="C369" s="52" t="s">
        <v>216</v>
      </c>
      <c r="D369" s="53" t="s">
        <v>217</v>
      </c>
      <c r="E369" s="53" t="s">
        <v>459</v>
      </c>
      <c r="F369" s="55" t="s">
        <v>193</v>
      </c>
      <c r="G369" t="s">
        <v>357</v>
      </c>
      <c r="H369" s="55" t="s">
        <v>194</v>
      </c>
      <c r="I369" s="55" t="s">
        <v>215</v>
      </c>
      <c r="J369" s="56">
        <v>46057</v>
      </c>
      <c r="K369" s="100" t="s">
        <v>15</v>
      </c>
      <c r="L369" s="54">
        <v>55</v>
      </c>
      <c r="M369" s="55" t="s">
        <v>358</v>
      </c>
      <c r="N369" s="52">
        <v>190067</v>
      </c>
      <c r="O369" s="52"/>
      <c r="P369" s="52" t="s">
        <v>468</v>
      </c>
      <c r="Q369" s="54">
        <v>670</v>
      </c>
      <c r="R369" s="54">
        <v>55</v>
      </c>
      <c r="S369" s="54" t="s">
        <v>163</v>
      </c>
      <c r="T369" s="54">
        <v>674</v>
      </c>
      <c r="U369" s="54" t="s">
        <v>360</v>
      </c>
      <c r="V369" s="54" t="s">
        <v>361</v>
      </c>
      <c r="W369" s="52" t="s">
        <v>362</v>
      </c>
      <c r="X369" s="52">
        <v>190067</v>
      </c>
      <c r="Y369" s="54" t="s">
        <v>425</v>
      </c>
      <c r="Z369" s="54">
        <v>69</v>
      </c>
      <c r="AA369" s="52" t="s">
        <v>468</v>
      </c>
      <c r="AB369" s="52" t="s">
        <v>364</v>
      </c>
      <c r="AC369" s="54" t="s">
        <v>365</v>
      </c>
      <c r="AD369" s="52" t="s">
        <v>438</v>
      </c>
    </row>
    <row r="370" spans="1:30">
      <c r="A370" s="52">
        <v>190069</v>
      </c>
      <c r="B370" s="52">
        <v>161384</v>
      </c>
      <c r="C370" s="52" t="s">
        <v>216</v>
      </c>
      <c r="D370" s="53" t="s">
        <v>217</v>
      </c>
      <c r="E370" s="53" t="s">
        <v>469</v>
      </c>
      <c r="F370" s="55" t="s">
        <v>196</v>
      </c>
      <c r="G370" t="s">
        <v>357</v>
      </c>
      <c r="H370" s="55" t="s">
        <v>194</v>
      </c>
      <c r="I370" s="55" t="s">
        <v>215</v>
      </c>
      <c r="J370" s="56">
        <v>46057</v>
      </c>
      <c r="K370" s="100" t="s">
        <v>15</v>
      </c>
      <c r="L370" s="54">
        <v>53</v>
      </c>
      <c r="M370" s="55" t="s">
        <v>358</v>
      </c>
      <c r="N370" s="52">
        <v>190069</v>
      </c>
      <c r="O370" s="52"/>
      <c r="P370" s="52" t="s">
        <v>470</v>
      </c>
      <c r="Q370" s="54">
        <v>670</v>
      </c>
      <c r="R370" s="54">
        <v>53</v>
      </c>
      <c r="S370" s="54" t="s">
        <v>163</v>
      </c>
      <c r="T370" s="54">
        <v>674</v>
      </c>
      <c r="U370" s="54" t="s">
        <v>360</v>
      </c>
      <c r="V370" s="54" t="s">
        <v>361</v>
      </c>
      <c r="W370" s="52" t="s">
        <v>362</v>
      </c>
      <c r="X370" s="52">
        <v>190069</v>
      </c>
      <c r="Y370" s="54" t="s">
        <v>425</v>
      </c>
      <c r="Z370" s="54">
        <v>69</v>
      </c>
      <c r="AA370" s="52" t="s">
        <v>470</v>
      </c>
      <c r="AB370" s="52" t="s">
        <v>364</v>
      </c>
      <c r="AC370" s="54" t="s">
        <v>365</v>
      </c>
      <c r="AD370" s="52" t="s">
        <v>438</v>
      </c>
    </row>
    <row r="371" spans="1:30">
      <c r="A371" s="52">
        <v>190070</v>
      </c>
      <c r="B371" s="52">
        <v>161384</v>
      </c>
      <c r="C371" s="52" t="s">
        <v>216</v>
      </c>
      <c r="D371" s="53" t="s">
        <v>217</v>
      </c>
      <c r="E371" s="53" t="s">
        <v>469</v>
      </c>
      <c r="F371" s="55" t="s">
        <v>193</v>
      </c>
      <c r="G371" t="s">
        <v>357</v>
      </c>
      <c r="H371" s="55" t="s">
        <v>194</v>
      </c>
      <c r="I371" s="55" t="s">
        <v>215</v>
      </c>
      <c r="J371" s="56">
        <v>46057</v>
      </c>
      <c r="K371" s="100" t="s">
        <v>15</v>
      </c>
      <c r="L371" s="54">
        <v>53</v>
      </c>
      <c r="M371" s="55" t="s">
        <v>358</v>
      </c>
      <c r="N371" s="52">
        <v>190070</v>
      </c>
      <c r="O371" s="52"/>
      <c r="P371" s="52" t="s">
        <v>470</v>
      </c>
      <c r="Q371" s="54">
        <v>670</v>
      </c>
      <c r="R371" s="54">
        <v>53</v>
      </c>
      <c r="S371" s="54" t="s">
        <v>163</v>
      </c>
      <c r="T371" s="54">
        <v>674</v>
      </c>
      <c r="U371" s="54" t="s">
        <v>360</v>
      </c>
      <c r="V371" s="54" t="s">
        <v>361</v>
      </c>
      <c r="W371" s="52" t="s">
        <v>362</v>
      </c>
      <c r="X371" s="52">
        <v>190070</v>
      </c>
      <c r="Y371" s="54" t="s">
        <v>425</v>
      </c>
      <c r="Z371" s="54">
        <v>69</v>
      </c>
      <c r="AA371" s="52" t="s">
        <v>470</v>
      </c>
      <c r="AB371" s="52" t="s">
        <v>364</v>
      </c>
      <c r="AC371" s="54" t="s">
        <v>365</v>
      </c>
      <c r="AD371" s="52" t="s">
        <v>438</v>
      </c>
    </row>
    <row r="372" spans="1:30">
      <c r="A372" s="52">
        <v>190071</v>
      </c>
      <c r="B372" s="52">
        <v>161385</v>
      </c>
      <c r="C372" s="52" t="s">
        <v>216</v>
      </c>
      <c r="D372" s="53" t="s">
        <v>217</v>
      </c>
      <c r="E372" s="53" t="s">
        <v>471</v>
      </c>
      <c r="F372" s="55" t="s">
        <v>193</v>
      </c>
      <c r="G372" t="s">
        <v>357</v>
      </c>
      <c r="H372" s="55" t="s">
        <v>194</v>
      </c>
      <c r="I372" s="55" t="s">
        <v>215</v>
      </c>
      <c r="J372" s="56">
        <v>46057</v>
      </c>
      <c r="K372" s="100" t="s">
        <v>15</v>
      </c>
      <c r="L372" s="54">
        <v>54</v>
      </c>
      <c r="M372" s="55" t="s">
        <v>358</v>
      </c>
      <c r="N372" s="52">
        <v>190071</v>
      </c>
      <c r="O372" s="52"/>
      <c r="P372" s="52" t="s">
        <v>472</v>
      </c>
      <c r="Q372" s="54">
        <v>670</v>
      </c>
      <c r="R372" s="54">
        <v>54</v>
      </c>
      <c r="S372" s="54" t="s">
        <v>163</v>
      </c>
      <c r="T372" s="54">
        <v>674</v>
      </c>
      <c r="U372" s="54" t="s">
        <v>360</v>
      </c>
      <c r="V372" s="54" t="s">
        <v>361</v>
      </c>
      <c r="W372" s="52" t="s">
        <v>362</v>
      </c>
      <c r="X372" s="52">
        <v>190071</v>
      </c>
      <c r="Y372" s="54" t="s">
        <v>363</v>
      </c>
      <c r="Z372" s="54">
        <v>69</v>
      </c>
      <c r="AA372" s="52" t="s">
        <v>472</v>
      </c>
      <c r="AB372" s="52" t="s">
        <v>364</v>
      </c>
      <c r="AC372" s="54" t="s">
        <v>365</v>
      </c>
      <c r="AD372" s="52" t="s">
        <v>438</v>
      </c>
    </row>
    <row r="373" spans="1:30">
      <c r="A373" s="52">
        <v>190072</v>
      </c>
      <c r="B373" s="52">
        <v>161385</v>
      </c>
      <c r="C373" s="52" t="s">
        <v>216</v>
      </c>
      <c r="D373" s="53" t="s">
        <v>217</v>
      </c>
      <c r="E373" s="53" t="s">
        <v>471</v>
      </c>
      <c r="F373" s="55" t="s">
        <v>196</v>
      </c>
      <c r="G373" t="s">
        <v>357</v>
      </c>
      <c r="H373" s="55" t="s">
        <v>194</v>
      </c>
      <c r="I373" s="55" t="s">
        <v>215</v>
      </c>
      <c r="J373" s="56">
        <v>46057</v>
      </c>
      <c r="K373" s="100" t="s">
        <v>15</v>
      </c>
      <c r="L373" s="54">
        <v>53</v>
      </c>
      <c r="M373" s="55" t="s">
        <v>358</v>
      </c>
      <c r="N373" s="52">
        <v>190072</v>
      </c>
      <c r="O373" s="52"/>
      <c r="P373" s="52" t="s">
        <v>472</v>
      </c>
      <c r="Q373" s="54">
        <v>670</v>
      </c>
      <c r="R373" s="54">
        <v>53</v>
      </c>
      <c r="S373" s="54" t="s">
        <v>163</v>
      </c>
      <c r="T373" s="54">
        <v>674</v>
      </c>
      <c r="U373" s="54" t="s">
        <v>360</v>
      </c>
      <c r="V373" s="54" t="s">
        <v>361</v>
      </c>
      <c r="W373" s="52" t="s">
        <v>362</v>
      </c>
      <c r="X373" s="52">
        <v>190072</v>
      </c>
      <c r="Y373" s="54" t="s">
        <v>363</v>
      </c>
      <c r="Z373" s="54">
        <v>69</v>
      </c>
      <c r="AA373" s="52" t="s">
        <v>472</v>
      </c>
      <c r="AB373" s="52" t="s">
        <v>364</v>
      </c>
      <c r="AC373" s="54" t="s">
        <v>365</v>
      </c>
      <c r="AD373" s="52" t="s">
        <v>438</v>
      </c>
    </row>
    <row r="374" spans="1:30">
      <c r="A374" s="18">
        <v>190250</v>
      </c>
      <c r="B374" s="18">
        <v>161386</v>
      </c>
      <c r="C374" s="18" t="s">
        <v>63</v>
      </c>
      <c r="D374" s="19" t="s">
        <v>473</v>
      </c>
      <c r="E374" s="19" t="s">
        <v>474</v>
      </c>
      <c r="F374" s="21" t="s">
        <v>169</v>
      </c>
      <c r="G374" t="s">
        <v>357</v>
      </c>
      <c r="H374" s="21" t="s">
        <v>228</v>
      </c>
      <c r="I374" s="21" t="s">
        <v>417</v>
      </c>
      <c r="J374" s="22">
        <v>46046</v>
      </c>
      <c r="K374" s="21" t="s">
        <v>475</v>
      </c>
      <c r="L374" s="20">
        <v>40</v>
      </c>
      <c r="M374" s="21" t="s">
        <v>358</v>
      </c>
      <c r="N374" s="18">
        <v>190250</v>
      </c>
      <c r="O374" s="18"/>
      <c r="P374" s="18" t="s">
        <v>476</v>
      </c>
      <c r="Q374" s="20">
        <v>670</v>
      </c>
      <c r="R374" s="20">
        <v>40</v>
      </c>
      <c r="S374" s="20" t="s">
        <v>163</v>
      </c>
      <c r="T374" s="20">
        <v>674</v>
      </c>
      <c r="U374" s="20" t="s">
        <v>360</v>
      </c>
      <c r="V374" s="20" t="s">
        <v>361</v>
      </c>
      <c r="W374" s="18" t="s">
        <v>362</v>
      </c>
      <c r="X374" s="18">
        <v>190250</v>
      </c>
      <c r="Y374" s="20" t="s">
        <v>477</v>
      </c>
      <c r="Z374" s="20">
        <v>69</v>
      </c>
      <c r="AA374" s="18" t="s">
        <v>476</v>
      </c>
      <c r="AB374" s="18" t="s">
        <v>364</v>
      </c>
      <c r="AC374" s="20" t="s">
        <v>365</v>
      </c>
      <c r="AD374" s="18" t="s">
        <v>438</v>
      </c>
    </row>
    <row r="375" spans="1:30">
      <c r="A375" s="18">
        <v>190251</v>
      </c>
      <c r="B375" s="18">
        <v>161387</v>
      </c>
      <c r="C375" s="18" t="s">
        <v>63</v>
      </c>
      <c r="D375" s="19" t="s">
        <v>473</v>
      </c>
      <c r="E375" s="19" t="s">
        <v>460</v>
      </c>
      <c r="F375" s="21" t="s">
        <v>169</v>
      </c>
      <c r="G375" t="s">
        <v>357</v>
      </c>
      <c r="H375" s="21" t="s">
        <v>228</v>
      </c>
      <c r="I375" s="21" t="s">
        <v>417</v>
      </c>
      <c r="J375" s="22">
        <v>46046</v>
      </c>
      <c r="K375" s="21" t="s">
        <v>475</v>
      </c>
      <c r="L375" s="20">
        <v>40</v>
      </c>
      <c r="M375" s="21" t="s">
        <v>358</v>
      </c>
      <c r="N375" s="18">
        <v>190251</v>
      </c>
      <c r="O375" s="18"/>
      <c r="P375" s="18" t="s">
        <v>398</v>
      </c>
      <c r="Q375" s="20">
        <v>670</v>
      </c>
      <c r="R375" s="20">
        <v>40</v>
      </c>
      <c r="S375" s="20" t="s">
        <v>163</v>
      </c>
      <c r="T375" s="20">
        <v>674</v>
      </c>
      <c r="U375" s="20" t="s">
        <v>360</v>
      </c>
      <c r="V375" s="20" t="s">
        <v>361</v>
      </c>
      <c r="W375" s="18" t="s">
        <v>362</v>
      </c>
      <c r="X375" s="18">
        <v>190251</v>
      </c>
      <c r="Y375" s="20" t="s">
        <v>477</v>
      </c>
      <c r="Z375" s="20">
        <v>69</v>
      </c>
      <c r="AA375" s="18" t="s">
        <v>398</v>
      </c>
      <c r="AB375" s="18" t="s">
        <v>364</v>
      </c>
      <c r="AC375" s="20" t="s">
        <v>365</v>
      </c>
      <c r="AD375" s="18" t="s">
        <v>438</v>
      </c>
    </row>
    <row r="376" spans="1:30">
      <c r="A376" s="18">
        <v>190252</v>
      </c>
      <c r="B376" s="18">
        <v>161388</v>
      </c>
      <c r="C376" s="18" t="s">
        <v>63</v>
      </c>
      <c r="D376" s="19" t="s">
        <v>473</v>
      </c>
      <c r="E376" s="19" t="s">
        <v>478</v>
      </c>
      <c r="F376" s="21" t="s">
        <v>169</v>
      </c>
      <c r="G376" t="s">
        <v>357</v>
      </c>
      <c r="H376" s="21" t="s">
        <v>228</v>
      </c>
      <c r="I376" s="21" t="s">
        <v>417</v>
      </c>
      <c r="J376" s="22">
        <v>46046</v>
      </c>
      <c r="K376" s="21" t="s">
        <v>475</v>
      </c>
      <c r="L376" s="20">
        <v>39</v>
      </c>
      <c r="M376" s="21" t="s">
        <v>358</v>
      </c>
      <c r="N376" s="18">
        <v>190252</v>
      </c>
      <c r="O376" s="18"/>
      <c r="P376" s="18" t="s">
        <v>479</v>
      </c>
      <c r="Q376" s="20">
        <v>670</v>
      </c>
      <c r="R376" s="20">
        <v>39</v>
      </c>
      <c r="S376" s="20" t="s">
        <v>163</v>
      </c>
      <c r="T376" s="20">
        <v>674</v>
      </c>
      <c r="U376" s="20" t="s">
        <v>360</v>
      </c>
      <c r="V376" s="20" t="s">
        <v>361</v>
      </c>
      <c r="W376" s="18" t="s">
        <v>362</v>
      </c>
      <c r="X376" s="18">
        <v>190252</v>
      </c>
      <c r="Y376" s="20" t="s">
        <v>480</v>
      </c>
      <c r="Z376" s="20">
        <v>69</v>
      </c>
      <c r="AA376" s="18" t="s">
        <v>479</v>
      </c>
      <c r="AB376" s="18" t="s">
        <v>364</v>
      </c>
      <c r="AC376" s="20" t="s">
        <v>365</v>
      </c>
      <c r="AD376" s="18" t="s">
        <v>438</v>
      </c>
    </row>
    <row r="377" spans="1:30">
      <c r="A377" s="18">
        <v>190253</v>
      </c>
      <c r="B377" s="18">
        <v>161389</v>
      </c>
      <c r="C377" s="18" t="s">
        <v>63</v>
      </c>
      <c r="D377" s="19" t="s">
        <v>473</v>
      </c>
      <c r="E377" s="19" t="s">
        <v>481</v>
      </c>
      <c r="F377" s="21" t="s">
        <v>169</v>
      </c>
      <c r="G377" t="s">
        <v>357</v>
      </c>
      <c r="H377" s="21" t="s">
        <v>228</v>
      </c>
      <c r="I377" s="21" t="s">
        <v>417</v>
      </c>
      <c r="J377" s="22">
        <v>46046</v>
      </c>
      <c r="K377" s="21" t="s">
        <v>475</v>
      </c>
      <c r="L377" s="20">
        <v>40</v>
      </c>
      <c r="M377" s="21" t="s">
        <v>358</v>
      </c>
      <c r="N377" s="18">
        <v>190253</v>
      </c>
      <c r="O377" s="18"/>
      <c r="P377" s="18" t="s">
        <v>482</v>
      </c>
      <c r="Q377" s="20">
        <v>670</v>
      </c>
      <c r="R377" s="20">
        <v>40</v>
      </c>
      <c r="S377" s="20" t="s">
        <v>163</v>
      </c>
      <c r="T377" s="20">
        <v>674</v>
      </c>
      <c r="U377" s="20" t="s">
        <v>360</v>
      </c>
      <c r="V377" s="20" t="s">
        <v>361</v>
      </c>
      <c r="W377" s="18" t="s">
        <v>362</v>
      </c>
      <c r="X377" s="18">
        <v>190253</v>
      </c>
      <c r="Y377" s="20" t="s">
        <v>483</v>
      </c>
      <c r="Z377" s="20">
        <v>69</v>
      </c>
      <c r="AA377" s="18" t="s">
        <v>482</v>
      </c>
      <c r="AB377" s="18" t="s">
        <v>364</v>
      </c>
      <c r="AC377" s="20" t="s">
        <v>365</v>
      </c>
      <c r="AD377" s="18" t="s">
        <v>438</v>
      </c>
    </row>
    <row r="378" spans="1:30">
      <c r="A378" s="18">
        <v>190254</v>
      </c>
      <c r="B378" s="18">
        <v>161390</v>
      </c>
      <c r="C378" s="18" t="s">
        <v>63</v>
      </c>
      <c r="D378" s="19" t="s">
        <v>473</v>
      </c>
      <c r="E378" s="19" t="s">
        <v>484</v>
      </c>
      <c r="F378" s="21" t="s">
        <v>169</v>
      </c>
      <c r="G378" t="s">
        <v>357</v>
      </c>
      <c r="H378" s="21" t="s">
        <v>228</v>
      </c>
      <c r="I378" s="21" t="s">
        <v>417</v>
      </c>
      <c r="J378" s="22">
        <v>46046</v>
      </c>
      <c r="K378" s="21" t="s">
        <v>475</v>
      </c>
      <c r="L378" s="20">
        <v>40</v>
      </c>
      <c r="M378" s="21" t="s">
        <v>358</v>
      </c>
      <c r="N378" s="18">
        <v>190254</v>
      </c>
      <c r="O378" s="18"/>
      <c r="P378" s="18" t="s">
        <v>485</v>
      </c>
      <c r="Q378" s="20">
        <v>670</v>
      </c>
      <c r="R378" s="20">
        <v>40</v>
      </c>
      <c r="S378" s="20" t="s">
        <v>163</v>
      </c>
      <c r="T378" s="20">
        <v>674</v>
      </c>
      <c r="U378" s="20" t="s">
        <v>360</v>
      </c>
      <c r="V378" s="20" t="s">
        <v>361</v>
      </c>
      <c r="W378" s="18" t="s">
        <v>362</v>
      </c>
      <c r="X378" s="18">
        <v>190254</v>
      </c>
      <c r="Y378" s="20" t="s">
        <v>25</v>
      </c>
      <c r="Z378" s="20">
        <v>69</v>
      </c>
      <c r="AA378" s="18" t="s">
        <v>485</v>
      </c>
      <c r="AB378" s="18" t="s">
        <v>364</v>
      </c>
      <c r="AC378" s="20" t="s">
        <v>365</v>
      </c>
      <c r="AD378" s="18" t="s">
        <v>438</v>
      </c>
    </row>
    <row r="379" spans="1:30">
      <c r="A379" s="18">
        <v>190255</v>
      </c>
      <c r="B379" s="18">
        <v>161391</v>
      </c>
      <c r="C379" s="18" t="s">
        <v>63</v>
      </c>
      <c r="D379" s="19" t="s">
        <v>473</v>
      </c>
      <c r="E379" s="19" t="s">
        <v>486</v>
      </c>
      <c r="F379" s="21" t="s">
        <v>169</v>
      </c>
      <c r="G379" t="s">
        <v>357</v>
      </c>
      <c r="H379" s="21" t="s">
        <v>228</v>
      </c>
      <c r="I379" s="21" t="s">
        <v>417</v>
      </c>
      <c r="J379" s="22">
        <v>46046</v>
      </c>
      <c r="K379" s="21" t="s">
        <v>475</v>
      </c>
      <c r="L379" s="20">
        <v>40</v>
      </c>
      <c r="M379" s="21" t="s">
        <v>358</v>
      </c>
      <c r="N379" s="18">
        <v>190255</v>
      </c>
      <c r="O379" s="18"/>
      <c r="P379" s="18" t="s">
        <v>487</v>
      </c>
      <c r="Q379" s="20">
        <v>670</v>
      </c>
      <c r="R379" s="20">
        <v>40</v>
      </c>
      <c r="S379" s="20" t="s">
        <v>163</v>
      </c>
      <c r="T379" s="20">
        <v>674</v>
      </c>
      <c r="U379" s="20" t="s">
        <v>360</v>
      </c>
      <c r="V379" s="20" t="s">
        <v>361</v>
      </c>
      <c r="W379" s="18" t="s">
        <v>362</v>
      </c>
      <c r="X379" s="18">
        <v>190255</v>
      </c>
      <c r="Y379" s="20" t="s">
        <v>23</v>
      </c>
      <c r="Z379" s="20">
        <v>69</v>
      </c>
      <c r="AA379" s="18" t="s">
        <v>487</v>
      </c>
      <c r="AB379" s="18" t="s">
        <v>364</v>
      </c>
      <c r="AC379" s="20" t="s">
        <v>365</v>
      </c>
      <c r="AD379" s="18" t="s">
        <v>438</v>
      </c>
    </row>
    <row r="380" spans="1:30">
      <c r="A380" s="18">
        <v>190256</v>
      </c>
      <c r="B380" s="18">
        <v>161392</v>
      </c>
      <c r="C380" s="18" t="s">
        <v>63</v>
      </c>
      <c r="D380" s="19" t="s">
        <v>473</v>
      </c>
      <c r="E380" s="19" t="s">
        <v>488</v>
      </c>
      <c r="F380" s="21" t="s">
        <v>169</v>
      </c>
      <c r="G380" t="s">
        <v>357</v>
      </c>
      <c r="H380" s="21" t="s">
        <v>228</v>
      </c>
      <c r="I380" s="21" t="s">
        <v>417</v>
      </c>
      <c r="J380" s="22">
        <v>46046</v>
      </c>
      <c r="K380" s="21" t="s">
        <v>475</v>
      </c>
      <c r="L380" s="20">
        <v>40</v>
      </c>
      <c r="M380" s="21" t="s">
        <v>358</v>
      </c>
      <c r="N380" s="18">
        <v>190256</v>
      </c>
      <c r="O380" s="18"/>
      <c r="P380" s="18" t="s">
        <v>489</v>
      </c>
      <c r="Q380" s="20">
        <v>670</v>
      </c>
      <c r="R380" s="20">
        <v>40</v>
      </c>
      <c r="S380" s="20" t="s">
        <v>163</v>
      </c>
      <c r="T380" s="20">
        <v>674</v>
      </c>
      <c r="U380" s="20" t="s">
        <v>360</v>
      </c>
      <c r="V380" s="20" t="s">
        <v>361</v>
      </c>
      <c r="W380" s="18" t="s">
        <v>362</v>
      </c>
      <c r="X380" s="18">
        <v>190256</v>
      </c>
      <c r="Y380" s="20" t="s">
        <v>23</v>
      </c>
      <c r="Z380" s="20">
        <v>69</v>
      </c>
      <c r="AA380" s="18" t="s">
        <v>489</v>
      </c>
      <c r="AB380" s="18" t="s">
        <v>364</v>
      </c>
      <c r="AC380" s="20" t="s">
        <v>365</v>
      </c>
      <c r="AD380" s="18" t="s">
        <v>438</v>
      </c>
    </row>
    <row r="381" spans="1:30">
      <c r="A381" s="18">
        <v>190257</v>
      </c>
      <c r="B381" s="18">
        <v>161393</v>
      </c>
      <c r="C381" s="18" t="s">
        <v>63</v>
      </c>
      <c r="D381" s="19" t="s">
        <v>473</v>
      </c>
      <c r="E381" s="19" t="s">
        <v>490</v>
      </c>
      <c r="F381" s="21" t="s">
        <v>169</v>
      </c>
      <c r="G381" t="s">
        <v>357</v>
      </c>
      <c r="H381" s="21" t="s">
        <v>228</v>
      </c>
      <c r="I381" s="21" t="s">
        <v>417</v>
      </c>
      <c r="J381" s="22">
        <v>46046</v>
      </c>
      <c r="K381" s="21" t="s">
        <v>475</v>
      </c>
      <c r="L381" s="20">
        <v>40</v>
      </c>
      <c r="M381" s="21" t="s">
        <v>358</v>
      </c>
      <c r="N381" s="18">
        <v>190257</v>
      </c>
      <c r="O381" s="18"/>
      <c r="P381" s="18" t="s">
        <v>491</v>
      </c>
      <c r="Q381" s="20">
        <v>670</v>
      </c>
      <c r="R381" s="20">
        <v>40</v>
      </c>
      <c r="S381" s="20" t="s">
        <v>163</v>
      </c>
      <c r="T381" s="20">
        <v>674</v>
      </c>
      <c r="U381" s="20" t="s">
        <v>360</v>
      </c>
      <c r="V381" s="20" t="s">
        <v>361</v>
      </c>
      <c r="W381" s="18" t="s">
        <v>362</v>
      </c>
      <c r="X381" s="18">
        <v>190257</v>
      </c>
      <c r="Y381" s="20" t="s">
        <v>26</v>
      </c>
      <c r="Z381" s="20">
        <v>69</v>
      </c>
      <c r="AA381" s="18" t="s">
        <v>491</v>
      </c>
      <c r="AB381" s="18" t="s">
        <v>364</v>
      </c>
      <c r="AC381" s="20" t="s">
        <v>365</v>
      </c>
      <c r="AD381" s="18" t="s">
        <v>438</v>
      </c>
    </row>
    <row r="382" spans="1:30">
      <c r="A382" s="18">
        <v>190258</v>
      </c>
      <c r="B382" s="18">
        <v>161394</v>
      </c>
      <c r="C382" s="18" t="s">
        <v>63</v>
      </c>
      <c r="D382" s="19" t="s">
        <v>473</v>
      </c>
      <c r="E382" s="19" t="s">
        <v>492</v>
      </c>
      <c r="F382" s="21" t="s">
        <v>169</v>
      </c>
      <c r="G382" t="s">
        <v>357</v>
      </c>
      <c r="H382" s="21" t="s">
        <v>228</v>
      </c>
      <c r="I382" s="21" t="s">
        <v>417</v>
      </c>
      <c r="J382" s="22">
        <v>46046</v>
      </c>
      <c r="K382" s="21" t="s">
        <v>475</v>
      </c>
      <c r="L382" s="20">
        <v>40</v>
      </c>
      <c r="M382" s="21" t="s">
        <v>358</v>
      </c>
      <c r="N382" s="18">
        <v>190258</v>
      </c>
      <c r="O382" s="18"/>
      <c r="P382" s="18" t="s">
        <v>464</v>
      </c>
      <c r="Q382" s="20">
        <v>670</v>
      </c>
      <c r="R382" s="20">
        <v>40</v>
      </c>
      <c r="S382" s="20" t="s">
        <v>163</v>
      </c>
      <c r="T382" s="20">
        <v>674</v>
      </c>
      <c r="U382" s="20" t="s">
        <v>360</v>
      </c>
      <c r="V382" s="20" t="s">
        <v>361</v>
      </c>
      <c r="W382" s="18" t="s">
        <v>362</v>
      </c>
      <c r="X382" s="18">
        <v>190258</v>
      </c>
      <c r="Y382" s="20" t="s">
        <v>480</v>
      </c>
      <c r="Z382" s="20">
        <v>69</v>
      </c>
      <c r="AA382" s="18" t="s">
        <v>464</v>
      </c>
      <c r="AB382" s="18" t="s">
        <v>364</v>
      </c>
      <c r="AC382" s="20" t="s">
        <v>365</v>
      </c>
      <c r="AD382" s="18" t="s">
        <v>438</v>
      </c>
    </row>
    <row r="383" spans="1:30">
      <c r="A383" s="18">
        <v>190259</v>
      </c>
      <c r="B383" s="18">
        <v>161395</v>
      </c>
      <c r="C383" s="18" t="s">
        <v>63</v>
      </c>
      <c r="D383" s="19" t="s">
        <v>473</v>
      </c>
      <c r="E383" s="19" t="s">
        <v>493</v>
      </c>
      <c r="F383" s="21" t="s">
        <v>169</v>
      </c>
      <c r="G383" t="s">
        <v>357</v>
      </c>
      <c r="H383" s="21" t="s">
        <v>228</v>
      </c>
      <c r="I383" s="21" t="s">
        <v>417</v>
      </c>
      <c r="J383" s="22">
        <v>46046</v>
      </c>
      <c r="K383" s="21" t="s">
        <v>475</v>
      </c>
      <c r="L383" s="20">
        <v>40</v>
      </c>
      <c r="M383" s="21" t="s">
        <v>358</v>
      </c>
      <c r="N383" s="18">
        <v>190259</v>
      </c>
      <c r="O383" s="18"/>
      <c r="P383" s="18" t="s">
        <v>482</v>
      </c>
      <c r="Q383" s="20">
        <v>670</v>
      </c>
      <c r="R383" s="20">
        <v>40</v>
      </c>
      <c r="S383" s="20" t="s">
        <v>163</v>
      </c>
      <c r="T383" s="20">
        <v>674</v>
      </c>
      <c r="U383" s="20" t="s">
        <v>360</v>
      </c>
      <c r="V383" s="20" t="s">
        <v>361</v>
      </c>
      <c r="W383" s="18" t="s">
        <v>362</v>
      </c>
      <c r="X383" s="18">
        <v>190259</v>
      </c>
      <c r="Y383" s="20" t="s">
        <v>25</v>
      </c>
      <c r="Z383" s="20">
        <v>69</v>
      </c>
      <c r="AA383" s="18" t="s">
        <v>482</v>
      </c>
      <c r="AB383" s="18" t="s">
        <v>364</v>
      </c>
      <c r="AC383" s="20" t="s">
        <v>365</v>
      </c>
      <c r="AD383" s="18" t="s">
        <v>438</v>
      </c>
    </row>
    <row r="384" spans="1:30">
      <c r="A384" s="18">
        <v>190089</v>
      </c>
      <c r="B384" s="18">
        <v>161411</v>
      </c>
      <c r="C384" s="18" t="s">
        <v>494</v>
      </c>
      <c r="D384" s="19" t="s">
        <v>495</v>
      </c>
      <c r="E384" s="19" t="s">
        <v>496</v>
      </c>
      <c r="F384" s="21" t="s">
        <v>196</v>
      </c>
      <c r="G384" t="s">
        <v>357</v>
      </c>
      <c r="H384" s="21" t="s">
        <v>194</v>
      </c>
      <c r="I384" s="21" t="s">
        <v>283</v>
      </c>
      <c r="J384" s="22">
        <v>46058</v>
      </c>
      <c r="K384" s="21" t="s">
        <v>12</v>
      </c>
      <c r="L384" s="20">
        <v>43</v>
      </c>
      <c r="M384" s="21" t="s">
        <v>358</v>
      </c>
      <c r="N384" s="18">
        <v>190089</v>
      </c>
      <c r="O384" s="18"/>
      <c r="P384" s="18" t="s">
        <v>437</v>
      </c>
      <c r="Q384" s="20">
        <v>670</v>
      </c>
      <c r="R384" s="20">
        <v>43</v>
      </c>
      <c r="S384" s="20" t="s">
        <v>163</v>
      </c>
      <c r="T384" s="20">
        <v>674</v>
      </c>
      <c r="U384" s="20" t="s">
        <v>360</v>
      </c>
      <c r="V384" s="20" t="s">
        <v>361</v>
      </c>
      <c r="W384" s="18" t="s">
        <v>362</v>
      </c>
      <c r="X384" s="18">
        <v>190089</v>
      </c>
      <c r="Y384" s="20" t="s">
        <v>406</v>
      </c>
      <c r="Z384" s="20">
        <v>69</v>
      </c>
      <c r="AA384" s="18" t="s">
        <v>437</v>
      </c>
      <c r="AB384" s="18" t="s">
        <v>364</v>
      </c>
      <c r="AC384" s="20" t="s">
        <v>365</v>
      </c>
      <c r="AD384" s="18" t="s">
        <v>437</v>
      </c>
    </row>
    <row r="385" spans="1:30">
      <c r="A385" s="18">
        <v>190090</v>
      </c>
      <c r="B385" s="18">
        <v>161411</v>
      </c>
      <c r="C385" s="18" t="s">
        <v>494</v>
      </c>
      <c r="D385" s="19" t="s">
        <v>495</v>
      </c>
      <c r="E385" s="19" t="s">
        <v>496</v>
      </c>
      <c r="F385" s="21" t="s">
        <v>193</v>
      </c>
      <c r="G385" t="s">
        <v>357</v>
      </c>
      <c r="H385" s="21" t="s">
        <v>194</v>
      </c>
      <c r="I385" s="21" t="s">
        <v>283</v>
      </c>
      <c r="J385" s="22">
        <v>46058</v>
      </c>
      <c r="K385" s="21" t="s">
        <v>12</v>
      </c>
      <c r="L385" s="20">
        <v>45</v>
      </c>
      <c r="M385" s="21" t="s">
        <v>358</v>
      </c>
      <c r="N385" s="18">
        <v>190090</v>
      </c>
      <c r="O385" s="18"/>
      <c r="P385" s="18" t="s">
        <v>437</v>
      </c>
      <c r="Q385" s="20">
        <v>670</v>
      </c>
      <c r="R385" s="20">
        <v>45</v>
      </c>
      <c r="S385" s="20" t="s">
        <v>163</v>
      </c>
      <c r="T385" s="20">
        <v>674</v>
      </c>
      <c r="U385" s="20" t="s">
        <v>360</v>
      </c>
      <c r="V385" s="20" t="s">
        <v>361</v>
      </c>
      <c r="W385" s="18" t="s">
        <v>362</v>
      </c>
      <c r="X385" s="18">
        <v>190090</v>
      </c>
      <c r="Y385" s="20" t="s">
        <v>406</v>
      </c>
      <c r="Z385" s="20">
        <v>69</v>
      </c>
      <c r="AA385" s="18" t="s">
        <v>437</v>
      </c>
      <c r="AB385" s="18" t="s">
        <v>364</v>
      </c>
      <c r="AC385" s="20" t="s">
        <v>365</v>
      </c>
      <c r="AD385" s="18" t="s">
        <v>437</v>
      </c>
    </row>
    <row r="386" spans="1:30">
      <c r="A386" s="18">
        <v>190091</v>
      </c>
      <c r="B386" s="18">
        <v>161412</v>
      </c>
      <c r="C386" s="18" t="s">
        <v>494</v>
      </c>
      <c r="D386" s="19" t="s">
        <v>495</v>
      </c>
      <c r="E386" s="19" t="s">
        <v>497</v>
      </c>
      <c r="F386" s="21" t="s">
        <v>193</v>
      </c>
      <c r="G386" t="s">
        <v>357</v>
      </c>
      <c r="H386" s="21" t="s">
        <v>194</v>
      </c>
      <c r="I386" s="21" t="s">
        <v>283</v>
      </c>
      <c r="J386" s="22">
        <v>46058</v>
      </c>
      <c r="K386" s="21" t="s">
        <v>12</v>
      </c>
      <c r="L386" s="20">
        <v>38</v>
      </c>
      <c r="M386" s="21" t="s">
        <v>358</v>
      </c>
      <c r="N386" s="18">
        <v>190091</v>
      </c>
      <c r="O386" s="18"/>
      <c r="P386" s="18" t="s">
        <v>438</v>
      </c>
      <c r="Q386" s="20">
        <v>670</v>
      </c>
      <c r="R386" s="20">
        <v>38</v>
      </c>
      <c r="S386" s="20" t="s">
        <v>163</v>
      </c>
      <c r="T386" s="20">
        <v>674</v>
      </c>
      <c r="U386" s="20" t="s">
        <v>360</v>
      </c>
      <c r="V386" s="20" t="s">
        <v>361</v>
      </c>
      <c r="W386" s="18" t="s">
        <v>362</v>
      </c>
      <c r="X386" s="18">
        <v>190091</v>
      </c>
      <c r="Y386" s="20" t="s">
        <v>498</v>
      </c>
      <c r="Z386" s="20">
        <v>69</v>
      </c>
      <c r="AA386" s="18" t="s">
        <v>438</v>
      </c>
      <c r="AB386" s="18" t="s">
        <v>364</v>
      </c>
      <c r="AC386" s="20" t="s">
        <v>365</v>
      </c>
      <c r="AD386" s="18" t="s">
        <v>437</v>
      </c>
    </row>
    <row r="387" spans="1:30">
      <c r="A387" s="18">
        <v>190092</v>
      </c>
      <c r="B387" s="18">
        <v>161412</v>
      </c>
      <c r="C387" s="18" t="s">
        <v>494</v>
      </c>
      <c r="D387" s="19" t="s">
        <v>495</v>
      </c>
      <c r="E387" s="19" t="s">
        <v>497</v>
      </c>
      <c r="F387" s="21" t="s">
        <v>196</v>
      </c>
      <c r="G387" t="s">
        <v>357</v>
      </c>
      <c r="H387" s="21" t="s">
        <v>194</v>
      </c>
      <c r="I387" s="21" t="s">
        <v>283</v>
      </c>
      <c r="J387" s="22">
        <v>46058</v>
      </c>
      <c r="K387" s="21" t="s">
        <v>12</v>
      </c>
      <c r="L387" s="20">
        <v>38</v>
      </c>
      <c r="M387" s="21" t="s">
        <v>358</v>
      </c>
      <c r="N387" s="18">
        <v>190092</v>
      </c>
      <c r="O387" s="18"/>
      <c r="P387" s="18" t="s">
        <v>438</v>
      </c>
      <c r="Q387" s="20">
        <v>670</v>
      </c>
      <c r="R387" s="20">
        <v>38</v>
      </c>
      <c r="S387" s="20" t="s">
        <v>163</v>
      </c>
      <c r="T387" s="20">
        <v>674</v>
      </c>
      <c r="U387" s="20" t="s">
        <v>360</v>
      </c>
      <c r="V387" s="20" t="s">
        <v>361</v>
      </c>
      <c r="W387" s="18" t="s">
        <v>362</v>
      </c>
      <c r="X387" s="18">
        <v>190092</v>
      </c>
      <c r="Y387" s="20" t="s">
        <v>498</v>
      </c>
      <c r="Z387" s="20">
        <v>69</v>
      </c>
      <c r="AA387" s="18" t="s">
        <v>438</v>
      </c>
      <c r="AB387" s="18" t="s">
        <v>364</v>
      </c>
      <c r="AC387" s="20" t="s">
        <v>365</v>
      </c>
      <c r="AD387" s="18" t="s">
        <v>437</v>
      </c>
    </row>
    <row r="388" spans="1:30">
      <c r="A388" s="18">
        <v>190220</v>
      </c>
      <c r="B388" s="18">
        <v>161413</v>
      </c>
      <c r="C388" s="18" t="s">
        <v>499</v>
      </c>
      <c r="D388" s="19" t="s">
        <v>500</v>
      </c>
      <c r="E388" s="19" t="s">
        <v>496</v>
      </c>
      <c r="F388" s="21" t="s">
        <v>196</v>
      </c>
      <c r="G388" t="s">
        <v>357</v>
      </c>
      <c r="H388" s="21" t="s">
        <v>164</v>
      </c>
      <c r="I388" s="21" t="s">
        <v>215</v>
      </c>
      <c r="J388" s="22">
        <v>46050</v>
      </c>
      <c r="K388" s="21" t="s">
        <v>14</v>
      </c>
      <c r="L388" s="20">
        <v>54</v>
      </c>
      <c r="M388" s="21" t="s">
        <v>358</v>
      </c>
      <c r="N388" s="18">
        <v>190220</v>
      </c>
      <c r="O388" s="18"/>
      <c r="P388" s="18" t="s">
        <v>438</v>
      </c>
      <c r="Q388" s="20">
        <v>670</v>
      </c>
      <c r="R388" s="20">
        <v>54</v>
      </c>
      <c r="S388" s="20" t="s">
        <v>163</v>
      </c>
      <c r="T388" s="20">
        <v>674</v>
      </c>
      <c r="U388" s="20" t="s">
        <v>360</v>
      </c>
      <c r="V388" s="20" t="s">
        <v>361</v>
      </c>
      <c r="W388" s="18" t="s">
        <v>362</v>
      </c>
      <c r="X388" s="18">
        <v>190220</v>
      </c>
      <c r="Y388" s="20" t="s">
        <v>363</v>
      </c>
      <c r="Z388" s="20">
        <v>69</v>
      </c>
      <c r="AA388" s="18" t="s">
        <v>438</v>
      </c>
      <c r="AB388" s="18" t="s">
        <v>364</v>
      </c>
      <c r="AC388" s="20" t="s">
        <v>365</v>
      </c>
      <c r="AD388" s="18" t="s">
        <v>438</v>
      </c>
    </row>
    <row r="389" spans="1:30">
      <c r="A389" s="18">
        <v>190221</v>
      </c>
      <c r="B389" s="18">
        <v>161413</v>
      </c>
      <c r="C389" s="18" t="s">
        <v>499</v>
      </c>
      <c r="D389" s="19" t="s">
        <v>500</v>
      </c>
      <c r="E389" s="19" t="s">
        <v>496</v>
      </c>
      <c r="F389" s="21" t="s">
        <v>193</v>
      </c>
      <c r="G389" t="s">
        <v>357</v>
      </c>
      <c r="H389" s="21" t="s">
        <v>164</v>
      </c>
      <c r="I389" s="21" t="s">
        <v>215</v>
      </c>
      <c r="J389" s="22">
        <v>46050</v>
      </c>
      <c r="K389" s="21" t="s">
        <v>14</v>
      </c>
      <c r="L389" s="20">
        <v>55</v>
      </c>
      <c r="M389" s="21" t="s">
        <v>358</v>
      </c>
      <c r="N389" s="18">
        <v>190221</v>
      </c>
      <c r="O389" s="18"/>
      <c r="P389" s="18" t="s">
        <v>438</v>
      </c>
      <c r="Q389" s="20">
        <v>670</v>
      </c>
      <c r="R389" s="20">
        <v>55</v>
      </c>
      <c r="S389" s="20" t="s">
        <v>163</v>
      </c>
      <c r="T389" s="20">
        <v>674</v>
      </c>
      <c r="U389" s="20" t="s">
        <v>360</v>
      </c>
      <c r="V389" s="20" t="s">
        <v>361</v>
      </c>
      <c r="W389" s="18" t="s">
        <v>362</v>
      </c>
      <c r="X389" s="18">
        <v>190221</v>
      </c>
      <c r="Y389" s="20" t="s">
        <v>363</v>
      </c>
      <c r="Z389" s="20">
        <v>69</v>
      </c>
      <c r="AA389" s="18" t="s">
        <v>438</v>
      </c>
      <c r="AB389" s="18" t="s">
        <v>364</v>
      </c>
      <c r="AC389" s="20" t="s">
        <v>365</v>
      </c>
      <c r="AD389" s="18" t="s">
        <v>438</v>
      </c>
    </row>
    <row r="390" spans="1:30">
      <c r="A390" s="18">
        <v>190223</v>
      </c>
      <c r="B390" s="18">
        <v>161414</v>
      </c>
      <c r="C390" s="18" t="s">
        <v>499</v>
      </c>
      <c r="D390" s="19" t="s">
        <v>500</v>
      </c>
      <c r="E390" s="19" t="s">
        <v>497</v>
      </c>
      <c r="F390" s="21" t="s">
        <v>196</v>
      </c>
      <c r="G390" t="s">
        <v>357</v>
      </c>
      <c r="H390" s="21" t="s">
        <v>164</v>
      </c>
      <c r="I390" s="21" t="s">
        <v>215</v>
      </c>
      <c r="J390" s="22">
        <v>46050</v>
      </c>
      <c r="K390" s="21" t="s">
        <v>14</v>
      </c>
      <c r="L390" s="20">
        <v>38</v>
      </c>
      <c r="M390" s="21" t="s">
        <v>358</v>
      </c>
      <c r="N390" s="18">
        <v>190223</v>
      </c>
      <c r="O390" s="18"/>
      <c r="P390" s="18" t="s">
        <v>437</v>
      </c>
      <c r="Q390" s="20">
        <v>670</v>
      </c>
      <c r="R390" s="20">
        <v>38</v>
      </c>
      <c r="S390" s="20" t="s">
        <v>163</v>
      </c>
      <c r="T390" s="20">
        <v>674</v>
      </c>
      <c r="U390" s="20" t="s">
        <v>360</v>
      </c>
      <c r="V390" s="20" t="s">
        <v>361</v>
      </c>
      <c r="W390" s="18" t="s">
        <v>362</v>
      </c>
      <c r="X390" s="18">
        <v>190223</v>
      </c>
      <c r="Y390" s="20" t="s">
        <v>406</v>
      </c>
      <c r="Z390" s="20">
        <v>69</v>
      </c>
      <c r="AA390" s="18" t="s">
        <v>437</v>
      </c>
      <c r="AB390" s="18" t="s">
        <v>364</v>
      </c>
      <c r="AC390" s="20" t="s">
        <v>365</v>
      </c>
      <c r="AD390" s="18" t="s">
        <v>438</v>
      </c>
    </row>
    <row r="391" spans="1:30">
      <c r="A391" s="18">
        <v>190222</v>
      </c>
      <c r="B391" s="18">
        <v>161414</v>
      </c>
      <c r="C391" s="18" t="s">
        <v>499</v>
      </c>
      <c r="D391" s="19" t="s">
        <v>500</v>
      </c>
      <c r="E391" s="19" t="s">
        <v>497</v>
      </c>
      <c r="F391" s="21" t="s">
        <v>193</v>
      </c>
      <c r="G391" t="s">
        <v>357</v>
      </c>
      <c r="H391" s="21" t="s">
        <v>164</v>
      </c>
      <c r="I391" s="21" t="s">
        <v>215</v>
      </c>
      <c r="J391" s="22">
        <v>46050</v>
      </c>
      <c r="K391" s="21" t="s">
        <v>14</v>
      </c>
      <c r="L391" s="20">
        <v>38</v>
      </c>
      <c r="M391" s="21" t="s">
        <v>358</v>
      </c>
      <c r="N391" s="18">
        <v>190222</v>
      </c>
      <c r="O391" s="18"/>
      <c r="P391" s="18" t="s">
        <v>437</v>
      </c>
      <c r="Q391" s="20">
        <v>670</v>
      </c>
      <c r="R391" s="20">
        <v>38</v>
      </c>
      <c r="S391" s="20" t="s">
        <v>163</v>
      </c>
      <c r="T391" s="20">
        <v>674</v>
      </c>
      <c r="U391" s="20" t="s">
        <v>360</v>
      </c>
      <c r="V391" s="20" t="s">
        <v>361</v>
      </c>
      <c r="W391" s="18" t="s">
        <v>362</v>
      </c>
      <c r="X391" s="18">
        <v>190222</v>
      </c>
      <c r="Y391" s="20" t="s">
        <v>406</v>
      </c>
      <c r="Z391" s="20">
        <v>69</v>
      </c>
      <c r="AA391" s="18" t="s">
        <v>437</v>
      </c>
      <c r="AB391" s="18" t="s">
        <v>364</v>
      </c>
      <c r="AC391" s="20" t="s">
        <v>365</v>
      </c>
      <c r="AD391" s="18" t="s">
        <v>438</v>
      </c>
    </row>
    <row r="392" spans="1:30">
      <c r="A392" s="18">
        <v>190264</v>
      </c>
      <c r="B392" s="18">
        <v>161415</v>
      </c>
      <c r="C392" s="18" t="s">
        <v>501</v>
      </c>
      <c r="D392" s="19" t="s">
        <v>502</v>
      </c>
      <c r="E392" s="19" t="s">
        <v>503</v>
      </c>
      <c r="F392" s="21" t="s">
        <v>193</v>
      </c>
      <c r="G392" t="s">
        <v>357</v>
      </c>
      <c r="H392" s="21" t="s">
        <v>228</v>
      </c>
      <c r="I392" s="21" t="s">
        <v>215</v>
      </c>
      <c r="J392" s="22">
        <v>46043</v>
      </c>
      <c r="K392" s="21" t="s">
        <v>376</v>
      </c>
      <c r="L392" s="20">
        <v>40</v>
      </c>
      <c r="M392" s="21" t="s">
        <v>358</v>
      </c>
      <c r="N392" s="18">
        <v>190264</v>
      </c>
      <c r="O392" s="18"/>
      <c r="P392" s="18" t="s">
        <v>402</v>
      </c>
      <c r="Q392" s="20">
        <v>670</v>
      </c>
      <c r="R392" s="20">
        <v>40</v>
      </c>
      <c r="S392" s="20" t="s">
        <v>163</v>
      </c>
      <c r="T392" s="20">
        <v>674</v>
      </c>
      <c r="U392" s="20" t="s">
        <v>360</v>
      </c>
      <c r="V392" s="20" t="s">
        <v>361</v>
      </c>
      <c r="W392" s="18" t="s">
        <v>362</v>
      </c>
      <c r="X392" s="18">
        <v>190264</v>
      </c>
      <c r="Y392" s="20" t="s">
        <v>403</v>
      </c>
      <c r="Z392" s="20">
        <v>69</v>
      </c>
      <c r="AA392" s="18" t="s">
        <v>402</v>
      </c>
      <c r="AB392" s="18" t="s">
        <v>364</v>
      </c>
      <c r="AC392" s="20" t="s">
        <v>365</v>
      </c>
      <c r="AD392" s="18" t="s">
        <v>504</v>
      </c>
    </row>
    <row r="393" spans="1:30">
      <c r="A393" s="18">
        <v>190263</v>
      </c>
      <c r="B393" s="18">
        <v>161415</v>
      </c>
      <c r="C393" s="18" t="s">
        <v>501</v>
      </c>
      <c r="D393" s="19" t="s">
        <v>502</v>
      </c>
      <c r="E393" s="19" t="s">
        <v>503</v>
      </c>
      <c r="F393" s="21" t="s">
        <v>196</v>
      </c>
      <c r="G393" t="s">
        <v>357</v>
      </c>
      <c r="H393" s="21" t="s">
        <v>228</v>
      </c>
      <c r="I393" s="21" t="s">
        <v>215</v>
      </c>
      <c r="J393" s="22">
        <v>46043</v>
      </c>
      <c r="K393" s="21" t="s">
        <v>376</v>
      </c>
      <c r="L393" s="20">
        <v>40</v>
      </c>
      <c r="M393" s="21" t="s">
        <v>358</v>
      </c>
      <c r="N393" s="18">
        <v>190263</v>
      </c>
      <c r="O393" s="18"/>
      <c r="P393" s="18" t="s">
        <v>402</v>
      </c>
      <c r="Q393" s="20">
        <v>670</v>
      </c>
      <c r="R393" s="20">
        <v>40</v>
      </c>
      <c r="S393" s="20" t="s">
        <v>163</v>
      </c>
      <c r="T393" s="20">
        <v>674</v>
      </c>
      <c r="U393" s="20" t="s">
        <v>360</v>
      </c>
      <c r="V393" s="20" t="s">
        <v>361</v>
      </c>
      <c r="W393" s="18" t="s">
        <v>362</v>
      </c>
      <c r="X393" s="18">
        <v>190263</v>
      </c>
      <c r="Y393" s="20" t="s">
        <v>403</v>
      </c>
      <c r="Z393" s="20">
        <v>69</v>
      </c>
      <c r="AA393" s="18" t="s">
        <v>402</v>
      </c>
      <c r="AB393" s="18" t="s">
        <v>364</v>
      </c>
      <c r="AC393" s="20" t="s">
        <v>365</v>
      </c>
      <c r="AD393" s="18" t="s">
        <v>504</v>
      </c>
    </row>
    <row r="394" spans="1:30">
      <c r="A394" s="18">
        <v>190266</v>
      </c>
      <c r="B394" s="18">
        <v>161416</v>
      </c>
      <c r="C394" s="18" t="s">
        <v>501</v>
      </c>
      <c r="D394" s="19" t="s">
        <v>502</v>
      </c>
      <c r="E394" s="19" t="s">
        <v>503</v>
      </c>
      <c r="F394" s="21" t="s">
        <v>196</v>
      </c>
      <c r="G394" t="s">
        <v>357</v>
      </c>
      <c r="H394" s="21" t="s">
        <v>228</v>
      </c>
      <c r="I394" s="21" t="s">
        <v>215</v>
      </c>
      <c r="J394" s="22">
        <v>46043</v>
      </c>
      <c r="K394" s="21" t="s">
        <v>376</v>
      </c>
      <c r="L394" s="20">
        <v>37</v>
      </c>
      <c r="M394" s="21" t="s">
        <v>358</v>
      </c>
      <c r="N394" s="18">
        <v>190266</v>
      </c>
      <c r="O394" s="18"/>
      <c r="P394" s="18" t="s">
        <v>37</v>
      </c>
      <c r="Q394" s="20">
        <v>670</v>
      </c>
      <c r="R394" s="20">
        <v>37</v>
      </c>
      <c r="S394" s="20" t="s">
        <v>163</v>
      </c>
      <c r="T394" s="20">
        <v>674</v>
      </c>
      <c r="U394" s="20" t="s">
        <v>360</v>
      </c>
      <c r="V394" s="20" t="s">
        <v>361</v>
      </c>
      <c r="W394" s="18" t="s">
        <v>362</v>
      </c>
      <c r="X394" s="18">
        <v>190266</v>
      </c>
      <c r="Y394" s="20" t="s">
        <v>446</v>
      </c>
      <c r="Z394" s="20">
        <v>69</v>
      </c>
      <c r="AA394" s="18" t="s">
        <v>37</v>
      </c>
      <c r="AB394" s="18" t="s">
        <v>364</v>
      </c>
      <c r="AC394" s="20" t="s">
        <v>365</v>
      </c>
      <c r="AD394" s="18" t="s">
        <v>504</v>
      </c>
    </row>
    <row r="395" spans="1:30">
      <c r="A395" s="18">
        <v>190265</v>
      </c>
      <c r="B395" s="18">
        <v>161416</v>
      </c>
      <c r="C395" s="18" t="s">
        <v>501</v>
      </c>
      <c r="D395" s="19" t="s">
        <v>502</v>
      </c>
      <c r="E395" s="19" t="s">
        <v>503</v>
      </c>
      <c r="F395" s="21" t="s">
        <v>193</v>
      </c>
      <c r="G395" t="s">
        <v>357</v>
      </c>
      <c r="H395" s="21" t="s">
        <v>228</v>
      </c>
      <c r="I395" s="21" t="s">
        <v>215</v>
      </c>
      <c r="J395" s="22">
        <v>46043</v>
      </c>
      <c r="K395" s="21" t="s">
        <v>376</v>
      </c>
      <c r="L395" s="20">
        <v>37</v>
      </c>
      <c r="M395" s="21" t="s">
        <v>358</v>
      </c>
      <c r="N395" s="18">
        <v>190265</v>
      </c>
      <c r="O395" s="18"/>
      <c r="P395" s="18" t="s">
        <v>37</v>
      </c>
      <c r="Q395" s="20">
        <v>670</v>
      </c>
      <c r="R395" s="20">
        <v>37</v>
      </c>
      <c r="S395" s="20" t="s">
        <v>163</v>
      </c>
      <c r="T395" s="20">
        <v>674</v>
      </c>
      <c r="U395" s="20" t="s">
        <v>360</v>
      </c>
      <c r="V395" s="20" t="s">
        <v>361</v>
      </c>
      <c r="W395" s="18" t="s">
        <v>362</v>
      </c>
      <c r="X395" s="18">
        <v>190265</v>
      </c>
      <c r="Y395" s="20" t="s">
        <v>446</v>
      </c>
      <c r="Z395" s="20">
        <v>69</v>
      </c>
      <c r="AA395" s="18" t="s">
        <v>37</v>
      </c>
      <c r="AB395" s="18" t="s">
        <v>364</v>
      </c>
      <c r="AC395" s="20" t="s">
        <v>365</v>
      </c>
      <c r="AD395" s="18" t="s">
        <v>504</v>
      </c>
    </row>
    <row r="396" spans="1:30">
      <c r="A396" s="18">
        <v>190260</v>
      </c>
      <c r="B396" s="18">
        <v>161417</v>
      </c>
      <c r="C396" s="18" t="s">
        <v>505</v>
      </c>
      <c r="D396" s="19" t="s">
        <v>506</v>
      </c>
      <c r="E396" s="19" t="s">
        <v>496</v>
      </c>
      <c r="F396" s="21" t="s">
        <v>169</v>
      </c>
      <c r="G396" t="s">
        <v>357</v>
      </c>
      <c r="H396" s="21" t="s">
        <v>164</v>
      </c>
      <c r="I396" s="21" t="s">
        <v>238</v>
      </c>
      <c r="J396" s="22">
        <v>46052</v>
      </c>
      <c r="K396" s="21" t="s">
        <v>11</v>
      </c>
      <c r="L396" s="20">
        <v>40</v>
      </c>
      <c r="M396" s="21" t="s">
        <v>358</v>
      </c>
      <c r="N396" s="18">
        <v>190260</v>
      </c>
      <c r="O396" s="18"/>
      <c r="P396" s="18" t="s">
        <v>507</v>
      </c>
      <c r="Q396" s="20">
        <v>670</v>
      </c>
      <c r="R396" s="20">
        <v>40</v>
      </c>
      <c r="S396" s="20" t="s">
        <v>163</v>
      </c>
      <c r="T396" s="20">
        <v>674</v>
      </c>
      <c r="U396" s="20" t="s">
        <v>360</v>
      </c>
      <c r="V396" s="20" t="s">
        <v>361</v>
      </c>
      <c r="W396" s="18" t="s">
        <v>362</v>
      </c>
      <c r="X396" s="18">
        <v>190260</v>
      </c>
      <c r="Y396" s="20" t="s">
        <v>26</v>
      </c>
      <c r="Z396" s="20">
        <v>69</v>
      </c>
      <c r="AA396" s="18" t="s">
        <v>507</v>
      </c>
      <c r="AB396" s="18" t="s">
        <v>364</v>
      </c>
      <c r="AC396" s="20" t="s">
        <v>365</v>
      </c>
      <c r="AD396" s="18" t="s">
        <v>504</v>
      </c>
    </row>
    <row r="397" spans="1:30">
      <c r="A397" s="18">
        <v>190261</v>
      </c>
      <c r="B397" s="18">
        <v>161418</v>
      </c>
      <c r="C397" s="18" t="s">
        <v>505</v>
      </c>
      <c r="D397" s="19" t="s">
        <v>506</v>
      </c>
      <c r="E397" s="19" t="s">
        <v>508</v>
      </c>
      <c r="F397" s="21" t="s">
        <v>169</v>
      </c>
      <c r="G397" t="s">
        <v>357</v>
      </c>
      <c r="H397" s="21" t="s">
        <v>164</v>
      </c>
      <c r="I397" s="21" t="s">
        <v>238</v>
      </c>
      <c r="J397" s="22">
        <v>46052</v>
      </c>
      <c r="K397" s="21" t="s">
        <v>11</v>
      </c>
      <c r="L397" s="20">
        <v>40</v>
      </c>
      <c r="M397" s="21" t="s">
        <v>358</v>
      </c>
      <c r="N397" s="18">
        <v>190261</v>
      </c>
      <c r="O397" s="18"/>
      <c r="P397" s="18" t="s">
        <v>509</v>
      </c>
      <c r="Q397" s="20">
        <v>670</v>
      </c>
      <c r="R397" s="20">
        <v>40</v>
      </c>
      <c r="S397" s="20" t="s">
        <v>163</v>
      </c>
      <c r="T397" s="20">
        <v>674</v>
      </c>
      <c r="U397" s="20" t="s">
        <v>360</v>
      </c>
      <c r="V397" s="20" t="s">
        <v>361</v>
      </c>
      <c r="W397" s="18" t="s">
        <v>362</v>
      </c>
      <c r="X397" s="18">
        <v>190261</v>
      </c>
      <c r="Y397" s="20" t="s">
        <v>477</v>
      </c>
      <c r="Z397" s="20">
        <v>69</v>
      </c>
      <c r="AA397" s="18" t="s">
        <v>509</v>
      </c>
      <c r="AB397" s="18" t="s">
        <v>364</v>
      </c>
      <c r="AC397" s="20" t="s">
        <v>365</v>
      </c>
      <c r="AD397" s="18" t="s">
        <v>504</v>
      </c>
    </row>
    <row r="398" spans="1:30">
      <c r="A398" s="18">
        <v>190262</v>
      </c>
      <c r="B398" s="18">
        <v>161419</v>
      </c>
      <c r="C398" s="18" t="s">
        <v>505</v>
      </c>
      <c r="D398" s="19" t="s">
        <v>506</v>
      </c>
      <c r="E398" s="19" t="s">
        <v>510</v>
      </c>
      <c r="F398" s="21" t="s">
        <v>169</v>
      </c>
      <c r="G398" t="s">
        <v>357</v>
      </c>
      <c r="H398" s="21" t="s">
        <v>164</v>
      </c>
      <c r="I398" s="21" t="s">
        <v>238</v>
      </c>
      <c r="J398" s="22">
        <v>46052</v>
      </c>
      <c r="K398" s="21" t="s">
        <v>11</v>
      </c>
      <c r="L398" s="20">
        <v>40</v>
      </c>
      <c r="M398" s="21" t="s">
        <v>358</v>
      </c>
      <c r="N398" s="18">
        <v>190262</v>
      </c>
      <c r="O398" s="18"/>
      <c r="P398" s="18" t="s">
        <v>368</v>
      </c>
      <c r="Q398" s="20">
        <v>670</v>
      </c>
      <c r="R398" s="20">
        <v>40</v>
      </c>
      <c r="S398" s="20" t="s">
        <v>163</v>
      </c>
      <c r="T398" s="20">
        <v>674</v>
      </c>
      <c r="U398" s="20" t="s">
        <v>360</v>
      </c>
      <c r="V398" s="20" t="s">
        <v>361</v>
      </c>
      <c r="W398" s="18" t="s">
        <v>362</v>
      </c>
      <c r="X398" s="18">
        <v>190262</v>
      </c>
      <c r="Y398" s="20" t="s">
        <v>26</v>
      </c>
      <c r="Z398" s="20">
        <v>69</v>
      </c>
      <c r="AA398" s="18" t="s">
        <v>368</v>
      </c>
      <c r="AB398" s="18" t="s">
        <v>364</v>
      </c>
      <c r="AC398" s="20" t="s">
        <v>365</v>
      </c>
      <c r="AD398" s="18" t="s">
        <v>504</v>
      </c>
    </row>
    <row r="399" spans="1:30" ht="16.5">
      <c r="A399" s="18">
        <v>190017</v>
      </c>
      <c r="B399" s="18">
        <v>161455</v>
      </c>
      <c r="C399" s="18" t="s">
        <v>212</v>
      </c>
      <c r="D399" s="19" t="s">
        <v>213</v>
      </c>
      <c r="E399" s="19" t="s">
        <v>511</v>
      </c>
      <c r="F399" s="21" t="s">
        <v>512</v>
      </c>
      <c r="G399" t="s">
        <v>357</v>
      </c>
      <c r="H399" s="11" t="s">
        <v>194</v>
      </c>
      <c r="I399" s="10" t="s">
        <v>215</v>
      </c>
      <c r="J399" s="22">
        <v>46057</v>
      </c>
      <c r="K399" s="99" t="s">
        <v>12</v>
      </c>
      <c r="L399" s="20">
        <v>64</v>
      </c>
      <c r="M399" s="21" t="s">
        <v>358</v>
      </c>
      <c r="N399" s="18">
        <v>190017</v>
      </c>
      <c r="O399" s="18"/>
      <c r="P399" s="18" t="s">
        <v>509</v>
      </c>
      <c r="Q399" s="20">
        <v>670</v>
      </c>
      <c r="R399" s="20">
        <v>64</v>
      </c>
      <c r="S399" s="20" t="s">
        <v>163</v>
      </c>
      <c r="T399" s="20">
        <v>674</v>
      </c>
      <c r="U399" s="20" t="s">
        <v>360</v>
      </c>
      <c r="V399" s="20" t="s">
        <v>361</v>
      </c>
      <c r="W399" s="18" t="s">
        <v>362</v>
      </c>
      <c r="X399" s="18">
        <v>190017</v>
      </c>
      <c r="Y399" s="20" t="s">
        <v>513</v>
      </c>
      <c r="Z399" s="20">
        <v>70</v>
      </c>
      <c r="AA399" s="18" t="s">
        <v>509</v>
      </c>
      <c r="AB399" s="18" t="s">
        <v>364</v>
      </c>
      <c r="AC399" s="20" t="s">
        <v>514</v>
      </c>
      <c r="AD399" s="18" t="s">
        <v>515</v>
      </c>
    </row>
    <row r="400" spans="1:30" ht="16.5">
      <c r="A400" s="18">
        <v>190020</v>
      </c>
      <c r="B400" s="18">
        <v>161455</v>
      </c>
      <c r="C400" s="18" t="s">
        <v>212</v>
      </c>
      <c r="D400" s="19" t="s">
        <v>213</v>
      </c>
      <c r="E400" s="19" t="s">
        <v>511</v>
      </c>
      <c r="F400" s="21" t="s">
        <v>516</v>
      </c>
      <c r="G400" t="s">
        <v>357</v>
      </c>
      <c r="H400" s="11" t="s">
        <v>194</v>
      </c>
      <c r="I400" s="10" t="s">
        <v>215</v>
      </c>
      <c r="J400" s="22">
        <v>46057</v>
      </c>
      <c r="K400" s="99" t="s">
        <v>12</v>
      </c>
      <c r="L400" s="20">
        <v>67</v>
      </c>
      <c r="M400" s="21" t="s">
        <v>358</v>
      </c>
      <c r="N400" s="18">
        <v>190020</v>
      </c>
      <c r="O400" s="18"/>
      <c r="P400" s="18" t="s">
        <v>509</v>
      </c>
      <c r="Q400" s="20">
        <v>670</v>
      </c>
      <c r="R400" s="20">
        <v>67</v>
      </c>
      <c r="S400" s="20" t="s">
        <v>163</v>
      </c>
      <c r="T400" s="20">
        <v>674</v>
      </c>
      <c r="U400" s="20" t="s">
        <v>360</v>
      </c>
      <c r="V400" s="20" t="s">
        <v>361</v>
      </c>
      <c r="W400" s="18" t="s">
        <v>362</v>
      </c>
      <c r="X400" s="18">
        <v>190020</v>
      </c>
      <c r="Y400" s="20" t="s">
        <v>513</v>
      </c>
      <c r="Z400" s="20">
        <v>70</v>
      </c>
      <c r="AA400" s="18" t="s">
        <v>509</v>
      </c>
      <c r="AB400" s="18" t="s">
        <v>364</v>
      </c>
      <c r="AC400" s="20" t="s">
        <v>365</v>
      </c>
      <c r="AD400" s="18" t="s">
        <v>515</v>
      </c>
    </row>
    <row r="401" spans="1:30" ht="16.5">
      <c r="A401" s="18">
        <v>190016</v>
      </c>
      <c r="B401" s="18">
        <v>161455</v>
      </c>
      <c r="C401" s="18" t="s">
        <v>212</v>
      </c>
      <c r="D401" s="19" t="s">
        <v>213</v>
      </c>
      <c r="E401" s="19" t="s">
        <v>511</v>
      </c>
      <c r="F401" s="21" t="s">
        <v>169</v>
      </c>
      <c r="G401" t="s">
        <v>357</v>
      </c>
      <c r="H401" s="11" t="s">
        <v>194</v>
      </c>
      <c r="I401" s="10" t="s">
        <v>215</v>
      </c>
      <c r="J401" s="22">
        <v>46057</v>
      </c>
      <c r="K401" s="99" t="s">
        <v>12</v>
      </c>
      <c r="L401" s="20">
        <v>1</v>
      </c>
      <c r="M401" s="21" t="s">
        <v>358</v>
      </c>
      <c r="N401" s="18">
        <v>190016</v>
      </c>
      <c r="O401" s="18"/>
      <c r="P401" s="18" t="s">
        <v>509</v>
      </c>
      <c r="Q401" s="20">
        <v>670</v>
      </c>
      <c r="R401" s="20">
        <v>1</v>
      </c>
      <c r="S401" s="20" t="s">
        <v>163</v>
      </c>
      <c r="T401" s="20">
        <v>674</v>
      </c>
      <c r="U401" s="20" t="s">
        <v>360</v>
      </c>
      <c r="V401" s="20" t="s">
        <v>361</v>
      </c>
      <c r="W401" s="18" t="s">
        <v>362</v>
      </c>
      <c r="X401" s="18">
        <v>190016</v>
      </c>
      <c r="Y401" s="20" t="s">
        <v>513</v>
      </c>
      <c r="Z401" s="20">
        <v>70</v>
      </c>
      <c r="AA401" s="18" t="s">
        <v>509</v>
      </c>
      <c r="AB401" s="18" t="s">
        <v>364</v>
      </c>
      <c r="AC401" s="20" t="s">
        <v>365</v>
      </c>
      <c r="AD401" s="18" t="s">
        <v>515</v>
      </c>
    </row>
    <row r="402" spans="1:30" ht="16.5">
      <c r="A402" s="18">
        <v>190019</v>
      </c>
      <c r="B402" s="18">
        <v>161455</v>
      </c>
      <c r="C402" s="18" t="s">
        <v>212</v>
      </c>
      <c r="D402" s="19" t="s">
        <v>213</v>
      </c>
      <c r="E402" s="19" t="s">
        <v>511</v>
      </c>
      <c r="F402" s="21" t="s">
        <v>517</v>
      </c>
      <c r="G402" t="s">
        <v>357</v>
      </c>
      <c r="H402" s="11" t="s">
        <v>194</v>
      </c>
      <c r="I402" s="10" t="s">
        <v>215</v>
      </c>
      <c r="J402" s="22">
        <v>46057</v>
      </c>
      <c r="K402" s="99" t="s">
        <v>12</v>
      </c>
      <c r="L402" s="20">
        <v>65</v>
      </c>
      <c r="M402" s="21" t="s">
        <v>358</v>
      </c>
      <c r="N402" s="18">
        <v>190019</v>
      </c>
      <c r="O402" s="18"/>
      <c r="P402" s="18" t="s">
        <v>509</v>
      </c>
      <c r="Q402" s="20">
        <v>670</v>
      </c>
      <c r="R402" s="20">
        <v>65</v>
      </c>
      <c r="S402" s="20" t="s">
        <v>163</v>
      </c>
      <c r="T402" s="20">
        <v>674</v>
      </c>
      <c r="U402" s="20" t="s">
        <v>360</v>
      </c>
      <c r="V402" s="20" t="s">
        <v>361</v>
      </c>
      <c r="W402" s="18" t="s">
        <v>362</v>
      </c>
      <c r="X402" s="18">
        <v>190019</v>
      </c>
      <c r="Y402" s="20" t="s">
        <v>513</v>
      </c>
      <c r="Z402" s="20">
        <v>70</v>
      </c>
      <c r="AA402" s="18" t="s">
        <v>509</v>
      </c>
      <c r="AB402" s="18" t="s">
        <v>364</v>
      </c>
      <c r="AC402" s="20" t="s">
        <v>365</v>
      </c>
      <c r="AD402" s="18" t="s">
        <v>515</v>
      </c>
    </row>
    <row r="403" spans="1:30" ht="16.5">
      <c r="A403" s="18">
        <v>190021</v>
      </c>
      <c r="B403" s="18">
        <v>161455</v>
      </c>
      <c r="C403" s="18" t="s">
        <v>212</v>
      </c>
      <c r="D403" s="19" t="s">
        <v>213</v>
      </c>
      <c r="E403" s="19" t="s">
        <v>511</v>
      </c>
      <c r="F403" s="21" t="s">
        <v>518</v>
      </c>
      <c r="G403" t="s">
        <v>357</v>
      </c>
      <c r="H403" s="11" t="s">
        <v>194</v>
      </c>
      <c r="I403" s="10" t="s">
        <v>215</v>
      </c>
      <c r="J403" s="22">
        <v>46057</v>
      </c>
      <c r="K403" s="99" t="s">
        <v>12</v>
      </c>
      <c r="L403" s="20">
        <v>43</v>
      </c>
      <c r="M403" s="21" t="s">
        <v>358</v>
      </c>
      <c r="N403" s="18">
        <v>190021</v>
      </c>
      <c r="O403" s="18"/>
      <c r="P403" s="18" t="s">
        <v>509</v>
      </c>
      <c r="Q403" s="20">
        <v>670</v>
      </c>
      <c r="R403" s="20">
        <v>43</v>
      </c>
      <c r="S403" s="20" t="s">
        <v>163</v>
      </c>
      <c r="T403" s="20">
        <v>674</v>
      </c>
      <c r="U403" s="20" t="s">
        <v>360</v>
      </c>
      <c r="V403" s="20" t="s">
        <v>361</v>
      </c>
      <c r="W403" s="18" t="s">
        <v>362</v>
      </c>
      <c r="X403" s="18">
        <v>190021</v>
      </c>
      <c r="Y403" s="20" t="s">
        <v>513</v>
      </c>
      <c r="Z403" s="20">
        <v>70</v>
      </c>
      <c r="AA403" s="18" t="s">
        <v>509</v>
      </c>
      <c r="AB403" s="18" t="s">
        <v>364</v>
      </c>
      <c r="AC403" s="20" t="s">
        <v>365</v>
      </c>
      <c r="AD403" s="18" t="s">
        <v>515</v>
      </c>
    </row>
    <row r="404" spans="1:30" ht="16.5">
      <c r="A404" s="18">
        <v>190018</v>
      </c>
      <c r="B404" s="18">
        <v>161455</v>
      </c>
      <c r="C404" s="18" t="s">
        <v>212</v>
      </c>
      <c r="D404" s="19" t="s">
        <v>213</v>
      </c>
      <c r="E404" s="19" t="s">
        <v>511</v>
      </c>
      <c r="F404" s="21" t="s">
        <v>519</v>
      </c>
      <c r="G404" t="s">
        <v>357</v>
      </c>
      <c r="H404" s="11" t="s">
        <v>194</v>
      </c>
      <c r="I404" s="10" t="s">
        <v>215</v>
      </c>
      <c r="J404" s="22">
        <v>46057</v>
      </c>
      <c r="K404" s="99" t="s">
        <v>12</v>
      </c>
      <c r="L404" s="20">
        <v>65</v>
      </c>
      <c r="M404" s="21" t="s">
        <v>358</v>
      </c>
      <c r="N404" s="18">
        <v>190018</v>
      </c>
      <c r="O404" s="18"/>
      <c r="P404" s="18" t="s">
        <v>509</v>
      </c>
      <c r="Q404" s="20">
        <v>670</v>
      </c>
      <c r="R404" s="20">
        <v>65</v>
      </c>
      <c r="S404" s="20" t="s">
        <v>163</v>
      </c>
      <c r="T404" s="20">
        <v>674</v>
      </c>
      <c r="U404" s="20" t="s">
        <v>360</v>
      </c>
      <c r="V404" s="20" t="s">
        <v>361</v>
      </c>
      <c r="W404" s="18" t="s">
        <v>362</v>
      </c>
      <c r="X404" s="18">
        <v>190018</v>
      </c>
      <c r="Y404" s="20" t="s">
        <v>513</v>
      </c>
      <c r="Z404" s="20">
        <v>70</v>
      </c>
      <c r="AA404" s="18" t="s">
        <v>509</v>
      </c>
      <c r="AB404" s="18" t="s">
        <v>364</v>
      </c>
      <c r="AC404" s="20" t="s">
        <v>365</v>
      </c>
      <c r="AD404" s="18" t="s">
        <v>515</v>
      </c>
    </row>
    <row r="405" spans="1:30" ht="16.5">
      <c r="A405" s="18">
        <v>190026</v>
      </c>
      <c r="B405" s="18">
        <v>161468</v>
      </c>
      <c r="C405" s="18" t="s">
        <v>212</v>
      </c>
      <c r="D405" s="19" t="s">
        <v>213</v>
      </c>
      <c r="E405" s="19" t="s">
        <v>520</v>
      </c>
      <c r="F405" s="21" t="s">
        <v>188</v>
      </c>
      <c r="G405" t="s">
        <v>357</v>
      </c>
      <c r="H405" s="11" t="s">
        <v>194</v>
      </c>
      <c r="I405" s="10" t="s">
        <v>215</v>
      </c>
      <c r="J405" s="22">
        <v>46057</v>
      </c>
      <c r="K405" s="99" t="s">
        <v>12</v>
      </c>
      <c r="L405" s="20">
        <v>45</v>
      </c>
      <c r="M405" s="21" t="s">
        <v>358</v>
      </c>
      <c r="N405" s="18">
        <v>190026</v>
      </c>
      <c r="O405" s="18"/>
      <c r="P405" s="18" t="s">
        <v>515</v>
      </c>
      <c r="Q405" s="20">
        <v>670</v>
      </c>
      <c r="R405" s="20">
        <v>45</v>
      </c>
      <c r="S405" s="20" t="s">
        <v>163</v>
      </c>
      <c r="T405" s="20">
        <v>674</v>
      </c>
      <c r="U405" s="20" t="s">
        <v>360</v>
      </c>
      <c r="V405" s="20" t="s">
        <v>361</v>
      </c>
      <c r="W405" s="18" t="s">
        <v>362</v>
      </c>
      <c r="X405" s="18">
        <v>190026</v>
      </c>
      <c r="Y405" s="20" t="s">
        <v>521</v>
      </c>
      <c r="Z405" s="20">
        <v>70</v>
      </c>
      <c r="AA405" s="18" t="s">
        <v>515</v>
      </c>
      <c r="AB405" s="18" t="s">
        <v>364</v>
      </c>
      <c r="AC405" s="20" t="s">
        <v>365</v>
      </c>
      <c r="AD405" s="18" t="s">
        <v>515</v>
      </c>
    </row>
    <row r="406" spans="1:30" ht="16.5">
      <c r="A406" s="18">
        <v>190023</v>
      </c>
      <c r="B406" s="18">
        <v>161468</v>
      </c>
      <c r="C406" s="18" t="s">
        <v>212</v>
      </c>
      <c r="D406" s="19" t="s">
        <v>213</v>
      </c>
      <c r="E406" s="19" t="s">
        <v>520</v>
      </c>
      <c r="F406" s="21" t="s">
        <v>169</v>
      </c>
      <c r="G406" t="s">
        <v>357</v>
      </c>
      <c r="H406" s="11" t="s">
        <v>194</v>
      </c>
      <c r="I406" s="10" t="s">
        <v>215</v>
      </c>
      <c r="J406" s="22">
        <v>46057</v>
      </c>
      <c r="K406" s="99" t="s">
        <v>12</v>
      </c>
      <c r="L406" s="20">
        <v>1</v>
      </c>
      <c r="M406" s="21" t="s">
        <v>358</v>
      </c>
      <c r="N406" s="18">
        <v>190023</v>
      </c>
      <c r="O406" s="18"/>
      <c r="P406" s="18" t="s">
        <v>515</v>
      </c>
      <c r="Q406" s="20">
        <v>670</v>
      </c>
      <c r="R406" s="20">
        <v>1</v>
      </c>
      <c r="S406" s="20" t="s">
        <v>163</v>
      </c>
      <c r="T406" s="20">
        <v>674</v>
      </c>
      <c r="U406" s="20" t="s">
        <v>360</v>
      </c>
      <c r="V406" s="20" t="s">
        <v>361</v>
      </c>
      <c r="W406" s="18" t="s">
        <v>362</v>
      </c>
      <c r="X406" s="18">
        <v>190023</v>
      </c>
      <c r="Y406" s="20" t="s">
        <v>521</v>
      </c>
      <c r="Z406" s="20">
        <v>70</v>
      </c>
      <c r="AA406" s="18" t="s">
        <v>515</v>
      </c>
      <c r="AB406" s="18" t="s">
        <v>364</v>
      </c>
      <c r="AC406" s="20" t="s">
        <v>365</v>
      </c>
      <c r="AD406" s="18" t="s">
        <v>515</v>
      </c>
    </row>
    <row r="407" spans="1:30" ht="16.5">
      <c r="A407" s="18">
        <v>190022</v>
      </c>
      <c r="B407" s="18">
        <v>161468</v>
      </c>
      <c r="C407" s="18" t="s">
        <v>212</v>
      </c>
      <c r="D407" s="19" t="s">
        <v>213</v>
      </c>
      <c r="E407" s="19" t="s">
        <v>520</v>
      </c>
      <c r="F407" s="21" t="s">
        <v>522</v>
      </c>
      <c r="G407" t="s">
        <v>357</v>
      </c>
      <c r="H407" s="11" t="s">
        <v>194</v>
      </c>
      <c r="I407" s="10" t="s">
        <v>215</v>
      </c>
      <c r="J407" s="22">
        <v>46057</v>
      </c>
      <c r="K407" s="99" t="s">
        <v>12</v>
      </c>
      <c r="L407" s="20">
        <v>65</v>
      </c>
      <c r="M407" s="21" t="s">
        <v>358</v>
      </c>
      <c r="N407" s="18">
        <v>190022</v>
      </c>
      <c r="O407" s="18"/>
      <c r="P407" s="18" t="s">
        <v>515</v>
      </c>
      <c r="Q407" s="20">
        <v>670</v>
      </c>
      <c r="R407" s="20">
        <v>65</v>
      </c>
      <c r="S407" s="20" t="s">
        <v>163</v>
      </c>
      <c r="T407" s="20">
        <v>674</v>
      </c>
      <c r="U407" s="20" t="s">
        <v>360</v>
      </c>
      <c r="V407" s="20" t="s">
        <v>361</v>
      </c>
      <c r="W407" s="18" t="s">
        <v>362</v>
      </c>
      <c r="X407" s="18">
        <v>190022</v>
      </c>
      <c r="Y407" s="20" t="s">
        <v>521</v>
      </c>
      <c r="Z407" s="20">
        <v>70</v>
      </c>
      <c r="AA407" s="18" t="s">
        <v>515</v>
      </c>
      <c r="AB407" s="18" t="s">
        <v>364</v>
      </c>
      <c r="AC407" s="20" t="s">
        <v>365</v>
      </c>
      <c r="AD407" s="18" t="s">
        <v>515</v>
      </c>
    </row>
    <row r="408" spans="1:30" ht="16.5">
      <c r="A408" s="18">
        <v>190025</v>
      </c>
      <c r="B408" s="18">
        <v>161468</v>
      </c>
      <c r="C408" s="18" t="s">
        <v>212</v>
      </c>
      <c r="D408" s="19" t="s">
        <v>213</v>
      </c>
      <c r="E408" s="19" t="s">
        <v>520</v>
      </c>
      <c r="F408" s="21" t="s">
        <v>523</v>
      </c>
      <c r="G408" t="s">
        <v>357</v>
      </c>
      <c r="H408" s="11" t="s">
        <v>194</v>
      </c>
      <c r="I408" s="10" t="s">
        <v>215</v>
      </c>
      <c r="J408" s="22">
        <v>46057</v>
      </c>
      <c r="K408" s="99" t="s">
        <v>12</v>
      </c>
      <c r="L408" s="20">
        <v>65</v>
      </c>
      <c r="M408" s="21" t="s">
        <v>358</v>
      </c>
      <c r="N408" s="18">
        <v>190025</v>
      </c>
      <c r="O408" s="18"/>
      <c r="P408" s="18" t="s">
        <v>515</v>
      </c>
      <c r="Q408" s="20">
        <v>670</v>
      </c>
      <c r="R408" s="20">
        <v>65</v>
      </c>
      <c r="S408" s="20" t="s">
        <v>163</v>
      </c>
      <c r="T408" s="20">
        <v>674</v>
      </c>
      <c r="U408" s="20" t="s">
        <v>360</v>
      </c>
      <c r="V408" s="20" t="s">
        <v>361</v>
      </c>
      <c r="W408" s="18" t="s">
        <v>362</v>
      </c>
      <c r="X408" s="18">
        <v>190025</v>
      </c>
      <c r="Y408" s="20" t="s">
        <v>521</v>
      </c>
      <c r="Z408" s="20">
        <v>70</v>
      </c>
      <c r="AA408" s="18" t="s">
        <v>515</v>
      </c>
      <c r="AB408" s="18" t="s">
        <v>364</v>
      </c>
      <c r="AC408" s="20" t="s">
        <v>365</v>
      </c>
      <c r="AD408" s="18" t="s">
        <v>515</v>
      </c>
    </row>
    <row r="409" spans="1:30" ht="16.5">
      <c r="A409" s="18">
        <v>190027</v>
      </c>
      <c r="B409" s="18">
        <v>161468</v>
      </c>
      <c r="C409" s="18" t="s">
        <v>212</v>
      </c>
      <c r="D409" s="19" t="s">
        <v>213</v>
      </c>
      <c r="E409" s="19" t="s">
        <v>520</v>
      </c>
      <c r="F409" s="21" t="s">
        <v>185</v>
      </c>
      <c r="G409" t="s">
        <v>357</v>
      </c>
      <c r="H409" s="11" t="s">
        <v>194</v>
      </c>
      <c r="I409" s="10" t="s">
        <v>215</v>
      </c>
      <c r="J409" s="22">
        <v>46057</v>
      </c>
      <c r="K409" s="99" t="s">
        <v>12</v>
      </c>
      <c r="L409" s="20">
        <v>40</v>
      </c>
      <c r="M409" s="21" t="s">
        <v>358</v>
      </c>
      <c r="N409" s="18">
        <v>190027</v>
      </c>
      <c r="O409" s="18"/>
      <c r="P409" s="18" t="s">
        <v>515</v>
      </c>
      <c r="Q409" s="20">
        <v>670</v>
      </c>
      <c r="R409" s="20">
        <v>40</v>
      </c>
      <c r="S409" s="20" t="s">
        <v>163</v>
      </c>
      <c r="T409" s="20">
        <v>674</v>
      </c>
      <c r="U409" s="20" t="s">
        <v>360</v>
      </c>
      <c r="V409" s="20" t="s">
        <v>361</v>
      </c>
      <c r="W409" s="18" t="s">
        <v>362</v>
      </c>
      <c r="X409" s="18">
        <v>190027</v>
      </c>
      <c r="Y409" s="20" t="s">
        <v>521</v>
      </c>
      <c r="Z409" s="20">
        <v>70</v>
      </c>
      <c r="AA409" s="18" t="s">
        <v>515</v>
      </c>
      <c r="AB409" s="18" t="s">
        <v>364</v>
      </c>
      <c r="AC409" s="20" t="s">
        <v>365</v>
      </c>
      <c r="AD409" s="18" t="s">
        <v>515</v>
      </c>
    </row>
    <row r="410" spans="1:30" ht="16.5">
      <c r="A410" s="18">
        <v>190028</v>
      </c>
      <c r="B410" s="18">
        <v>161468</v>
      </c>
      <c r="C410" s="18" t="s">
        <v>212</v>
      </c>
      <c r="D410" s="19" t="s">
        <v>213</v>
      </c>
      <c r="E410" s="19" t="s">
        <v>520</v>
      </c>
      <c r="F410" s="21" t="s">
        <v>186</v>
      </c>
      <c r="G410" t="s">
        <v>357</v>
      </c>
      <c r="H410" s="11" t="s">
        <v>194</v>
      </c>
      <c r="I410" s="10" t="s">
        <v>215</v>
      </c>
      <c r="J410" s="22">
        <v>46057</v>
      </c>
      <c r="K410" s="99" t="s">
        <v>12</v>
      </c>
      <c r="L410" s="20">
        <v>38</v>
      </c>
      <c r="M410" s="21" t="s">
        <v>358</v>
      </c>
      <c r="N410" s="18">
        <v>190028</v>
      </c>
      <c r="O410" s="18"/>
      <c r="P410" s="18" t="s">
        <v>515</v>
      </c>
      <c r="Q410" s="20">
        <v>670</v>
      </c>
      <c r="R410" s="20">
        <v>38</v>
      </c>
      <c r="S410" s="20" t="s">
        <v>163</v>
      </c>
      <c r="T410" s="20">
        <v>674</v>
      </c>
      <c r="U410" s="20" t="s">
        <v>360</v>
      </c>
      <c r="V410" s="20" t="s">
        <v>361</v>
      </c>
      <c r="W410" s="18" t="s">
        <v>362</v>
      </c>
      <c r="X410" s="18">
        <v>190028</v>
      </c>
      <c r="Y410" s="20" t="s">
        <v>521</v>
      </c>
      <c r="Z410" s="20">
        <v>70</v>
      </c>
      <c r="AA410" s="18" t="s">
        <v>515</v>
      </c>
      <c r="AB410" s="18" t="s">
        <v>364</v>
      </c>
      <c r="AC410" s="20" t="s">
        <v>365</v>
      </c>
      <c r="AD410" s="18" t="s">
        <v>515</v>
      </c>
    </row>
    <row r="411" spans="1:30" ht="16.5">
      <c r="A411" s="18">
        <v>190024</v>
      </c>
      <c r="B411" s="18">
        <v>161468</v>
      </c>
      <c r="C411" s="18" t="s">
        <v>212</v>
      </c>
      <c r="D411" s="19" t="s">
        <v>213</v>
      </c>
      <c r="E411" s="19" t="s">
        <v>520</v>
      </c>
      <c r="F411" s="21" t="s">
        <v>189</v>
      </c>
      <c r="G411" t="s">
        <v>357</v>
      </c>
      <c r="H411" s="11" t="s">
        <v>194</v>
      </c>
      <c r="I411" s="10" t="s">
        <v>215</v>
      </c>
      <c r="J411" s="22">
        <v>46057</v>
      </c>
      <c r="K411" s="99" t="s">
        <v>12</v>
      </c>
      <c r="L411" s="20">
        <v>40</v>
      </c>
      <c r="M411" s="21" t="s">
        <v>358</v>
      </c>
      <c r="N411" s="18">
        <v>190024</v>
      </c>
      <c r="O411" s="18"/>
      <c r="P411" s="18" t="s">
        <v>515</v>
      </c>
      <c r="Q411" s="20">
        <v>670</v>
      </c>
      <c r="R411" s="20">
        <v>40</v>
      </c>
      <c r="S411" s="20" t="s">
        <v>163</v>
      </c>
      <c r="T411" s="20">
        <v>674</v>
      </c>
      <c r="U411" s="20" t="s">
        <v>360</v>
      </c>
      <c r="V411" s="20" t="s">
        <v>361</v>
      </c>
      <c r="W411" s="18" t="s">
        <v>362</v>
      </c>
      <c r="X411" s="18">
        <v>190024</v>
      </c>
      <c r="Y411" s="20" t="s">
        <v>521</v>
      </c>
      <c r="Z411" s="20">
        <v>70</v>
      </c>
      <c r="AA411" s="18" t="s">
        <v>515</v>
      </c>
      <c r="AB411" s="18" t="s">
        <v>364</v>
      </c>
      <c r="AC411" s="20" t="s">
        <v>365</v>
      </c>
      <c r="AD411" s="18" t="s">
        <v>515</v>
      </c>
    </row>
    <row r="412" spans="1:30">
      <c r="A412" s="18">
        <v>190243</v>
      </c>
      <c r="B412" s="18">
        <v>161469</v>
      </c>
      <c r="C412" s="18" t="s">
        <v>524</v>
      </c>
      <c r="D412" s="19" t="s">
        <v>525</v>
      </c>
      <c r="E412" s="19" t="s">
        <v>526</v>
      </c>
      <c r="F412" s="21" t="s">
        <v>523</v>
      </c>
      <c r="G412" t="s">
        <v>357</v>
      </c>
      <c r="H412" s="21" t="s">
        <v>164</v>
      </c>
      <c r="I412" s="21" t="s">
        <v>238</v>
      </c>
      <c r="J412" s="22">
        <v>46052</v>
      </c>
      <c r="K412" s="21" t="s">
        <v>12</v>
      </c>
      <c r="L412" s="20">
        <v>65</v>
      </c>
      <c r="M412" s="21" t="s">
        <v>358</v>
      </c>
      <c r="N412" s="18">
        <v>190243</v>
      </c>
      <c r="O412" s="18"/>
      <c r="P412" s="18" t="s">
        <v>398</v>
      </c>
      <c r="Q412" s="20">
        <v>670</v>
      </c>
      <c r="R412" s="20">
        <v>65</v>
      </c>
      <c r="S412" s="20" t="s">
        <v>163</v>
      </c>
      <c r="T412" s="20">
        <v>674</v>
      </c>
      <c r="U412" s="20" t="s">
        <v>360</v>
      </c>
      <c r="V412" s="20" t="s">
        <v>361</v>
      </c>
      <c r="W412" s="18" t="s">
        <v>362</v>
      </c>
      <c r="X412" s="18">
        <v>190243</v>
      </c>
      <c r="Y412" s="20" t="s">
        <v>378</v>
      </c>
      <c r="Z412" s="20">
        <v>70</v>
      </c>
      <c r="AA412" s="18" t="s">
        <v>398</v>
      </c>
      <c r="AB412" s="18" t="s">
        <v>364</v>
      </c>
      <c r="AC412" s="20" t="s">
        <v>365</v>
      </c>
      <c r="AD412" s="18" t="s">
        <v>438</v>
      </c>
    </row>
    <row r="413" spans="1:30">
      <c r="A413" s="18">
        <v>190245</v>
      </c>
      <c r="B413" s="18">
        <v>161469</v>
      </c>
      <c r="C413" s="18" t="s">
        <v>524</v>
      </c>
      <c r="D413" s="19" t="s">
        <v>525</v>
      </c>
      <c r="E413" s="19" t="s">
        <v>526</v>
      </c>
      <c r="F413" s="21" t="s">
        <v>169</v>
      </c>
      <c r="G413" t="s">
        <v>357</v>
      </c>
      <c r="H413" s="21" t="s">
        <v>164</v>
      </c>
      <c r="I413" s="21" t="s">
        <v>238</v>
      </c>
      <c r="J413" s="22">
        <v>46052</v>
      </c>
      <c r="K413" s="21" t="s">
        <v>12</v>
      </c>
      <c r="L413" s="20">
        <v>5</v>
      </c>
      <c r="M413" s="21" t="s">
        <v>358</v>
      </c>
      <c r="N413" s="18">
        <v>190245</v>
      </c>
      <c r="O413" s="18"/>
      <c r="P413" s="18" t="s">
        <v>398</v>
      </c>
      <c r="Q413" s="20">
        <v>670</v>
      </c>
      <c r="R413" s="20">
        <v>5</v>
      </c>
      <c r="S413" s="20" t="s">
        <v>163</v>
      </c>
      <c r="T413" s="20">
        <v>674</v>
      </c>
      <c r="U413" s="20" t="s">
        <v>360</v>
      </c>
      <c r="V413" s="20" t="s">
        <v>361</v>
      </c>
      <c r="W413" s="18" t="s">
        <v>362</v>
      </c>
      <c r="X413" s="18">
        <v>190245</v>
      </c>
      <c r="Y413" s="20" t="s">
        <v>378</v>
      </c>
      <c r="Z413" s="20">
        <v>70</v>
      </c>
      <c r="AA413" s="18" t="s">
        <v>398</v>
      </c>
      <c r="AB413" s="18" t="s">
        <v>364</v>
      </c>
      <c r="AC413" s="20" t="s">
        <v>365</v>
      </c>
      <c r="AD413" s="18" t="s">
        <v>438</v>
      </c>
    </row>
    <row r="414" spans="1:30">
      <c r="A414" s="18">
        <v>190244</v>
      </c>
      <c r="B414" s="18">
        <v>161469</v>
      </c>
      <c r="C414" s="18" t="s">
        <v>524</v>
      </c>
      <c r="D414" s="19" t="s">
        <v>525</v>
      </c>
      <c r="E414" s="19" t="s">
        <v>526</v>
      </c>
      <c r="F414" s="21" t="s">
        <v>522</v>
      </c>
      <c r="G414" t="s">
        <v>357</v>
      </c>
      <c r="H414" s="21" t="s">
        <v>164</v>
      </c>
      <c r="I414" s="21" t="s">
        <v>238</v>
      </c>
      <c r="J414" s="22">
        <v>46052</v>
      </c>
      <c r="K414" s="21" t="s">
        <v>12</v>
      </c>
      <c r="L414" s="20">
        <v>65</v>
      </c>
      <c r="M414" s="21" t="s">
        <v>358</v>
      </c>
      <c r="N414" s="18">
        <v>190244</v>
      </c>
      <c r="O414" s="18"/>
      <c r="P414" s="18" t="s">
        <v>398</v>
      </c>
      <c r="Q414" s="20">
        <v>670</v>
      </c>
      <c r="R414" s="20">
        <v>65</v>
      </c>
      <c r="S414" s="20" t="s">
        <v>163</v>
      </c>
      <c r="T414" s="20">
        <v>674</v>
      </c>
      <c r="U414" s="20" t="s">
        <v>360</v>
      </c>
      <c r="V414" s="20" t="s">
        <v>361</v>
      </c>
      <c r="W414" s="18" t="s">
        <v>362</v>
      </c>
      <c r="X414" s="18">
        <v>190244</v>
      </c>
      <c r="Y414" s="20" t="s">
        <v>378</v>
      </c>
      <c r="Z414" s="20">
        <v>70</v>
      </c>
      <c r="AA414" s="18" t="s">
        <v>398</v>
      </c>
      <c r="AB414" s="18" t="s">
        <v>364</v>
      </c>
      <c r="AC414" s="20" t="s">
        <v>365</v>
      </c>
      <c r="AD414" s="18" t="s">
        <v>438</v>
      </c>
    </row>
    <row r="415" spans="1:30" s="96" customFormat="1">
      <c r="A415" s="93">
        <v>190246</v>
      </c>
      <c r="B415" s="93">
        <v>161470</v>
      </c>
      <c r="C415" s="93" t="s">
        <v>527</v>
      </c>
      <c r="D415" s="94" t="s">
        <v>528</v>
      </c>
      <c r="E415" s="94" t="s">
        <v>529</v>
      </c>
      <c r="F415" s="95" t="s">
        <v>169</v>
      </c>
      <c r="G415" s="96" t="s">
        <v>357</v>
      </c>
      <c r="H415" s="95" t="s">
        <v>228</v>
      </c>
      <c r="I415" s="95" t="s">
        <v>530</v>
      </c>
      <c r="J415" s="97" t="s">
        <v>531</v>
      </c>
      <c r="K415" s="95" t="s">
        <v>371</v>
      </c>
      <c r="L415" s="98">
        <v>35</v>
      </c>
      <c r="M415" s="98" t="s">
        <v>24</v>
      </c>
      <c r="N415" s="93">
        <v>190246</v>
      </c>
      <c r="O415" s="93"/>
      <c r="P415" s="93" t="s">
        <v>472</v>
      </c>
      <c r="Q415" s="98">
        <v>670</v>
      </c>
      <c r="R415" s="98">
        <v>35</v>
      </c>
      <c r="S415" s="98" t="s">
        <v>163</v>
      </c>
      <c r="T415" s="98">
        <v>674</v>
      </c>
      <c r="U415" s="98" t="s">
        <v>360</v>
      </c>
      <c r="V415" s="98" t="s">
        <v>361</v>
      </c>
      <c r="W415" s="93" t="s">
        <v>362</v>
      </c>
      <c r="X415" s="93">
        <v>190246</v>
      </c>
      <c r="Y415" s="98" t="s">
        <v>24</v>
      </c>
      <c r="Z415" s="98">
        <v>70</v>
      </c>
      <c r="AA415" s="93" t="s">
        <v>472</v>
      </c>
      <c r="AB415" s="93" t="s">
        <v>364</v>
      </c>
      <c r="AC415" s="98" t="s">
        <v>365</v>
      </c>
      <c r="AD415" s="93" t="s">
        <v>438</v>
      </c>
    </row>
    <row r="416" spans="1:30" s="96" customFormat="1">
      <c r="A416" s="93">
        <v>190247</v>
      </c>
      <c r="B416" s="93">
        <v>161471</v>
      </c>
      <c r="C416" s="93" t="s">
        <v>527</v>
      </c>
      <c r="D416" s="94" t="s">
        <v>528</v>
      </c>
      <c r="E416" s="94" t="s">
        <v>532</v>
      </c>
      <c r="F416" s="95" t="s">
        <v>169</v>
      </c>
      <c r="G416" s="96" t="s">
        <v>357</v>
      </c>
      <c r="H416" s="95" t="s">
        <v>228</v>
      </c>
      <c r="I416" s="95" t="s">
        <v>530</v>
      </c>
      <c r="J416" s="97" t="s">
        <v>531</v>
      </c>
      <c r="K416" s="95" t="s">
        <v>371</v>
      </c>
      <c r="L416" s="98">
        <v>34</v>
      </c>
      <c r="M416" s="98" t="s">
        <v>25</v>
      </c>
      <c r="N416" s="93">
        <v>190247</v>
      </c>
      <c r="O416" s="93"/>
      <c r="P416" s="93" t="s">
        <v>467</v>
      </c>
      <c r="Q416" s="98">
        <v>670</v>
      </c>
      <c r="R416" s="98">
        <v>34</v>
      </c>
      <c r="S416" s="98" t="s">
        <v>163</v>
      </c>
      <c r="T416" s="98">
        <v>674</v>
      </c>
      <c r="U416" s="98" t="s">
        <v>360</v>
      </c>
      <c r="V416" s="98" t="s">
        <v>361</v>
      </c>
      <c r="W416" s="93" t="s">
        <v>362</v>
      </c>
      <c r="X416" s="93">
        <v>190247</v>
      </c>
      <c r="Y416" s="98" t="s">
        <v>25</v>
      </c>
      <c r="Z416" s="98">
        <v>70</v>
      </c>
      <c r="AA416" s="93" t="s">
        <v>467</v>
      </c>
      <c r="AB416" s="93" t="s">
        <v>364</v>
      </c>
      <c r="AC416" s="98" t="s">
        <v>365</v>
      </c>
      <c r="AD416" s="93" t="s">
        <v>438</v>
      </c>
    </row>
    <row r="417" spans="1:30" s="96" customFormat="1">
      <c r="A417" s="93">
        <v>190248</v>
      </c>
      <c r="B417" s="93">
        <v>161472</v>
      </c>
      <c r="C417" s="93" t="s">
        <v>527</v>
      </c>
      <c r="D417" s="94" t="s">
        <v>528</v>
      </c>
      <c r="E417" s="94" t="s">
        <v>533</v>
      </c>
      <c r="F417" s="95" t="s">
        <v>169</v>
      </c>
      <c r="G417" s="96" t="s">
        <v>357</v>
      </c>
      <c r="H417" s="95" t="s">
        <v>228</v>
      </c>
      <c r="I417" s="95" t="s">
        <v>530</v>
      </c>
      <c r="J417" s="97" t="s">
        <v>531</v>
      </c>
      <c r="K417" s="95" t="s">
        <v>371</v>
      </c>
      <c r="L417" s="98">
        <v>35</v>
      </c>
      <c r="M417" s="98" t="s">
        <v>23</v>
      </c>
      <c r="N417" s="93">
        <v>190248</v>
      </c>
      <c r="O417" s="93"/>
      <c r="P417" s="93" t="s">
        <v>534</v>
      </c>
      <c r="Q417" s="98">
        <v>670</v>
      </c>
      <c r="R417" s="98">
        <v>35</v>
      </c>
      <c r="S417" s="98" t="s">
        <v>163</v>
      </c>
      <c r="T417" s="98">
        <v>674</v>
      </c>
      <c r="U417" s="98" t="s">
        <v>360</v>
      </c>
      <c r="V417" s="98" t="s">
        <v>361</v>
      </c>
      <c r="W417" s="93" t="s">
        <v>362</v>
      </c>
      <c r="X417" s="93">
        <v>190248</v>
      </c>
      <c r="Y417" s="98" t="s">
        <v>23</v>
      </c>
      <c r="Z417" s="98">
        <v>70</v>
      </c>
      <c r="AA417" s="93" t="s">
        <v>534</v>
      </c>
      <c r="AB417" s="93" t="s">
        <v>364</v>
      </c>
      <c r="AC417" s="98" t="s">
        <v>365</v>
      </c>
      <c r="AD417" s="93" t="s">
        <v>438</v>
      </c>
    </row>
    <row r="418" spans="1:30" s="96" customFormat="1">
      <c r="A418" s="93">
        <v>190249</v>
      </c>
      <c r="B418" s="93">
        <v>161473</v>
      </c>
      <c r="C418" s="93" t="s">
        <v>527</v>
      </c>
      <c r="D418" s="94" t="s">
        <v>528</v>
      </c>
      <c r="E418" s="94" t="s">
        <v>535</v>
      </c>
      <c r="F418" s="95" t="s">
        <v>169</v>
      </c>
      <c r="G418" s="96" t="s">
        <v>357</v>
      </c>
      <c r="H418" s="95" t="s">
        <v>228</v>
      </c>
      <c r="I418" s="95" t="s">
        <v>530</v>
      </c>
      <c r="J418" s="97" t="s">
        <v>531</v>
      </c>
      <c r="K418" s="95" t="s">
        <v>371</v>
      </c>
      <c r="L418" s="98">
        <v>38</v>
      </c>
      <c r="M418" s="98" t="s">
        <v>26</v>
      </c>
      <c r="N418" s="93">
        <v>190249</v>
      </c>
      <c r="O418" s="93"/>
      <c r="P418" s="93" t="s">
        <v>536</v>
      </c>
      <c r="Q418" s="98">
        <v>670</v>
      </c>
      <c r="R418" s="98">
        <v>38</v>
      </c>
      <c r="S418" s="98" t="s">
        <v>163</v>
      </c>
      <c r="T418" s="98">
        <v>674</v>
      </c>
      <c r="U418" s="98" t="s">
        <v>360</v>
      </c>
      <c r="V418" s="98" t="s">
        <v>361</v>
      </c>
      <c r="W418" s="93" t="s">
        <v>362</v>
      </c>
      <c r="X418" s="93">
        <v>190249</v>
      </c>
      <c r="Y418" s="98" t="s">
        <v>25</v>
      </c>
      <c r="Z418" s="98">
        <v>70</v>
      </c>
      <c r="AA418" s="93" t="s">
        <v>536</v>
      </c>
      <c r="AB418" s="93" t="s">
        <v>364</v>
      </c>
      <c r="AC418" s="98" t="s">
        <v>365</v>
      </c>
      <c r="AD418" s="93" t="s">
        <v>438</v>
      </c>
    </row>
    <row r="419" spans="1:30">
      <c r="A419" s="18">
        <v>190449</v>
      </c>
      <c r="B419" s="18">
        <v>161474</v>
      </c>
      <c r="C419" s="18" t="s">
        <v>309</v>
      </c>
      <c r="D419" s="19" t="s">
        <v>310</v>
      </c>
      <c r="E419" s="19" t="s">
        <v>537</v>
      </c>
      <c r="F419" s="21" t="s">
        <v>193</v>
      </c>
      <c r="G419" t="s">
        <v>357</v>
      </c>
      <c r="H419" s="21" t="s">
        <v>194</v>
      </c>
      <c r="I419" s="21" t="s">
        <v>283</v>
      </c>
      <c r="J419" s="22">
        <v>46058</v>
      </c>
      <c r="K419" s="21" t="s">
        <v>440</v>
      </c>
      <c r="L419" s="20">
        <v>60</v>
      </c>
      <c r="M419" s="21" t="s">
        <v>358</v>
      </c>
      <c r="N419" s="18">
        <v>190449</v>
      </c>
      <c r="O419" s="18"/>
      <c r="P419" s="18" t="s">
        <v>441</v>
      </c>
      <c r="Q419" s="20">
        <v>670</v>
      </c>
      <c r="R419" s="20">
        <v>60</v>
      </c>
      <c r="S419" s="20" t="s">
        <v>163</v>
      </c>
      <c r="T419" s="20">
        <v>674</v>
      </c>
      <c r="U419" s="20" t="s">
        <v>360</v>
      </c>
      <c r="V419" s="20" t="s">
        <v>361</v>
      </c>
      <c r="W419" s="18" t="s">
        <v>362</v>
      </c>
      <c r="X419" s="18">
        <v>190449</v>
      </c>
      <c r="Y419" s="20" t="s">
        <v>444</v>
      </c>
      <c r="Z419" s="20">
        <v>68</v>
      </c>
      <c r="AA419" s="18" t="s">
        <v>441</v>
      </c>
      <c r="AB419" s="18" t="s">
        <v>364</v>
      </c>
      <c r="AC419" s="20" t="s">
        <v>365</v>
      </c>
      <c r="AD419" s="18" t="s">
        <v>441</v>
      </c>
    </row>
    <row r="420" spans="1:30">
      <c r="A420" s="18">
        <v>190450</v>
      </c>
      <c r="B420" s="18">
        <v>161474</v>
      </c>
      <c r="C420" s="18" t="s">
        <v>309</v>
      </c>
      <c r="D420" s="19" t="s">
        <v>310</v>
      </c>
      <c r="E420" s="19" t="s">
        <v>537</v>
      </c>
      <c r="F420" s="21" t="s">
        <v>196</v>
      </c>
      <c r="G420" t="s">
        <v>357</v>
      </c>
      <c r="H420" s="21" t="s">
        <v>194</v>
      </c>
      <c r="I420" s="21" t="s">
        <v>283</v>
      </c>
      <c r="J420" s="22">
        <v>46058</v>
      </c>
      <c r="K420" s="21" t="s">
        <v>440</v>
      </c>
      <c r="L420" s="20">
        <v>60</v>
      </c>
      <c r="M420" s="21" t="s">
        <v>358</v>
      </c>
      <c r="N420" s="18">
        <v>190450</v>
      </c>
      <c r="O420" s="18"/>
      <c r="P420" s="18" t="s">
        <v>441</v>
      </c>
      <c r="Q420" s="20">
        <v>670</v>
      </c>
      <c r="R420" s="20">
        <v>60</v>
      </c>
      <c r="S420" s="20" t="s">
        <v>163</v>
      </c>
      <c r="T420" s="20">
        <v>674</v>
      </c>
      <c r="U420" s="20" t="s">
        <v>360</v>
      </c>
      <c r="V420" s="20" t="s">
        <v>361</v>
      </c>
      <c r="W420" s="18" t="s">
        <v>362</v>
      </c>
      <c r="X420" s="18">
        <v>190450</v>
      </c>
      <c r="Y420" s="20" t="s">
        <v>444</v>
      </c>
      <c r="Z420" s="20">
        <v>68</v>
      </c>
      <c r="AA420" s="18" t="s">
        <v>441</v>
      </c>
      <c r="AB420" s="18" t="s">
        <v>364</v>
      </c>
      <c r="AC420" s="20" t="s">
        <v>365</v>
      </c>
      <c r="AD420" s="18" t="s">
        <v>441</v>
      </c>
    </row>
    <row r="421" spans="1:30" ht="16.5">
      <c r="A421" s="10" t="s">
        <v>362</v>
      </c>
      <c r="B421" s="11">
        <v>161538</v>
      </c>
      <c r="C421" s="10" t="s">
        <v>216</v>
      </c>
      <c r="D421" s="10" t="s">
        <v>217</v>
      </c>
      <c r="E421" s="10" t="s">
        <v>218</v>
      </c>
      <c r="F421" s="10" t="s">
        <v>169</v>
      </c>
      <c r="G421" s="11" t="s">
        <v>163</v>
      </c>
      <c r="H421" s="11" t="s">
        <v>194</v>
      </c>
      <c r="I421" s="10" t="s">
        <v>215</v>
      </c>
      <c r="J421" s="12">
        <v>46057</v>
      </c>
      <c r="K421" s="10" t="s">
        <v>14</v>
      </c>
      <c r="L421" s="11">
        <v>39</v>
      </c>
      <c r="M421" s="10" t="s">
        <v>166</v>
      </c>
      <c r="N421" s="11">
        <v>190073</v>
      </c>
      <c r="O421" s="75" t="s">
        <v>538</v>
      </c>
      <c r="P421" s="27"/>
      <c r="Q421" s="26"/>
      <c r="R421" s="27"/>
      <c r="S421" s="27"/>
      <c r="T421" s="27"/>
      <c r="U421" s="27"/>
      <c r="V421" s="27"/>
      <c r="W421" s="27"/>
      <c r="X421" s="26"/>
      <c r="Y421" s="26"/>
      <c r="Z421" s="27"/>
      <c r="AA421" s="27"/>
      <c r="AB421" s="26"/>
      <c r="AC421" s="27"/>
    </row>
    <row r="422" spans="1:30" ht="16.5">
      <c r="A422" s="10" t="s">
        <v>362</v>
      </c>
      <c r="B422" s="11">
        <v>162409</v>
      </c>
      <c r="C422" s="10" t="s">
        <v>216</v>
      </c>
      <c r="D422" s="10" t="s">
        <v>217</v>
      </c>
      <c r="E422" s="10" t="s">
        <v>219</v>
      </c>
      <c r="F422" s="10" t="s">
        <v>196</v>
      </c>
      <c r="G422" s="11" t="s">
        <v>163</v>
      </c>
      <c r="H422" s="11" t="s">
        <v>194</v>
      </c>
      <c r="I422" s="10" t="s">
        <v>215</v>
      </c>
      <c r="J422" s="12">
        <v>46057</v>
      </c>
      <c r="K422" s="10" t="s">
        <v>13</v>
      </c>
      <c r="L422" s="11">
        <v>62</v>
      </c>
      <c r="M422" s="10" t="s">
        <v>166</v>
      </c>
      <c r="N422" s="11">
        <v>190074</v>
      </c>
      <c r="O422" s="75"/>
    </row>
    <row r="423" spans="1:30" ht="16.5">
      <c r="A423" s="10" t="s">
        <v>362</v>
      </c>
      <c r="B423" s="11">
        <v>162409</v>
      </c>
      <c r="C423" s="10" t="s">
        <v>216</v>
      </c>
      <c r="D423" s="10" t="s">
        <v>217</v>
      </c>
      <c r="E423" s="10" t="s">
        <v>219</v>
      </c>
      <c r="F423" s="10" t="s">
        <v>193</v>
      </c>
      <c r="G423" s="11" t="s">
        <v>163</v>
      </c>
      <c r="H423" s="11" t="s">
        <v>194</v>
      </c>
      <c r="I423" s="10" t="s">
        <v>215</v>
      </c>
      <c r="J423" s="12">
        <v>46057</v>
      </c>
      <c r="K423" s="10" t="s">
        <v>13</v>
      </c>
      <c r="L423" s="11">
        <v>62</v>
      </c>
      <c r="M423" s="10" t="s">
        <v>166</v>
      </c>
      <c r="N423" s="11">
        <v>190075</v>
      </c>
      <c r="O423" s="75"/>
    </row>
    <row r="424" spans="1:30" ht="16.5">
      <c r="A424" s="10" t="s">
        <v>362</v>
      </c>
      <c r="B424" s="11">
        <v>162410</v>
      </c>
      <c r="C424" s="10" t="s">
        <v>216</v>
      </c>
      <c r="D424" s="10" t="s">
        <v>217</v>
      </c>
      <c r="E424" s="10" t="s">
        <v>220</v>
      </c>
      <c r="F424" s="10" t="s">
        <v>193</v>
      </c>
      <c r="G424" s="11" t="s">
        <v>163</v>
      </c>
      <c r="H424" s="11" t="s">
        <v>194</v>
      </c>
      <c r="I424" s="10" t="s">
        <v>215</v>
      </c>
      <c r="J424" s="12">
        <v>46057</v>
      </c>
      <c r="K424" s="10" t="s">
        <v>13</v>
      </c>
      <c r="L424" s="11">
        <v>62</v>
      </c>
      <c r="M424" s="10" t="s">
        <v>166</v>
      </c>
      <c r="N424" s="11">
        <v>190076</v>
      </c>
      <c r="O424" s="75"/>
    </row>
    <row r="425" spans="1:30" ht="16.5">
      <c r="A425" s="10" t="s">
        <v>362</v>
      </c>
      <c r="B425" s="11">
        <v>162410</v>
      </c>
      <c r="C425" s="10" t="s">
        <v>216</v>
      </c>
      <c r="D425" s="10" t="s">
        <v>217</v>
      </c>
      <c r="E425" s="10" t="s">
        <v>220</v>
      </c>
      <c r="F425" s="10" t="s">
        <v>196</v>
      </c>
      <c r="G425" s="11" t="s">
        <v>163</v>
      </c>
      <c r="H425" s="11" t="s">
        <v>194</v>
      </c>
      <c r="I425" s="10" t="s">
        <v>215</v>
      </c>
      <c r="J425" s="12">
        <v>46057</v>
      </c>
      <c r="K425" s="10" t="s">
        <v>13</v>
      </c>
      <c r="L425" s="11">
        <v>62</v>
      </c>
      <c r="M425" s="10" t="s">
        <v>166</v>
      </c>
      <c r="N425" s="11">
        <v>190077</v>
      </c>
      <c r="O425" s="75"/>
    </row>
    <row r="426" spans="1:30" ht="16.5">
      <c r="A426" s="10" t="s">
        <v>362</v>
      </c>
      <c r="B426" s="11">
        <v>161737</v>
      </c>
      <c r="C426" s="10" t="s">
        <v>221</v>
      </c>
      <c r="D426" s="10" t="s">
        <v>217</v>
      </c>
      <c r="E426" s="10" t="s">
        <v>222</v>
      </c>
      <c r="F426" s="10" t="s">
        <v>169</v>
      </c>
      <c r="G426" s="11" t="s">
        <v>163</v>
      </c>
      <c r="H426" s="11" t="s">
        <v>194</v>
      </c>
      <c r="I426" s="10" t="s">
        <v>215</v>
      </c>
      <c r="J426" s="12">
        <v>46057</v>
      </c>
      <c r="K426" s="10" t="s">
        <v>13</v>
      </c>
      <c r="L426" s="11">
        <v>45</v>
      </c>
      <c r="M426" s="10" t="s">
        <v>166</v>
      </c>
      <c r="N426" s="11">
        <v>190085</v>
      </c>
      <c r="O426" s="75"/>
    </row>
    <row r="427" spans="1:30" ht="16.5">
      <c r="A427" s="10" t="s">
        <v>362</v>
      </c>
      <c r="B427" s="11">
        <v>161738</v>
      </c>
      <c r="C427" s="10" t="s">
        <v>221</v>
      </c>
      <c r="D427" s="10" t="s">
        <v>217</v>
      </c>
      <c r="E427" s="10" t="s">
        <v>222</v>
      </c>
      <c r="F427" s="10" t="s">
        <v>169</v>
      </c>
      <c r="G427" s="11" t="s">
        <v>163</v>
      </c>
      <c r="H427" s="11" t="s">
        <v>194</v>
      </c>
      <c r="I427" s="10" t="s">
        <v>215</v>
      </c>
      <c r="J427" s="12">
        <v>46057</v>
      </c>
      <c r="K427" s="10" t="s">
        <v>13</v>
      </c>
      <c r="L427" s="11">
        <v>58</v>
      </c>
      <c r="M427" s="10" t="s">
        <v>166</v>
      </c>
      <c r="N427" s="11">
        <v>190086</v>
      </c>
      <c r="O427" s="75"/>
    </row>
    <row r="428" spans="1:30" ht="16.5">
      <c r="A428" s="10" t="s">
        <v>362</v>
      </c>
      <c r="B428" s="11">
        <v>161113</v>
      </c>
      <c r="C428" s="10" t="s">
        <v>223</v>
      </c>
      <c r="D428" s="10" t="s">
        <v>217</v>
      </c>
      <c r="E428" s="10" t="s">
        <v>224</v>
      </c>
      <c r="F428" s="10" t="s">
        <v>169</v>
      </c>
      <c r="G428" s="11" t="s">
        <v>163</v>
      </c>
      <c r="H428" s="11" t="s">
        <v>194</v>
      </c>
      <c r="I428" s="10" t="s">
        <v>215</v>
      </c>
      <c r="J428" s="12">
        <v>46057</v>
      </c>
      <c r="K428" s="10" t="s">
        <v>13</v>
      </c>
      <c r="L428" s="11">
        <v>40</v>
      </c>
      <c r="M428" s="10" t="s">
        <v>166</v>
      </c>
      <c r="N428" s="11">
        <v>190087</v>
      </c>
      <c r="O428" s="75"/>
    </row>
  </sheetData>
  <autoFilter ref="A1:AJ428" xr:uid="{C590A357-4D3B-4700-B3FF-EC3113700B8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802A-286E-4A4F-B185-4C981C32B2B3}">
  <sheetPr filterMode="1"/>
  <dimension ref="A1:X286"/>
  <sheetViews>
    <sheetView topLeftCell="H213" zoomScale="125" workbookViewId="0">
      <selection activeCell="X282" activeCellId="13" sqref="X2:X19 X29:X37 X60:X65 X68 X72:X103 X129:X130 X133:X136 X140:X143 X153:X158 X173:X194 X207:X221 X253:X258 X267:X276 X281:X282"/>
    </sheetView>
  </sheetViews>
  <sheetFormatPr defaultColWidth="8.85546875" defaultRowHeight="12.75"/>
  <cols>
    <col min="5" max="5" width="21.42578125" customWidth="1"/>
    <col min="20" max="20" width="6" customWidth="1"/>
    <col min="23" max="23" width="6.28515625" customWidth="1"/>
  </cols>
  <sheetData>
    <row r="1" spans="1:24" ht="15">
      <c r="A1" s="13" t="s">
        <v>144</v>
      </c>
      <c r="B1" s="13" t="s">
        <v>539</v>
      </c>
      <c r="C1" s="13" t="s">
        <v>540</v>
      </c>
      <c r="D1" s="13" t="s">
        <v>541</v>
      </c>
      <c r="E1" s="14" t="s">
        <v>147</v>
      </c>
      <c r="F1" s="14" t="s">
        <v>148</v>
      </c>
      <c r="G1" s="15" t="s">
        <v>542</v>
      </c>
      <c r="H1" s="16" t="s">
        <v>149</v>
      </c>
      <c r="I1" s="15" t="s">
        <v>543</v>
      </c>
      <c r="J1" s="15" t="s">
        <v>544</v>
      </c>
      <c r="K1" s="17" t="s">
        <v>545</v>
      </c>
      <c r="L1" s="15" t="s">
        <v>154</v>
      </c>
      <c r="M1" s="15" t="s">
        <v>9</v>
      </c>
      <c r="N1" s="15" t="s">
        <v>546</v>
      </c>
      <c r="O1" s="15" t="s">
        <v>547</v>
      </c>
      <c r="P1" s="15" t="s">
        <v>548</v>
      </c>
      <c r="Q1" s="15" t="s">
        <v>549</v>
      </c>
      <c r="R1" s="15" t="s">
        <v>550</v>
      </c>
      <c r="S1" s="15" t="s">
        <v>551</v>
      </c>
      <c r="T1" s="13" t="s">
        <v>552</v>
      </c>
      <c r="U1" s="13" t="s">
        <v>144</v>
      </c>
      <c r="V1" s="15" t="s">
        <v>553</v>
      </c>
      <c r="W1" s="15" t="s">
        <v>554</v>
      </c>
    </row>
    <row r="2" spans="1:24">
      <c r="A2" s="18">
        <v>190467</v>
      </c>
      <c r="B2" s="18">
        <v>161250</v>
      </c>
      <c r="C2" s="18">
        <v>161250</v>
      </c>
      <c r="D2" s="18" t="s">
        <v>314</v>
      </c>
      <c r="E2" s="19" t="s">
        <v>315</v>
      </c>
      <c r="F2" s="19" t="s">
        <v>356</v>
      </c>
      <c r="G2" s="20">
        <v>130</v>
      </c>
      <c r="H2" s="21" t="s">
        <v>193</v>
      </c>
      <c r="I2" s="21" t="s">
        <v>164</v>
      </c>
      <c r="J2" s="21" t="s">
        <v>238</v>
      </c>
      <c r="K2" s="22">
        <v>46052</v>
      </c>
      <c r="L2" s="21" t="s">
        <v>14</v>
      </c>
      <c r="M2" s="21" t="s">
        <v>358</v>
      </c>
      <c r="N2" s="20">
        <v>670</v>
      </c>
      <c r="O2" s="20">
        <v>43</v>
      </c>
      <c r="P2" s="20" t="s">
        <v>163</v>
      </c>
      <c r="Q2" s="20">
        <v>674</v>
      </c>
      <c r="R2" s="20" t="s">
        <v>360</v>
      </c>
      <c r="S2" s="20" t="s">
        <v>361</v>
      </c>
      <c r="T2" s="18" t="s">
        <v>362</v>
      </c>
      <c r="U2" s="18">
        <v>190467</v>
      </c>
      <c r="V2" s="20" t="s">
        <v>363</v>
      </c>
      <c r="W2" s="20">
        <v>67</v>
      </c>
      <c r="X2" t="str">
        <f>VLOOKUP(C2,VN_ICT!B:W,22,TRUE)</f>
        <v>Phạm Huy Hoàng</v>
      </c>
    </row>
    <row r="3" spans="1:24">
      <c r="A3" s="18">
        <v>190468</v>
      </c>
      <c r="B3" s="18">
        <v>161250</v>
      </c>
      <c r="C3" s="18">
        <v>161250</v>
      </c>
      <c r="D3" s="18" t="s">
        <v>314</v>
      </c>
      <c r="E3" s="19" t="s">
        <v>315</v>
      </c>
      <c r="F3" s="19" t="s">
        <v>356</v>
      </c>
      <c r="G3" s="20">
        <v>131</v>
      </c>
      <c r="H3" s="21" t="s">
        <v>196</v>
      </c>
      <c r="I3" s="21" t="s">
        <v>164</v>
      </c>
      <c r="J3" s="21" t="s">
        <v>238</v>
      </c>
      <c r="K3" s="22">
        <v>46052</v>
      </c>
      <c r="L3" s="21" t="s">
        <v>14</v>
      </c>
      <c r="M3" s="21" t="s">
        <v>358</v>
      </c>
      <c r="N3" s="20">
        <v>670</v>
      </c>
      <c r="O3" s="20">
        <v>42</v>
      </c>
      <c r="P3" s="20" t="s">
        <v>163</v>
      </c>
      <c r="Q3" s="20">
        <v>674</v>
      </c>
      <c r="R3" s="20" t="s">
        <v>360</v>
      </c>
      <c r="S3" s="20" t="s">
        <v>361</v>
      </c>
      <c r="T3" s="18" t="s">
        <v>362</v>
      </c>
      <c r="U3" s="18">
        <v>190468</v>
      </c>
      <c r="V3" s="20" t="s">
        <v>363</v>
      </c>
      <c r="W3" s="20">
        <v>67</v>
      </c>
      <c r="X3" t="str">
        <f>VLOOKUP(C3,VN_ICT!B:W,22,TRUE)</f>
        <v>Phạm Huy Hoàng</v>
      </c>
    </row>
    <row r="4" spans="1:24">
      <c r="A4" s="18">
        <v>190489</v>
      </c>
      <c r="B4" s="18">
        <v>161251</v>
      </c>
      <c r="C4" s="18">
        <v>161251</v>
      </c>
      <c r="D4" s="18" t="s">
        <v>330</v>
      </c>
      <c r="E4" s="19" t="s">
        <v>331</v>
      </c>
      <c r="F4" s="19" t="s">
        <v>366</v>
      </c>
      <c r="G4" s="20">
        <v>131</v>
      </c>
      <c r="H4" s="21" t="s">
        <v>196</v>
      </c>
      <c r="I4" s="21" t="s">
        <v>194</v>
      </c>
      <c r="J4" s="21" t="s">
        <v>165</v>
      </c>
      <c r="K4" s="22">
        <v>46055</v>
      </c>
      <c r="L4" s="21" t="s">
        <v>367</v>
      </c>
      <c r="M4" s="21" t="s">
        <v>358</v>
      </c>
      <c r="N4" s="20">
        <v>670</v>
      </c>
      <c r="O4" s="20">
        <v>51</v>
      </c>
      <c r="P4" s="20" t="s">
        <v>163</v>
      </c>
      <c r="Q4" s="20">
        <v>674</v>
      </c>
      <c r="R4" s="20" t="s">
        <v>360</v>
      </c>
      <c r="S4" s="20" t="s">
        <v>361</v>
      </c>
      <c r="T4" s="18" t="s">
        <v>362</v>
      </c>
      <c r="U4" s="18">
        <v>190489</v>
      </c>
      <c r="V4" s="20" t="s">
        <v>363</v>
      </c>
      <c r="W4" s="20">
        <v>67</v>
      </c>
      <c r="X4" t="str">
        <f>VLOOKUP(C4,VN_ICT!B:W,22,TRUE)</f>
        <v>Lê Bá Vui</v>
      </c>
    </row>
    <row r="5" spans="1:24">
      <c r="A5" s="18">
        <v>190490</v>
      </c>
      <c r="B5" s="18">
        <v>161251</v>
      </c>
      <c r="C5" s="18">
        <v>161251</v>
      </c>
      <c r="D5" s="18" t="s">
        <v>330</v>
      </c>
      <c r="E5" s="19" t="s">
        <v>331</v>
      </c>
      <c r="F5" s="19" t="s">
        <v>366</v>
      </c>
      <c r="G5" s="20">
        <v>132</v>
      </c>
      <c r="H5" s="21" t="s">
        <v>197</v>
      </c>
      <c r="I5" s="21" t="s">
        <v>194</v>
      </c>
      <c r="J5" s="21" t="s">
        <v>165</v>
      </c>
      <c r="K5" s="22">
        <v>46055</v>
      </c>
      <c r="L5" s="21" t="s">
        <v>367</v>
      </c>
      <c r="M5" s="21" t="s">
        <v>358</v>
      </c>
      <c r="N5" s="20">
        <v>670</v>
      </c>
      <c r="O5" s="20">
        <v>51</v>
      </c>
      <c r="P5" s="20" t="s">
        <v>163</v>
      </c>
      <c r="Q5" s="20">
        <v>674</v>
      </c>
      <c r="R5" s="20" t="s">
        <v>360</v>
      </c>
      <c r="S5" s="20" t="s">
        <v>361</v>
      </c>
      <c r="T5" s="18" t="s">
        <v>362</v>
      </c>
      <c r="U5" s="18">
        <v>190490</v>
      </c>
      <c r="V5" s="20" t="s">
        <v>363</v>
      </c>
      <c r="W5" s="20">
        <v>67</v>
      </c>
      <c r="X5" t="str">
        <f>VLOOKUP(C5,VN_ICT!B:W,22,TRUE)</f>
        <v>Lê Bá Vui</v>
      </c>
    </row>
    <row r="6" spans="1:24">
      <c r="A6" s="18">
        <v>190491</v>
      </c>
      <c r="B6" s="18">
        <v>161251</v>
      </c>
      <c r="C6" s="18">
        <v>161251</v>
      </c>
      <c r="D6" s="18" t="s">
        <v>330</v>
      </c>
      <c r="E6" s="19" t="s">
        <v>331</v>
      </c>
      <c r="F6" s="19" t="s">
        <v>366</v>
      </c>
      <c r="G6" s="20">
        <v>130</v>
      </c>
      <c r="H6" s="21" t="s">
        <v>193</v>
      </c>
      <c r="I6" s="21" t="s">
        <v>194</v>
      </c>
      <c r="J6" s="21" t="s">
        <v>165</v>
      </c>
      <c r="K6" s="22">
        <v>46055</v>
      </c>
      <c r="L6" s="21" t="s">
        <v>367</v>
      </c>
      <c r="M6" s="21" t="s">
        <v>358</v>
      </c>
      <c r="N6" s="20">
        <v>670</v>
      </c>
      <c r="O6" s="20">
        <v>52</v>
      </c>
      <c r="P6" s="20" t="s">
        <v>163</v>
      </c>
      <c r="Q6" s="20">
        <v>674</v>
      </c>
      <c r="R6" s="20" t="s">
        <v>360</v>
      </c>
      <c r="S6" s="20" t="s">
        <v>361</v>
      </c>
      <c r="T6" s="18" t="s">
        <v>362</v>
      </c>
      <c r="U6" s="18">
        <v>190491</v>
      </c>
      <c r="V6" s="20" t="s">
        <v>363</v>
      </c>
      <c r="W6" s="20">
        <v>67</v>
      </c>
      <c r="X6" t="str">
        <f>VLOOKUP(C6,VN_ICT!B:W,22,TRUE)</f>
        <v>Lê Bá Vui</v>
      </c>
    </row>
    <row r="7" spans="1:24">
      <c r="A7" s="18">
        <v>190493</v>
      </c>
      <c r="B7" s="18">
        <v>161252</v>
      </c>
      <c r="C7" s="18">
        <v>161252</v>
      </c>
      <c r="D7" s="18" t="s">
        <v>330</v>
      </c>
      <c r="E7" s="19" t="s">
        <v>331</v>
      </c>
      <c r="F7" s="19" t="s">
        <v>369</v>
      </c>
      <c r="G7" s="20">
        <v>130</v>
      </c>
      <c r="H7" s="21" t="s">
        <v>193</v>
      </c>
      <c r="I7" s="21" t="s">
        <v>194</v>
      </c>
      <c r="J7" s="21" t="s">
        <v>165</v>
      </c>
      <c r="K7" s="22">
        <v>46055</v>
      </c>
      <c r="L7" s="21" t="s">
        <v>367</v>
      </c>
      <c r="M7" s="21" t="s">
        <v>358</v>
      </c>
      <c r="N7" s="20">
        <v>670</v>
      </c>
      <c r="O7" s="20">
        <v>47</v>
      </c>
      <c r="P7" s="20" t="s">
        <v>163</v>
      </c>
      <c r="Q7" s="20">
        <v>674</v>
      </c>
      <c r="R7" s="20" t="s">
        <v>360</v>
      </c>
      <c r="S7" s="20" t="s">
        <v>361</v>
      </c>
      <c r="T7" s="18" t="s">
        <v>362</v>
      </c>
      <c r="U7" s="18">
        <v>190493</v>
      </c>
      <c r="V7" s="20" t="s">
        <v>363</v>
      </c>
      <c r="W7" s="20">
        <v>67</v>
      </c>
      <c r="X7" t="str">
        <f>VLOOKUP(C7,VN_ICT!B:W,22,TRUE)</f>
        <v>Nguyễn Đình Thuận</v>
      </c>
    </row>
    <row r="8" spans="1:24">
      <c r="A8" s="18">
        <v>190492</v>
      </c>
      <c r="B8" s="18">
        <v>161252</v>
      </c>
      <c r="C8" s="18">
        <v>161252</v>
      </c>
      <c r="D8" s="18" t="s">
        <v>330</v>
      </c>
      <c r="E8" s="19" t="s">
        <v>331</v>
      </c>
      <c r="F8" s="19" t="s">
        <v>369</v>
      </c>
      <c r="G8" s="20">
        <v>131</v>
      </c>
      <c r="H8" s="21" t="s">
        <v>196</v>
      </c>
      <c r="I8" s="21" t="s">
        <v>194</v>
      </c>
      <c r="J8" s="21" t="s">
        <v>165</v>
      </c>
      <c r="K8" s="22">
        <v>46055</v>
      </c>
      <c r="L8" s="21" t="s">
        <v>367</v>
      </c>
      <c r="M8" s="21" t="s">
        <v>358</v>
      </c>
      <c r="N8" s="20">
        <v>670</v>
      </c>
      <c r="O8" s="20">
        <v>47</v>
      </c>
      <c r="P8" s="20" t="s">
        <v>163</v>
      </c>
      <c r="Q8" s="20">
        <v>674</v>
      </c>
      <c r="R8" s="20" t="s">
        <v>360</v>
      </c>
      <c r="S8" s="20" t="s">
        <v>361</v>
      </c>
      <c r="T8" s="18" t="s">
        <v>362</v>
      </c>
      <c r="U8" s="18">
        <v>190492</v>
      </c>
      <c r="V8" s="20" t="s">
        <v>363</v>
      </c>
      <c r="W8" s="20">
        <v>67</v>
      </c>
      <c r="X8" t="str">
        <f>VLOOKUP(C8,VN_ICT!B:W,22,TRUE)</f>
        <v>Nguyễn Đình Thuận</v>
      </c>
    </row>
    <row r="9" spans="1:24">
      <c r="A9" s="18">
        <v>190494</v>
      </c>
      <c r="B9" s="18">
        <v>161252</v>
      </c>
      <c r="C9" s="18">
        <v>161252</v>
      </c>
      <c r="D9" s="18" t="s">
        <v>330</v>
      </c>
      <c r="E9" s="19" t="s">
        <v>331</v>
      </c>
      <c r="F9" s="19" t="s">
        <v>369</v>
      </c>
      <c r="G9" s="20">
        <v>132</v>
      </c>
      <c r="H9" s="21" t="s">
        <v>197</v>
      </c>
      <c r="I9" s="21" t="s">
        <v>194</v>
      </c>
      <c r="J9" s="21" t="s">
        <v>165</v>
      </c>
      <c r="K9" s="22">
        <v>46055</v>
      </c>
      <c r="L9" s="21" t="s">
        <v>367</v>
      </c>
      <c r="M9" s="21" t="s">
        <v>358</v>
      </c>
      <c r="N9" s="20">
        <v>670</v>
      </c>
      <c r="O9" s="20">
        <v>47</v>
      </c>
      <c r="P9" s="20" t="s">
        <v>163</v>
      </c>
      <c r="Q9" s="20">
        <v>674</v>
      </c>
      <c r="R9" s="20" t="s">
        <v>360</v>
      </c>
      <c r="S9" s="20" t="s">
        <v>361</v>
      </c>
      <c r="T9" s="18" t="s">
        <v>362</v>
      </c>
      <c r="U9" s="18">
        <v>190494</v>
      </c>
      <c r="V9" s="20" t="s">
        <v>363</v>
      </c>
      <c r="W9" s="20">
        <v>67</v>
      </c>
      <c r="X9" t="str">
        <f>VLOOKUP(C9,VN_ICT!B:W,22,TRUE)</f>
        <v>Nguyễn Đình Thuận</v>
      </c>
    </row>
    <row r="10" spans="1:24">
      <c r="A10" s="18">
        <v>190235</v>
      </c>
      <c r="B10" s="18">
        <v>161253</v>
      </c>
      <c r="C10" s="18">
        <v>161253</v>
      </c>
      <c r="D10" s="18" t="s">
        <v>272</v>
      </c>
      <c r="E10" s="19" t="s">
        <v>273</v>
      </c>
      <c r="F10" s="19" t="s">
        <v>366</v>
      </c>
      <c r="G10" s="20">
        <v>130</v>
      </c>
      <c r="H10" s="21" t="s">
        <v>193</v>
      </c>
      <c r="I10" s="21" t="s">
        <v>164</v>
      </c>
      <c r="J10" s="21" t="s">
        <v>165</v>
      </c>
      <c r="K10" s="22">
        <v>46048</v>
      </c>
      <c r="L10" s="21" t="s">
        <v>371</v>
      </c>
      <c r="M10" s="21" t="s">
        <v>358</v>
      </c>
      <c r="N10" s="20">
        <v>670</v>
      </c>
      <c r="O10" s="20">
        <v>60</v>
      </c>
      <c r="P10" s="20" t="s">
        <v>163</v>
      </c>
      <c r="Q10" s="20">
        <v>674</v>
      </c>
      <c r="R10" s="20" t="s">
        <v>360</v>
      </c>
      <c r="S10" s="20" t="s">
        <v>361</v>
      </c>
      <c r="T10" s="18" t="s">
        <v>362</v>
      </c>
      <c r="U10" s="18">
        <v>190235</v>
      </c>
      <c r="V10" s="20" t="s">
        <v>363</v>
      </c>
      <c r="W10" s="20">
        <v>67</v>
      </c>
      <c r="X10" t="str">
        <f>VLOOKUP(C10,VN_ICT!B:W,22,TRUE)</f>
        <v>Nguyễn Thị Kim Anh</v>
      </c>
    </row>
    <row r="11" spans="1:24">
      <c r="A11" s="18">
        <v>190234</v>
      </c>
      <c r="B11" s="18">
        <v>161253</v>
      </c>
      <c r="C11" s="18">
        <v>161253</v>
      </c>
      <c r="D11" s="18" t="s">
        <v>272</v>
      </c>
      <c r="E11" s="19" t="s">
        <v>273</v>
      </c>
      <c r="F11" s="19" t="s">
        <v>366</v>
      </c>
      <c r="G11" s="20">
        <v>131</v>
      </c>
      <c r="H11" s="21" t="s">
        <v>196</v>
      </c>
      <c r="I11" s="21" t="s">
        <v>164</v>
      </c>
      <c r="J11" s="21" t="s">
        <v>165</v>
      </c>
      <c r="K11" s="22">
        <v>46048</v>
      </c>
      <c r="L11" s="21" t="s">
        <v>371</v>
      </c>
      <c r="M11" s="21" t="s">
        <v>358</v>
      </c>
      <c r="N11" s="20">
        <v>670</v>
      </c>
      <c r="O11" s="20">
        <v>60</v>
      </c>
      <c r="P11" s="20" t="s">
        <v>163</v>
      </c>
      <c r="Q11" s="20">
        <v>674</v>
      </c>
      <c r="R11" s="20" t="s">
        <v>360</v>
      </c>
      <c r="S11" s="20" t="s">
        <v>361</v>
      </c>
      <c r="T11" s="18" t="s">
        <v>362</v>
      </c>
      <c r="U11" s="18">
        <v>190234</v>
      </c>
      <c r="V11" s="20" t="s">
        <v>363</v>
      </c>
      <c r="W11" s="20">
        <v>67</v>
      </c>
      <c r="X11" t="str">
        <f>VLOOKUP(C11,VN_ICT!B:W,22,TRUE)</f>
        <v>Nguyễn Thị Kim Anh</v>
      </c>
    </row>
    <row r="12" spans="1:24">
      <c r="A12" s="18">
        <v>190237</v>
      </c>
      <c r="B12" s="18">
        <v>161254</v>
      </c>
      <c r="C12" s="18">
        <v>161254</v>
      </c>
      <c r="D12" s="18" t="s">
        <v>272</v>
      </c>
      <c r="E12" s="19" t="s">
        <v>273</v>
      </c>
      <c r="F12" s="19" t="s">
        <v>369</v>
      </c>
      <c r="G12" s="20">
        <v>131</v>
      </c>
      <c r="H12" s="21" t="s">
        <v>196</v>
      </c>
      <c r="I12" s="21" t="s">
        <v>164</v>
      </c>
      <c r="J12" s="21" t="s">
        <v>165</v>
      </c>
      <c r="K12" s="22">
        <v>46048</v>
      </c>
      <c r="L12" s="21" t="s">
        <v>371</v>
      </c>
      <c r="M12" s="21" t="s">
        <v>358</v>
      </c>
      <c r="N12" s="20">
        <v>670</v>
      </c>
      <c r="O12" s="20">
        <v>65</v>
      </c>
      <c r="P12" s="20" t="s">
        <v>163</v>
      </c>
      <c r="Q12" s="20">
        <v>674</v>
      </c>
      <c r="R12" s="20" t="s">
        <v>360</v>
      </c>
      <c r="S12" s="20" t="s">
        <v>361</v>
      </c>
      <c r="T12" s="18" t="s">
        <v>362</v>
      </c>
      <c r="U12" s="18">
        <v>190237</v>
      </c>
      <c r="V12" s="20" t="s">
        <v>363</v>
      </c>
      <c r="W12" s="20">
        <v>67</v>
      </c>
      <c r="X12" t="str">
        <f>VLOOKUP(C12,VN_ICT!B:W,22,TRUE)</f>
        <v>Đỗ Tiến Dũng</v>
      </c>
    </row>
    <row r="13" spans="1:24">
      <c r="A13" s="18">
        <v>190236</v>
      </c>
      <c r="B13" s="18">
        <v>161254</v>
      </c>
      <c r="C13" s="18">
        <v>161254</v>
      </c>
      <c r="D13" s="18" t="s">
        <v>272</v>
      </c>
      <c r="E13" s="19" t="s">
        <v>273</v>
      </c>
      <c r="F13" s="19" t="s">
        <v>369</v>
      </c>
      <c r="G13" s="20">
        <v>130</v>
      </c>
      <c r="H13" s="21" t="s">
        <v>193</v>
      </c>
      <c r="I13" s="21" t="s">
        <v>164</v>
      </c>
      <c r="J13" s="21" t="s">
        <v>165</v>
      </c>
      <c r="K13" s="22">
        <v>46048</v>
      </c>
      <c r="L13" s="21" t="s">
        <v>371</v>
      </c>
      <c r="M13" s="21" t="s">
        <v>358</v>
      </c>
      <c r="N13" s="20">
        <v>670</v>
      </c>
      <c r="O13" s="20">
        <v>66</v>
      </c>
      <c r="P13" s="20" t="s">
        <v>163</v>
      </c>
      <c r="Q13" s="20">
        <v>674</v>
      </c>
      <c r="R13" s="20" t="s">
        <v>360</v>
      </c>
      <c r="S13" s="20" t="s">
        <v>361</v>
      </c>
      <c r="T13" s="18" t="s">
        <v>362</v>
      </c>
      <c r="U13" s="18">
        <v>190236</v>
      </c>
      <c r="V13" s="20" t="s">
        <v>363</v>
      </c>
      <c r="W13" s="20">
        <v>67</v>
      </c>
      <c r="X13" t="str">
        <f>VLOOKUP(C13,VN_ICT!B:W,22,TRUE)</f>
        <v>Đỗ Tiến Dũng</v>
      </c>
    </row>
    <row r="14" spans="1:24">
      <c r="A14" s="18">
        <v>190407</v>
      </c>
      <c r="B14" s="18">
        <v>161255</v>
      </c>
      <c r="C14" s="18">
        <v>161255</v>
      </c>
      <c r="D14" s="18" t="s">
        <v>92</v>
      </c>
      <c r="E14" s="19" t="s">
        <v>298</v>
      </c>
      <c r="F14" s="19" t="s">
        <v>375</v>
      </c>
      <c r="G14" s="20">
        <v>130</v>
      </c>
      <c r="H14" s="21" t="s">
        <v>193</v>
      </c>
      <c r="I14" s="21" t="s">
        <v>228</v>
      </c>
      <c r="J14" s="21" t="s">
        <v>165</v>
      </c>
      <c r="K14" s="22">
        <v>46041</v>
      </c>
      <c r="L14" s="21" t="s">
        <v>475</v>
      </c>
      <c r="M14" s="21" t="s">
        <v>358</v>
      </c>
      <c r="N14" s="20">
        <v>670</v>
      </c>
      <c r="O14" s="20">
        <v>61</v>
      </c>
      <c r="P14" s="20" t="s">
        <v>163</v>
      </c>
      <c r="Q14" s="20">
        <v>674</v>
      </c>
      <c r="R14" s="20" t="s">
        <v>360</v>
      </c>
      <c r="S14" s="20" t="s">
        <v>361</v>
      </c>
      <c r="T14" s="18" t="s">
        <v>362</v>
      </c>
      <c r="U14" s="18">
        <v>190407</v>
      </c>
      <c r="V14" s="20" t="s">
        <v>378</v>
      </c>
      <c r="W14" s="20">
        <v>67</v>
      </c>
      <c r="X14" t="str">
        <f>VLOOKUP(C14,VN_ICT!B:W,22,TRUE)</f>
        <v>Lê Hải Nam (0.4) - Nguyễn Sơn Tùng (0.6)</v>
      </c>
    </row>
    <row r="15" spans="1:24">
      <c r="A15" s="18">
        <v>190408</v>
      </c>
      <c r="B15" s="18">
        <v>161255</v>
      </c>
      <c r="C15" s="18">
        <v>161255</v>
      </c>
      <c r="D15" s="18" t="s">
        <v>92</v>
      </c>
      <c r="E15" s="19" t="s">
        <v>298</v>
      </c>
      <c r="F15" s="19" t="s">
        <v>375</v>
      </c>
      <c r="G15" s="20">
        <v>131</v>
      </c>
      <c r="H15" s="21" t="s">
        <v>196</v>
      </c>
      <c r="I15" s="21" t="s">
        <v>228</v>
      </c>
      <c r="J15" s="21" t="s">
        <v>165</v>
      </c>
      <c r="K15" s="22">
        <v>46041</v>
      </c>
      <c r="L15" s="21" t="s">
        <v>475</v>
      </c>
      <c r="M15" s="21" t="s">
        <v>358</v>
      </c>
      <c r="N15" s="20">
        <v>670</v>
      </c>
      <c r="O15" s="20">
        <v>61</v>
      </c>
      <c r="P15" s="20" t="s">
        <v>163</v>
      </c>
      <c r="Q15" s="20">
        <v>674</v>
      </c>
      <c r="R15" s="20" t="s">
        <v>360</v>
      </c>
      <c r="S15" s="20" t="s">
        <v>361</v>
      </c>
      <c r="T15" s="18" t="s">
        <v>362</v>
      </c>
      <c r="U15" s="18">
        <v>190408</v>
      </c>
      <c r="V15" s="20" t="s">
        <v>378</v>
      </c>
      <c r="W15" s="20">
        <v>67</v>
      </c>
      <c r="X15" t="str">
        <f>VLOOKUP(C15,VN_ICT!B:W,22,TRUE)</f>
        <v>Lê Hải Nam (0.4) - Nguyễn Sơn Tùng (0.6)</v>
      </c>
    </row>
    <row r="16" spans="1:24">
      <c r="A16" s="18">
        <v>190410</v>
      </c>
      <c r="B16" s="18">
        <v>161256</v>
      </c>
      <c r="C16" s="18">
        <v>161256</v>
      </c>
      <c r="D16" s="18" t="s">
        <v>92</v>
      </c>
      <c r="E16" s="19" t="s">
        <v>298</v>
      </c>
      <c r="F16" s="19" t="s">
        <v>380</v>
      </c>
      <c r="G16" s="20">
        <v>130</v>
      </c>
      <c r="H16" s="21" t="s">
        <v>193</v>
      </c>
      <c r="I16" s="21" t="s">
        <v>228</v>
      </c>
      <c r="J16" s="21" t="s">
        <v>165</v>
      </c>
      <c r="K16" s="22">
        <v>46041</v>
      </c>
      <c r="L16" s="21" t="s">
        <v>475</v>
      </c>
      <c r="M16" s="21" t="s">
        <v>358</v>
      </c>
      <c r="N16" s="20">
        <v>670</v>
      </c>
      <c r="O16" s="20">
        <v>61</v>
      </c>
      <c r="P16" s="20" t="s">
        <v>163</v>
      </c>
      <c r="Q16" s="20">
        <v>674</v>
      </c>
      <c r="R16" s="20" t="s">
        <v>360</v>
      </c>
      <c r="S16" s="20" t="s">
        <v>361</v>
      </c>
      <c r="T16" s="18" t="s">
        <v>362</v>
      </c>
      <c r="U16" s="18">
        <v>190410</v>
      </c>
      <c r="V16" s="20" t="s">
        <v>378</v>
      </c>
      <c r="W16" s="20">
        <v>67</v>
      </c>
      <c r="X16" t="str">
        <f>VLOOKUP(C16,VN_ICT!B:W,22,TRUE)</f>
        <v>Lê Hải Nam (0.4) - Nguyễn Sơn Tùng (0.6)</v>
      </c>
    </row>
    <row r="17" spans="1:24">
      <c r="A17" s="18">
        <v>190409</v>
      </c>
      <c r="B17" s="18">
        <v>161256</v>
      </c>
      <c r="C17" s="18">
        <v>161256</v>
      </c>
      <c r="D17" s="18" t="s">
        <v>92</v>
      </c>
      <c r="E17" s="19" t="s">
        <v>298</v>
      </c>
      <c r="F17" s="19" t="s">
        <v>380</v>
      </c>
      <c r="G17" s="20">
        <v>131</v>
      </c>
      <c r="H17" s="21" t="s">
        <v>196</v>
      </c>
      <c r="I17" s="21" t="s">
        <v>228</v>
      </c>
      <c r="J17" s="21" t="s">
        <v>165</v>
      </c>
      <c r="K17" s="22">
        <v>46041</v>
      </c>
      <c r="L17" s="21" t="s">
        <v>475</v>
      </c>
      <c r="M17" s="21" t="s">
        <v>358</v>
      </c>
      <c r="N17" s="20">
        <v>670</v>
      </c>
      <c r="O17" s="20">
        <v>61</v>
      </c>
      <c r="P17" s="20" t="s">
        <v>163</v>
      </c>
      <c r="Q17" s="20">
        <v>674</v>
      </c>
      <c r="R17" s="20" t="s">
        <v>360</v>
      </c>
      <c r="S17" s="20" t="s">
        <v>361</v>
      </c>
      <c r="T17" s="18" t="s">
        <v>362</v>
      </c>
      <c r="U17" s="18">
        <v>190409</v>
      </c>
      <c r="V17" s="20" t="s">
        <v>378</v>
      </c>
      <c r="W17" s="20">
        <v>67</v>
      </c>
      <c r="X17" t="str">
        <f>VLOOKUP(C17,VN_ICT!B:W,22,TRUE)</f>
        <v>Lê Hải Nam (0.4) - Nguyễn Sơn Tùng (0.6)</v>
      </c>
    </row>
    <row r="18" spans="1:24">
      <c r="A18" s="18">
        <v>190411</v>
      </c>
      <c r="B18" s="18">
        <v>161257</v>
      </c>
      <c r="C18" s="18">
        <v>161257</v>
      </c>
      <c r="D18" s="18" t="s">
        <v>92</v>
      </c>
      <c r="E18" s="19" t="s">
        <v>298</v>
      </c>
      <c r="F18" s="19" t="s">
        <v>381</v>
      </c>
      <c r="G18" s="20">
        <v>131</v>
      </c>
      <c r="H18" s="21" t="s">
        <v>196</v>
      </c>
      <c r="I18" s="21" t="s">
        <v>228</v>
      </c>
      <c r="J18" s="21" t="s">
        <v>165</v>
      </c>
      <c r="K18" s="22">
        <v>46041</v>
      </c>
      <c r="L18" s="21" t="s">
        <v>475</v>
      </c>
      <c r="M18" s="21" t="s">
        <v>358</v>
      </c>
      <c r="N18" s="20">
        <v>670</v>
      </c>
      <c r="O18" s="20">
        <v>64</v>
      </c>
      <c r="P18" s="20" t="s">
        <v>163</v>
      </c>
      <c r="Q18" s="20">
        <v>674</v>
      </c>
      <c r="R18" s="20" t="s">
        <v>360</v>
      </c>
      <c r="S18" s="20" t="s">
        <v>361</v>
      </c>
      <c r="T18" s="18" t="s">
        <v>362</v>
      </c>
      <c r="U18" s="18">
        <v>190411</v>
      </c>
      <c r="V18" s="20" t="s">
        <v>378</v>
      </c>
      <c r="W18" s="20">
        <v>67</v>
      </c>
      <c r="X18" t="str">
        <f>VLOOKUP(C18,VN_ICT!B:W,22,TRUE)</f>
        <v>Trịnh Tuấn Đạt</v>
      </c>
    </row>
    <row r="19" spans="1:24">
      <c r="A19" s="18">
        <v>190412</v>
      </c>
      <c r="B19" s="18">
        <v>161257</v>
      </c>
      <c r="C19" s="18">
        <v>161257</v>
      </c>
      <c r="D19" s="18" t="s">
        <v>92</v>
      </c>
      <c r="E19" s="19" t="s">
        <v>298</v>
      </c>
      <c r="F19" s="19" t="s">
        <v>381</v>
      </c>
      <c r="G19" s="20">
        <v>130</v>
      </c>
      <c r="H19" s="21" t="s">
        <v>193</v>
      </c>
      <c r="I19" s="21" t="s">
        <v>228</v>
      </c>
      <c r="J19" s="21" t="s">
        <v>165</v>
      </c>
      <c r="K19" s="22">
        <v>46041</v>
      </c>
      <c r="L19" s="21" t="s">
        <v>475</v>
      </c>
      <c r="M19" s="21" t="s">
        <v>358</v>
      </c>
      <c r="N19" s="20">
        <v>670</v>
      </c>
      <c r="O19" s="20">
        <v>64</v>
      </c>
      <c r="P19" s="20" t="s">
        <v>163</v>
      </c>
      <c r="Q19" s="20">
        <v>674</v>
      </c>
      <c r="R19" s="20" t="s">
        <v>360</v>
      </c>
      <c r="S19" s="20" t="s">
        <v>361</v>
      </c>
      <c r="T19" s="18" t="s">
        <v>362</v>
      </c>
      <c r="U19" s="18">
        <v>190412</v>
      </c>
      <c r="V19" s="20" t="s">
        <v>378</v>
      </c>
      <c r="W19" s="20">
        <v>67</v>
      </c>
      <c r="X19" t="str">
        <f>VLOOKUP(C19,VN_ICT!B:W,22,TRUE)</f>
        <v>Trịnh Tuấn Đạt</v>
      </c>
    </row>
    <row r="20" spans="1:24" hidden="1">
      <c r="A20" s="18">
        <v>190345</v>
      </c>
      <c r="B20" s="18">
        <v>161258</v>
      </c>
      <c r="C20" s="18">
        <v>161258</v>
      </c>
      <c r="D20" s="18" t="s">
        <v>555</v>
      </c>
      <c r="E20" s="19" t="s">
        <v>556</v>
      </c>
      <c r="F20" s="19" t="s">
        <v>557</v>
      </c>
      <c r="G20" s="20">
        <v>365</v>
      </c>
      <c r="H20" s="21" t="s">
        <v>169</v>
      </c>
      <c r="I20" s="23" t="s">
        <v>558</v>
      </c>
      <c r="J20" s="21"/>
      <c r="K20" s="22"/>
      <c r="L20" s="21"/>
      <c r="M20" s="21"/>
      <c r="N20" s="20">
        <v>670</v>
      </c>
      <c r="O20" s="20">
        <v>39</v>
      </c>
      <c r="P20" s="20" t="s">
        <v>163</v>
      </c>
      <c r="Q20" s="20">
        <v>674</v>
      </c>
      <c r="R20" s="20" t="s">
        <v>360</v>
      </c>
      <c r="S20" s="20" t="s">
        <v>361</v>
      </c>
      <c r="T20" s="18" t="s">
        <v>362</v>
      </c>
      <c r="U20" s="18">
        <v>190345</v>
      </c>
      <c r="V20" s="20" t="s">
        <v>23</v>
      </c>
      <c r="W20" s="20">
        <v>67</v>
      </c>
      <c r="X20" t="str">
        <f>VLOOKUP(C20,VN_ICT!B:W,22,TRUE)</f>
        <v>Bùi Trọng Tùng</v>
      </c>
    </row>
    <row r="21" spans="1:24" hidden="1">
      <c r="A21" s="18">
        <v>190346</v>
      </c>
      <c r="B21" s="18">
        <v>161259</v>
      </c>
      <c r="C21" s="18">
        <v>161259</v>
      </c>
      <c r="D21" s="18" t="s">
        <v>555</v>
      </c>
      <c r="E21" s="19" t="s">
        <v>556</v>
      </c>
      <c r="F21" s="19" t="s">
        <v>369</v>
      </c>
      <c r="G21" s="20">
        <v>365</v>
      </c>
      <c r="H21" s="21" t="s">
        <v>169</v>
      </c>
      <c r="I21" s="23" t="s">
        <v>558</v>
      </c>
      <c r="J21" s="21"/>
      <c r="K21" s="22"/>
      <c r="L21" s="21"/>
      <c r="M21" s="21"/>
      <c r="N21" s="20">
        <v>670</v>
      </c>
      <c r="O21" s="20">
        <v>40</v>
      </c>
      <c r="P21" s="20" t="s">
        <v>163</v>
      </c>
      <c r="Q21" s="20">
        <v>674</v>
      </c>
      <c r="R21" s="20" t="s">
        <v>360</v>
      </c>
      <c r="S21" s="20" t="s">
        <v>361</v>
      </c>
      <c r="T21" s="18" t="s">
        <v>362</v>
      </c>
      <c r="U21" s="18">
        <v>190346</v>
      </c>
      <c r="V21" s="20" t="s">
        <v>23</v>
      </c>
      <c r="W21" s="20">
        <v>67</v>
      </c>
      <c r="X21" t="str">
        <f>VLOOKUP(C21,VN_ICT!B:W,22,TRUE)</f>
        <v>Trương Thị Diệu Linh</v>
      </c>
    </row>
    <row r="22" spans="1:24" hidden="1">
      <c r="A22" s="18">
        <v>190347</v>
      </c>
      <c r="B22" s="18">
        <v>161260</v>
      </c>
      <c r="C22" s="18">
        <v>161260</v>
      </c>
      <c r="D22" s="18" t="s">
        <v>555</v>
      </c>
      <c r="E22" s="19" t="s">
        <v>556</v>
      </c>
      <c r="F22" s="19" t="s">
        <v>559</v>
      </c>
      <c r="G22" s="20">
        <v>365</v>
      </c>
      <c r="H22" s="21" t="s">
        <v>169</v>
      </c>
      <c r="I22" s="23" t="s">
        <v>558</v>
      </c>
      <c r="J22" s="21"/>
      <c r="K22" s="22"/>
      <c r="L22" s="21"/>
      <c r="M22" s="21"/>
      <c r="N22" s="20">
        <v>670</v>
      </c>
      <c r="O22" s="20">
        <v>39</v>
      </c>
      <c r="P22" s="20" t="s">
        <v>163</v>
      </c>
      <c r="Q22" s="20">
        <v>674</v>
      </c>
      <c r="R22" s="20" t="s">
        <v>360</v>
      </c>
      <c r="S22" s="20" t="s">
        <v>361</v>
      </c>
      <c r="T22" s="18" t="s">
        <v>362</v>
      </c>
      <c r="U22" s="18">
        <v>190347</v>
      </c>
      <c r="V22" s="20" t="s">
        <v>24</v>
      </c>
      <c r="W22" s="20">
        <v>67</v>
      </c>
      <c r="X22" t="str">
        <f>VLOOKUP(C22,VN_ICT!B:W,22,TRUE)</f>
        <v>Lã Thế Vinh</v>
      </c>
    </row>
    <row r="23" spans="1:24" hidden="1">
      <c r="A23" s="18">
        <v>190348</v>
      </c>
      <c r="B23" s="18">
        <v>161261</v>
      </c>
      <c r="C23" s="18">
        <v>161261</v>
      </c>
      <c r="D23" s="18" t="s">
        <v>555</v>
      </c>
      <c r="E23" s="19" t="s">
        <v>556</v>
      </c>
      <c r="F23" s="19" t="s">
        <v>560</v>
      </c>
      <c r="G23" s="20">
        <v>365</v>
      </c>
      <c r="H23" s="21" t="s">
        <v>169</v>
      </c>
      <c r="I23" s="23" t="s">
        <v>558</v>
      </c>
      <c r="J23" s="21"/>
      <c r="K23" s="22"/>
      <c r="L23" s="21"/>
      <c r="M23" s="21"/>
      <c r="N23" s="20">
        <v>670</v>
      </c>
      <c r="O23" s="20">
        <v>40</v>
      </c>
      <c r="P23" s="20" t="s">
        <v>163</v>
      </c>
      <c r="Q23" s="20">
        <v>674</v>
      </c>
      <c r="R23" s="20" t="s">
        <v>360</v>
      </c>
      <c r="S23" s="20" t="s">
        <v>361</v>
      </c>
      <c r="T23" s="18" t="s">
        <v>362</v>
      </c>
      <c r="U23" s="18">
        <v>190348</v>
      </c>
      <c r="V23" s="20" t="s">
        <v>23</v>
      </c>
      <c r="W23" s="20">
        <v>67</v>
      </c>
      <c r="X23" t="str">
        <f>VLOOKUP(C23,VN_ICT!B:W,22,TRUE)</f>
        <v>Đặng Tuấn Linh (0.5) - Trần Nguyên Ngọc (0.5)</v>
      </c>
    </row>
    <row r="24" spans="1:24" hidden="1">
      <c r="A24" s="18">
        <v>190349</v>
      </c>
      <c r="B24" s="18">
        <v>161262</v>
      </c>
      <c r="C24" s="18">
        <v>161262</v>
      </c>
      <c r="D24" s="18" t="s">
        <v>555</v>
      </c>
      <c r="E24" s="19" t="s">
        <v>556</v>
      </c>
      <c r="F24" s="19" t="s">
        <v>561</v>
      </c>
      <c r="G24" s="20">
        <v>365</v>
      </c>
      <c r="H24" s="21" t="s">
        <v>169</v>
      </c>
      <c r="I24" s="23" t="s">
        <v>558</v>
      </c>
      <c r="J24" s="21"/>
      <c r="K24" s="22"/>
      <c r="L24" s="21"/>
      <c r="M24" s="21"/>
      <c r="N24" s="20">
        <v>670</v>
      </c>
      <c r="O24" s="20">
        <v>40</v>
      </c>
      <c r="P24" s="20" t="s">
        <v>163</v>
      </c>
      <c r="Q24" s="20">
        <v>674</v>
      </c>
      <c r="R24" s="20" t="s">
        <v>360</v>
      </c>
      <c r="S24" s="20" t="s">
        <v>361</v>
      </c>
      <c r="T24" s="18" t="s">
        <v>362</v>
      </c>
      <c r="U24" s="18">
        <v>190349</v>
      </c>
      <c r="V24" s="20" t="s">
        <v>23</v>
      </c>
      <c r="W24" s="20">
        <v>67</v>
      </c>
      <c r="X24" t="str">
        <f>VLOOKUP(C24,VN_ICT!B:W,22,TRUE)</f>
        <v>Trương Thị Diệu Linh</v>
      </c>
    </row>
    <row r="25" spans="1:24" hidden="1">
      <c r="A25" s="18">
        <v>190350</v>
      </c>
      <c r="B25" s="18">
        <v>161263</v>
      </c>
      <c r="C25" s="18">
        <v>161263</v>
      </c>
      <c r="D25" s="18" t="s">
        <v>555</v>
      </c>
      <c r="E25" s="19" t="s">
        <v>556</v>
      </c>
      <c r="F25" s="19" t="s">
        <v>562</v>
      </c>
      <c r="G25" s="20">
        <v>365</v>
      </c>
      <c r="H25" s="21" t="s">
        <v>169</v>
      </c>
      <c r="I25" s="23" t="s">
        <v>558</v>
      </c>
      <c r="J25" s="21"/>
      <c r="K25" s="22"/>
      <c r="L25" s="21"/>
      <c r="M25" s="21"/>
      <c r="N25" s="20">
        <v>670</v>
      </c>
      <c r="O25" s="20">
        <v>38</v>
      </c>
      <c r="P25" s="20" t="s">
        <v>163</v>
      </c>
      <c r="Q25" s="20">
        <v>674</v>
      </c>
      <c r="R25" s="20" t="s">
        <v>360</v>
      </c>
      <c r="S25" s="20" t="s">
        <v>361</v>
      </c>
      <c r="T25" s="18" t="s">
        <v>362</v>
      </c>
      <c r="U25" s="18">
        <v>190350</v>
      </c>
      <c r="V25" s="20" t="s">
        <v>23</v>
      </c>
      <c r="W25" s="20">
        <v>67</v>
      </c>
      <c r="X25" t="str">
        <f>VLOOKUP(C25,VN_ICT!B:W,22,TRUE)</f>
        <v>Bùi Trọng Tùng</v>
      </c>
    </row>
    <row r="26" spans="1:24" hidden="1">
      <c r="A26" s="18">
        <v>190351</v>
      </c>
      <c r="B26" s="18">
        <v>161264</v>
      </c>
      <c r="C26" s="18">
        <v>161264</v>
      </c>
      <c r="D26" s="18" t="s">
        <v>555</v>
      </c>
      <c r="E26" s="19" t="s">
        <v>556</v>
      </c>
      <c r="F26" s="19" t="s">
        <v>563</v>
      </c>
      <c r="G26" s="20">
        <v>365</v>
      </c>
      <c r="H26" s="21" t="s">
        <v>169</v>
      </c>
      <c r="I26" s="23" t="s">
        <v>558</v>
      </c>
      <c r="J26" s="21"/>
      <c r="K26" s="22"/>
      <c r="L26" s="21"/>
      <c r="M26" s="21"/>
      <c r="N26" s="20">
        <v>670</v>
      </c>
      <c r="O26" s="20">
        <v>38</v>
      </c>
      <c r="P26" s="20" t="s">
        <v>163</v>
      </c>
      <c r="Q26" s="20">
        <v>674</v>
      </c>
      <c r="R26" s="20" t="s">
        <v>360</v>
      </c>
      <c r="S26" s="20" t="s">
        <v>361</v>
      </c>
      <c r="T26" s="18" t="s">
        <v>362</v>
      </c>
      <c r="U26" s="18">
        <v>190351</v>
      </c>
      <c r="V26" s="20" t="s">
        <v>24</v>
      </c>
      <c r="W26" s="20">
        <v>67</v>
      </c>
      <c r="X26" t="str">
        <f>VLOOKUP(C26,VN_ICT!B:W,22,TRUE)</f>
        <v>Trần Hải Anh</v>
      </c>
    </row>
    <row r="27" spans="1:24" hidden="1">
      <c r="A27" s="18">
        <v>190352</v>
      </c>
      <c r="B27" s="18">
        <v>161265</v>
      </c>
      <c r="C27" s="18">
        <v>161265</v>
      </c>
      <c r="D27" s="18" t="s">
        <v>555</v>
      </c>
      <c r="E27" s="19" t="s">
        <v>556</v>
      </c>
      <c r="F27" s="19" t="s">
        <v>564</v>
      </c>
      <c r="G27" s="20">
        <v>365</v>
      </c>
      <c r="H27" s="21" t="s">
        <v>169</v>
      </c>
      <c r="I27" s="23" t="s">
        <v>558</v>
      </c>
      <c r="J27" s="21"/>
      <c r="K27" s="22"/>
      <c r="L27" s="21"/>
      <c r="M27" s="21"/>
      <c r="N27" s="20">
        <v>670</v>
      </c>
      <c r="O27" s="20">
        <v>40</v>
      </c>
      <c r="P27" s="20" t="s">
        <v>163</v>
      </c>
      <c r="Q27" s="20">
        <v>674</v>
      </c>
      <c r="R27" s="20" t="s">
        <v>360</v>
      </c>
      <c r="S27" s="20" t="s">
        <v>361</v>
      </c>
      <c r="T27" s="18" t="s">
        <v>362</v>
      </c>
      <c r="U27" s="18">
        <v>190352</v>
      </c>
      <c r="V27" s="20" t="s">
        <v>23</v>
      </c>
      <c r="W27" s="20">
        <v>67</v>
      </c>
      <c r="X27" t="str">
        <f>VLOOKUP(C27,VN_ICT!B:W,22,TRUE)</f>
        <v>Trần Nguyên Ngọc</v>
      </c>
    </row>
    <row r="28" spans="1:24" hidden="1">
      <c r="A28" s="18">
        <v>190353</v>
      </c>
      <c r="B28" s="18">
        <v>161266</v>
      </c>
      <c r="C28" s="18">
        <v>161266</v>
      </c>
      <c r="D28" s="18" t="s">
        <v>555</v>
      </c>
      <c r="E28" s="19" t="s">
        <v>556</v>
      </c>
      <c r="F28" s="19" t="s">
        <v>565</v>
      </c>
      <c r="G28" s="20">
        <v>365</v>
      </c>
      <c r="H28" s="21" t="s">
        <v>169</v>
      </c>
      <c r="I28" s="23" t="s">
        <v>558</v>
      </c>
      <c r="J28" s="21"/>
      <c r="K28" s="22"/>
      <c r="L28" s="21"/>
      <c r="M28" s="21"/>
      <c r="N28" s="20">
        <v>670</v>
      </c>
      <c r="O28" s="20">
        <v>40</v>
      </c>
      <c r="P28" s="20" t="s">
        <v>163</v>
      </c>
      <c r="Q28" s="20">
        <v>674</v>
      </c>
      <c r="R28" s="20" t="s">
        <v>360</v>
      </c>
      <c r="S28" s="20" t="s">
        <v>361</v>
      </c>
      <c r="T28" s="18" t="s">
        <v>362</v>
      </c>
      <c r="U28" s="18">
        <v>190353</v>
      </c>
      <c r="V28" s="20" t="s">
        <v>23</v>
      </c>
      <c r="W28" s="20">
        <v>67</v>
      </c>
      <c r="X28" t="str">
        <f>VLOOKUP(C28,VN_ICT!B:W,22,TRUE)</f>
        <v>Đặng Tuấn Linh</v>
      </c>
    </row>
    <row r="29" spans="1:24">
      <c r="A29" s="18">
        <v>190275</v>
      </c>
      <c r="B29" s="18">
        <v>161268</v>
      </c>
      <c r="C29" s="18">
        <v>161267</v>
      </c>
      <c r="D29" s="18" t="s">
        <v>383</v>
      </c>
      <c r="E29" s="19" t="s">
        <v>384</v>
      </c>
      <c r="F29" s="19" t="s">
        <v>385</v>
      </c>
      <c r="G29" s="20">
        <v>365</v>
      </c>
      <c r="H29" s="21" t="s">
        <v>169</v>
      </c>
      <c r="I29" s="21" t="s">
        <v>194</v>
      </c>
      <c r="J29" s="21" t="s">
        <v>278</v>
      </c>
      <c r="K29" s="22">
        <v>46056</v>
      </c>
      <c r="L29" s="21" t="s">
        <v>12</v>
      </c>
      <c r="M29" s="21" t="s">
        <v>358</v>
      </c>
      <c r="N29" s="20">
        <v>670</v>
      </c>
      <c r="O29" s="20">
        <v>40</v>
      </c>
      <c r="P29" s="20" t="s">
        <v>163</v>
      </c>
      <c r="Q29" s="20">
        <v>674</v>
      </c>
      <c r="R29" s="20" t="s">
        <v>360</v>
      </c>
      <c r="S29" s="20" t="s">
        <v>361</v>
      </c>
      <c r="T29" s="18" t="s">
        <v>362</v>
      </c>
      <c r="U29" s="18">
        <v>190275</v>
      </c>
      <c r="V29" s="20" t="s">
        <v>26</v>
      </c>
      <c r="W29" s="20">
        <v>67</v>
      </c>
      <c r="X29" t="str">
        <f>VLOOKUP(C29,VN_ICT!B:W,22,TRUE)</f>
        <v>Nguyễn Thị Thu Hương</v>
      </c>
    </row>
    <row r="30" spans="1:24">
      <c r="A30" s="18">
        <v>190276</v>
      </c>
      <c r="B30" s="18">
        <v>161269</v>
      </c>
      <c r="C30" s="18">
        <v>161267</v>
      </c>
      <c r="D30" s="18" t="s">
        <v>383</v>
      </c>
      <c r="E30" s="19" t="s">
        <v>384</v>
      </c>
      <c r="F30" s="19" t="s">
        <v>388</v>
      </c>
      <c r="G30" s="20">
        <v>365</v>
      </c>
      <c r="H30" s="21" t="s">
        <v>169</v>
      </c>
      <c r="I30" s="21" t="s">
        <v>194</v>
      </c>
      <c r="J30" s="21" t="s">
        <v>278</v>
      </c>
      <c r="K30" s="22">
        <v>46056</v>
      </c>
      <c r="L30" s="21" t="s">
        <v>12</v>
      </c>
      <c r="M30" s="21" t="s">
        <v>358</v>
      </c>
      <c r="N30" s="20">
        <v>670</v>
      </c>
      <c r="O30" s="20">
        <v>40</v>
      </c>
      <c r="P30" s="20" t="s">
        <v>163</v>
      </c>
      <c r="Q30" s="20">
        <v>674</v>
      </c>
      <c r="R30" s="20" t="s">
        <v>360</v>
      </c>
      <c r="S30" s="20" t="s">
        <v>361</v>
      </c>
      <c r="T30" s="18" t="s">
        <v>362</v>
      </c>
      <c r="U30" s="18">
        <v>190276</v>
      </c>
      <c r="V30" s="20" t="s">
        <v>27</v>
      </c>
      <c r="W30" s="20">
        <v>67</v>
      </c>
      <c r="X30" t="str">
        <f>VLOOKUP(C30,VN_ICT!B:W,22,TRUE)</f>
        <v>Nguyễn Thị Thu Hương</v>
      </c>
    </row>
    <row r="31" spans="1:24">
      <c r="A31" s="18">
        <v>190277</v>
      </c>
      <c r="B31" s="18">
        <v>161270</v>
      </c>
      <c r="C31" s="18">
        <v>161267</v>
      </c>
      <c r="D31" s="18" t="s">
        <v>383</v>
      </c>
      <c r="E31" s="19" t="s">
        <v>384</v>
      </c>
      <c r="F31" s="19" t="s">
        <v>390</v>
      </c>
      <c r="G31" s="20">
        <v>365</v>
      </c>
      <c r="H31" s="21" t="s">
        <v>169</v>
      </c>
      <c r="I31" s="21" t="s">
        <v>194</v>
      </c>
      <c r="J31" s="21" t="s">
        <v>278</v>
      </c>
      <c r="K31" s="22">
        <v>46056</v>
      </c>
      <c r="L31" s="21" t="s">
        <v>12</v>
      </c>
      <c r="M31" s="21" t="s">
        <v>358</v>
      </c>
      <c r="N31" s="20">
        <v>670</v>
      </c>
      <c r="O31" s="20">
        <v>40</v>
      </c>
      <c r="P31" s="20" t="s">
        <v>163</v>
      </c>
      <c r="Q31" s="20">
        <v>674</v>
      </c>
      <c r="R31" s="20" t="s">
        <v>360</v>
      </c>
      <c r="S31" s="20" t="s">
        <v>361</v>
      </c>
      <c r="T31" s="18" t="s">
        <v>362</v>
      </c>
      <c r="U31" s="18">
        <v>190277</v>
      </c>
      <c r="V31" s="20" t="s">
        <v>26</v>
      </c>
      <c r="W31" s="20">
        <v>67</v>
      </c>
      <c r="X31" t="str">
        <f>VLOOKUP(C31,VN_ICT!B:W,22,TRUE)</f>
        <v>Nguyễn Thị Thu Hương</v>
      </c>
    </row>
    <row r="32" spans="1:24">
      <c r="A32" s="18">
        <v>190278</v>
      </c>
      <c r="B32" s="18">
        <v>161272</v>
      </c>
      <c r="C32" s="18">
        <v>161267</v>
      </c>
      <c r="D32" s="18" t="s">
        <v>383</v>
      </c>
      <c r="E32" s="19" t="s">
        <v>384</v>
      </c>
      <c r="F32" s="19" t="s">
        <v>392</v>
      </c>
      <c r="G32" s="20">
        <v>365</v>
      </c>
      <c r="H32" s="21" t="s">
        <v>169</v>
      </c>
      <c r="I32" s="21" t="s">
        <v>194</v>
      </c>
      <c r="J32" s="21" t="s">
        <v>278</v>
      </c>
      <c r="K32" s="22">
        <v>46056</v>
      </c>
      <c r="L32" s="21" t="s">
        <v>12</v>
      </c>
      <c r="M32" s="21" t="s">
        <v>358</v>
      </c>
      <c r="N32" s="20">
        <v>670</v>
      </c>
      <c r="O32" s="20">
        <v>40</v>
      </c>
      <c r="P32" s="20" t="s">
        <v>163</v>
      </c>
      <c r="Q32" s="20">
        <v>674</v>
      </c>
      <c r="R32" s="20" t="s">
        <v>360</v>
      </c>
      <c r="S32" s="20" t="s">
        <v>361</v>
      </c>
      <c r="T32" s="18" t="s">
        <v>362</v>
      </c>
      <c r="U32" s="18">
        <v>190278</v>
      </c>
      <c r="V32" s="20" t="s">
        <v>27</v>
      </c>
      <c r="W32" s="20">
        <v>67</v>
      </c>
      <c r="X32" t="str">
        <f>VLOOKUP(C32,VN_ICT!B:W,22,TRUE)</f>
        <v>Nguyễn Thị Thu Hương</v>
      </c>
    </row>
    <row r="33" spans="1:24">
      <c r="A33" s="18">
        <v>190279</v>
      </c>
      <c r="B33" s="18">
        <v>161273</v>
      </c>
      <c r="C33" s="18">
        <v>161271</v>
      </c>
      <c r="D33" s="18" t="s">
        <v>383</v>
      </c>
      <c r="E33" s="19" t="s">
        <v>384</v>
      </c>
      <c r="F33" s="19" t="s">
        <v>393</v>
      </c>
      <c r="G33" s="20">
        <v>365</v>
      </c>
      <c r="H33" s="21" t="s">
        <v>169</v>
      </c>
      <c r="I33" s="21" t="s">
        <v>194</v>
      </c>
      <c r="J33" s="21" t="s">
        <v>278</v>
      </c>
      <c r="K33" s="22">
        <v>46056</v>
      </c>
      <c r="L33" s="21" t="s">
        <v>12</v>
      </c>
      <c r="M33" s="21" t="s">
        <v>358</v>
      </c>
      <c r="N33" s="20">
        <v>670</v>
      </c>
      <c r="O33" s="20">
        <v>41</v>
      </c>
      <c r="P33" s="20" t="s">
        <v>163</v>
      </c>
      <c r="Q33" s="20">
        <v>674</v>
      </c>
      <c r="R33" s="20" t="s">
        <v>360</v>
      </c>
      <c r="S33" s="20" t="s">
        <v>361</v>
      </c>
      <c r="T33" s="18" t="s">
        <v>362</v>
      </c>
      <c r="U33" s="18">
        <v>190279</v>
      </c>
      <c r="V33" s="20" t="s">
        <v>26</v>
      </c>
      <c r="W33" s="20">
        <v>67</v>
      </c>
      <c r="X33" t="str">
        <f>VLOOKUP(C33,VN_ICT!B:W,22,TRUE)</f>
        <v>Dương Quang Huy</v>
      </c>
    </row>
    <row r="34" spans="1:24">
      <c r="A34" s="18">
        <v>190280</v>
      </c>
      <c r="B34" s="18">
        <v>161274</v>
      </c>
      <c r="C34" s="18">
        <v>161271</v>
      </c>
      <c r="D34" s="18" t="s">
        <v>383</v>
      </c>
      <c r="E34" s="19" t="s">
        <v>384</v>
      </c>
      <c r="F34" s="19" t="s">
        <v>394</v>
      </c>
      <c r="G34" s="20">
        <v>365</v>
      </c>
      <c r="H34" s="21" t="s">
        <v>169</v>
      </c>
      <c r="I34" s="21" t="s">
        <v>194</v>
      </c>
      <c r="J34" s="21" t="s">
        <v>278</v>
      </c>
      <c r="K34" s="22">
        <v>46056</v>
      </c>
      <c r="L34" s="21" t="s">
        <v>12</v>
      </c>
      <c r="M34" s="21" t="s">
        <v>358</v>
      </c>
      <c r="N34" s="20">
        <v>670</v>
      </c>
      <c r="O34" s="20">
        <v>40</v>
      </c>
      <c r="P34" s="20" t="s">
        <v>163</v>
      </c>
      <c r="Q34" s="20">
        <v>674</v>
      </c>
      <c r="R34" s="20" t="s">
        <v>360</v>
      </c>
      <c r="S34" s="20" t="s">
        <v>361</v>
      </c>
      <c r="T34" s="18" t="s">
        <v>362</v>
      </c>
      <c r="U34" s="18">
        <v>190280</v>
      </c>
      <c r="V34" s="20" t="s">
        <v>21</v>
      </c>
      <c r="W34" s="20">
        <v>67</v>
      </c>
      <c r="X34" t="str">
        <f>VLOOKUP(C34,VN_ICT!B:W,22,TRUE)</f>
        <v>Dương Quang Huy</v>
      </c>
    </row>
    <row r="35" spans="1:24">
      <c r="A35" s="18">
        <v>190281</v>
      </c>
      <c r="B35" s="18">
        <v>161276</v>
      </c>
      <c r="C35" s="18">
        <v>161271</v>
      </c>
      <c r="D35" s="18" t="s">
        <v>383</v>
      </c>
      <c r="E35" s="19" t="s">
        <v>384</v>
      </c>
      <c r="F35" s="19" t="s">
        <v>395</v>
      </c>
      <c r="G35" s="20">
        <v>365</v>
      </c>
      <c r="H35" s="21" t="s">
        <v>169</v>
      </c>
      <c r="I35" s="21" t="s">
        <v>194</v>
      </c>
      <c r="J35" s="21" t="s">
        <v>278</v>
      </c>
      <c r="K35" s="22">
        <v>46056</v>
      </c>
      <c r="L35" s="21" t="s">
        <v>12</v>
      </c>
      <c r="M35" s="21" t="s">
        <v>358</v>
      </c>
      <c r="N35" s="20">
        <v>670</v>
      </c>
      <c r="O35" s="20">
        <v>31</v>
      </c>
      <c r="P35" s="20" t="s">
        <v>163</v>
      </c>
      <c r="Q35" s="20">
        <v>674</v>
      </c>
      <c r="R35" s="20" t="s">
        <v>360</v>
      </c>
      <c r="S35" s="20" t="s">
        <v>361</v>
      </c>
      <c r="T35" s="18" t="s">
        <v>362</v>
      </c>
      <c r="U35" s="18">
        <v>190281</v>
      </c>
      <c r="V35" s="20" t="s">
        <v>21</v>
      </c>
      <c r="W35" s="20">
        <v>67</v>
      </c>
      <c r="X35" t="str">
        <f>VLOOKUP(C35,VN_ICT!B:W,22,TRUE)</f>
        <v>Dương Quang Huy</v>
      </c>
    </row>
    <row r="36" spans="1:24">
      <c r="A36" s="18">
        <v>190282</v>
      </c>
      <c r="B36" s="18">
        <v>161277</v>
      </c>
      <c r="C36" s="18">
        <v>161271</v>
      </c>
      <c r="D36" s="18" t="s">
        <v>383</v>
      </c>
      <c r="E36" s="19" t="s">
        <v>384</v>
      </c>
      <c r="F36" s="19" t="s">
        <v>397</v>
      </c>
      <c r="G36" s="20">
        <v>365</v>
      </c>
      <c r="H36" s="21" t="s">
        <v>169</v>
      </c>
      <c r="I36" s="21" t="s">
        <v>194</v>
      </c>
      <c r="J36" s="21" t="s">
        <v>278</v>
      </c>
      <c r="K36" s="22">
        <v>46056</v>
      </c>
      <c r="L36" s="21" t="s">
        <v>12</v>
      </c>
      <c r="M36" s="21" t="s">
        <v>358</v>
      </c>
      <c r="N36" s="20">
        <v>670</v>
      </c>
      <c r="O36" s="20">
        <v>21</v>
      </c>
      <c r="P36" s="20" t="s">
        <v>163</v>
      </c>
      <c r="Q36" s="20">
        <v>674</v>
      </c>
      <c r="R36" s="20" t="s">
        <v>360</v>
      </c>
      <c r="S36" s="20" t="s">
        <v>361</v>
      </c>
      <c r="T36" s="18" t="s">
        <v>362</v>
      </c>
      <c r="U36" s="18">
        <v>190282</v>
      </c>
      <c r="V36" s="20" t="s">
        <v>27</v>
      </c>
      <c r="W36" s="20">
        <v>67</v>
      </c>
      <c r="X36" t="str">
        <f>VLOOKUP(C36,VN_ICT!B:W,22,TRUE)</f>
        <v>Dương Quang Huy</v>
      </c>
    </row>
    <row r="37" spans="1:24">
      <c r="A37" s="18">
        <v>190283</v>
      </c>
      <c r="B37" s="18">
        <v>161278</v>
      </c>
      <c r="C37" s="18">
        <v>161271</v>
      </c>
      <c r="D37" s="18" t="s">
        <v>383</v>
      </c>
      <c r="E37" s="19" t="s">
        <v>384</v>
      </c>
      <c r="F37" s="19" t="s">
        <v>399</v>
      </c>
      <c r="G37" s="20">
        <v>365</v>
      </c>
      <c r="H37" s="21" t="s">
        <v>169</v>
      </c>
      <c r="I37" s="21" t="s">
        <v>194</v>
      </c>
      <c r="J37" s="21" t="s">
        <v>278</v>
      </c>
      <c r="K37" s="22">
        <v>46056</v>
      </c>
      <c r="L37" s="21" t="s">
        <v>12</v>
      </c>
      <c r="M37" s="21" t="s">
        <v>358</v>
      </c>
      <c r="N37" s="20">
        <v>670</v>
      </c>
      <c r="O37" s="20">
        <v>41</v>
      </c>
      <c r="P37" s="20" t="s">
        <v>163</v>
      </c>
      <c r="Q37" s="20">
        <v>674</v>
      </c>
      <c r="R37" s="20" t="s">
        <v>360</v>
      </c>
      <c r="S37" s="20" t="s">
        <v>361</v>
      </c>
      <c r="T37" s="18" t="s">
        <v>362</v>
      </c>
      <c r="U37" s="18">
        <v>190283</v>
      </c>
      <c r="V37" s="20" t="s">
        <v>21</v>
      </c>
      <c r="W37" s="20">
        <v>67</v>
      </c>
      <c r="X37" t="str">
        <f>VLOOKUP(C37,VN_ICT!B:W,22,TRUE)</f>
        <v>Dương Quang Huy</v>
      </c>
    </row>
    <row r="38" spans="1:24" hidden="1">
      <c r="A38" s="18">
        <v>190284</v>
      </c>
      <c r="B38" s="18">
        <v>161279</v>
      </c>
      <c r="C38" s="18">
        <v>161279</v>
      </c>
      <c r="D38" s="18" t="s">
        <v>566</v>
      </c>
      <c r="E38" s="19" t="s">
        <v>567</v>
      </c>
      <c r="F38" s="19" t="s">
        <v>557</v>
      </c>
      <c r="G38" s="20">
        <v>365</v>
      </c>
      <c r="H38" s="21" t="s">
        <v>169</v>
      </c>
      <c r="I38" s="23" t="s">
        <v>558</v>
      </c>
      <c r="J38" s="21"/>
      <c r="K38" s="22"/>
      <c r="L38" s="21"/>
      <c r="M38" s="24"/>
      <c r="N38" s="20">
        <v>670</v>
      </c>
      <c r="O38" s="20">
        <v>40</v>
      </c>
      <c r="P38" s="20" t="s">
        <v>163</v>
      </c>
      <c r="Q38" s="20">
        <v>674</v>
      </c>
      <c r="R38" s="20" t="s">
        <v>360</v>
      </c>
      <c r="S38" s="20" t="s">
        <v>361</v>
      </c>
      <c r="T38" s="18" t="s">
        <v>362</v>
      </c>
      <c r="U38" s="18">
        <v>190284</v>
      </c>
      <c r="V38" s="20" t="s">
        <v>22</v>
      </c>
      <c r="W38" s="20">
        <v>67</v>
      </c>
      <c r="X38" t="str">
        <f>VLOOKUP(C38,VN_ICT!B:W,22,TRUE)</f>
        <v>Kiyoshi Yorifuji</v>
      </c>
    </row>
    <row r="39" spans="1:24" hidden="1">
      <c r="A39" s="18">
        <v>190285</v>
      </c>
      <c r="B39" s="18">
        <v>161280</v>
      </c>
      <c r="C39" s="18">
        <v>161280</v>
      </c>
      <c r="D39" s="18" t="s">
        <v>566</v>
      </c>
      <c r="E39" s="19" t="s">
        <v>567</v>
      </c>
      <c r="F39" s="19" t="s">
        <v>369</v>
      </c>
      <c r="G39" s="20">
        <v>365</v>
      </c>
      <c r="H39" s="21" t="s">
        <v>169</v>
      </c>
      <c r="I39" s="23" t="s">
        <v>558</v>
      </c>
      <c r="J39" s="21"/>
      <c r="K39" s="22"/>
      <c r="L39" s="21"/>
      <c r="M39" s="24"/>
      <c r="N39" s="20">
        <v>670</v>
      </c>
      <c r="O39" s="20">
        <v>40</v>
      </c>
      <c r="P39" s="20" t="s">
        <v>163</v>
      </c>
      <c r="Q39" s="20">
        <v>674</v>
      </c>
      <c r="R39" s="20" t="s">
        <v>360</v>
      </c>
      <c r="S39" s="20" t="s">
        <v>361</v>
      </c>
      <c r="T39" s="18" t="s">
        <v>362</v>
      </c>
      <c r="U39" s="18">
        <v>190285</v>
      </c>
      <c r="V39" s="20" t="s">
        <v>22</v>
      </c>
      <c r="W39" s="20">
        <v>67</v>
      </c>
      <c r="X39" t="str">
        <f>VLOOKUP(C39,VN_ICT!B:W,22,TRUE)</f>
        <v>Kiyoshi Yorifuji</v>
      </c>
    </row>
    <row r="40" spans="1:24" hidden="1">
      <c r="A40" s="18">
        <v>190286</v>
      </c>
      <c r="B40" s="18">
        <v>161281</v>
      </c>
      <c r="C40" s="18">
        <v>161281</v>
      </c>
      <c r="D40" s="18" t="s">
        <v>566</v>
      </c>
      <c r="E40" s="19" t="s">
        <v>567</v>
      </c>
      <c r="F40" s="19" t="s">
        <v>568</v>
      </c>
      <c r="G40" s="20">
        <v>365</v>
      </c>
      <c r="H40" s="21" t="s">
        <v>169</v>
      </c>
      <c r="I40" s="23" t="s">
        <v>558</v>
      </c>
      <c r="J40" s="21"/>
      <c r="K40" s="22"/>
      <c r="L40" s="21"/>
      <c r="M40" s="24"/>
      <c r="N40" s="20">
        <v>670</v>
      </c>
      <c r="O40" s="20">
        <v>40</v>
      </c>
      <c r="P40" s="20" t="s">
        <v>163</v>
      </c>
      <c r="Q40" s="20">
        <v>674</v>
      </c>
      <c r="R40" s="20" t="s">
        <v>360</v>
      </c>
      <c r="S40" s="20" t="s">
        <v>361</v>
      </c>
      <c r="T40" s="18" t="s">
        <v>362</v>
      </c>
      <c r="U40" s="18">
        <v>190286</v>
      </c>
      <c r="V40" s="20" t="s">
        <v>22</v>
      </c>
      <c r="W40" s="20">
        <v>67</v>
      </c>
      <c r="X40" t="str">
        <f>VLOOKUP(C40,VN_ICT!B:W,22,TRUE)</f>
        <v>Kiyoshi Yorifuji</v>
      </c>
    </row>
    <row r="41" spans="1:24" hidden="1">
      <c r="A41" s="18">
        <v>190287</v>
      </c>
      <c r="B41" s="18">
        <v>161282</v>
      </c>
      <c r="C41" s="18">
        <v>161282</v>
      </c>
      <c r="D41" s="18" t="s">
        <v>566</v>
      </c>
      <c r="E41" s="19" t="s">
        <v>567</v>
      </c>
      <c r="F41" s="19" t="s">
        <v>560</v>
      </c>
      <c r="G41" s="20">
        <v>365</v>
      </c>
      <c r="H41" s="21" t="s">
        <v>169</v>
      </c>
      <c r="I41" s="23" t="s">
        <v>558</v>
      </c>
      <c r="J41" s="21"/>
      <c r="K41" s="22"/>
      <c r="L41" s="21"/>
      <c r="M41" s="24"/>
      <c r="N41" s="20">
        <v>670</v>
      </c>
      <c r="O41" s="20">
        <v>39</v>
      </c>
      <c r="P41" s="20" t="s">
        <v>163</v>
      </c>
      <c r="Q41" s="20">
        <v>674</v>
      </c>
      <c r="R41" s="20" t="s">
        <v>360</v>
      </c>
      <c r="S41" s="20" t="s">
        <v>361</v>
      </c>
      <c r="T41" s="18" t="s">
        <v>362</v>
      </c>
      <c r="U41" s="18">
        <v>190287</v>
      </c>
      <c r="V41" s="20" t="s">
        <v>22</v>
      </c>
      <c r="W41" s="20">
        <v>67</v>
      </c>
      <c r="X41" t="str">
        <f>VLOOKUP(C41,VN_ICT!B:W,22,TRUE)</f>
        <v>Kimura Ryo</v>
      </c>
    </row>
    <row r="42" spans="1:24" hidden="1">
      <c r="A42" s="18">
        <v>190288</v>
      </c>
      <c r="B42" s="18">
        <v>161283</v>
      </c>
      <c r="C42" s="18">
        <v>161283</v>
      </c>
      <c r="D42" s="18" t="s">
        <v>566</v>
      </c>
      <c r="E42" s="19" t="s">
        <v>567</v>
      </c>
      <c r="F42" s="19" t="s">
        <v>569</v>
      </c>
      <c r="G42" s="20">
        <v>365</v>
      </c>
      <c r="H42" s="21" t="s">
        <v>169</v>
      </c>
      <c r="I42" s="23" t="s">
        <v>558</v>
      </c>
      <c r="J42" s="21"/>
      <c r="K42" s="22"/>
      <c r="L42" s="21"/>
      <c r="M42" s="24"/>
      <c r="N42" s="20">
        <v>670</v>
      </c>
      <c r="O42" s="20">
        <v>40</v>
      </c>
      <c r="P42" s="20" t="s">
        <v>163</v>
      </c>
      <c r="Q42" s="20">
        <v>674</v>
      </c>
      <c r="R42" s="20" t="s">
        <v>360</v>
      </c>
      <c r="S42" s="20" t="s">
        <v>361</v>
      </c>
      <c r="T42" s="18" t="s">
        <v>362</v>
      </c>
      <c r="U42" s="18">
        <v>190288</v>
      </c>
      <c r="V42" s="20" t="s">
        <v>22</v>
      </c>
      <c r="W42" s="20">
        <v>67</v>
      </c>
      <c r="X42" t="str">
        <f>VLOOKUP(C42,VN_ICT!B:W,22,TRUE)</f>
        <v>Kiyoshi Yorifuji</v>
      </c>
    </row>
    <row r="43" spans="1:24" hidden="1">
      <c r="A43" s="18">
        <v>190289</v>
      </c>
      <c r="B43" s="18">
        <v>161284</v>
      </c>
      <c r="C43" s="18">
        <v>161284</v>
      </c>
      <c r="D43" s="18" t="s">
        <v>566</v>
      </c>
      <c r="E43" s="19" t="s">
        <v>567</v>
      </c>
      <c r="F43" s="19" t="s">
        <v>570</v>
      </c>
      <c r="G43" s="20">
        <v>365</v>
      </c>
      <c r="H43" s="21" t="s">
        <v>169</v>
      </c>
      <c r="I43" s="23" t="s">
        <v>558</v>
      </c>
      <c r="J43" s="21"/>
      <c r="K43" s="22"/>
      <c r="L43" s="21"/>
      <c r="M43" s="24"/>
      <c r="N43" s="20">
        <v>670</v>
      </c>
      <c r="O43" s="20">
        <v>34</v>
      </c>
      <c r="P43" s="20" t="s">
        <v>163</v>
      </c>
      <c r="Q43" s="20">
        <v>674</v>
      </c>
      <c r="R43" s="20" t="s">
        <v>360</v>
      </c>
      <c r="S43" s="20" t="s">
        <v>361</v>
      </c>
      <c r="T43" s="18" t="s">
        <v>362</v>
      </c>
      <c r="U43" s="18">
        <v>190289</v>
      </c>
      <c r="V43" s="20" t="s">
        <v>22</v>
      </c>
      <c r="W43" s="20">
        <v>67</v>
      </c>
      <c r="X43" t="str">
        <f>VLOOKUP(C43,VN_ICT!B:W,22,TRUE)</f>
        <v>Kimura Ryo</v>
      </c>
    </row>
    <row r="44" spans="1:24" hidden="1">
      <c r="A44" s="18">
        <v>190290</v>
      </c>
      <c r="B44" s="18">
        <v>161285</v>
      </c>
      <c r="C44" s="18">
        <v>161285</v>
      </c>
      <c r="D44" s="18" t="s">
        <v>566</v>
      </c>
      <c r="E44" s="19" t="s">
        <v>567</v>
      </c>
      <c r="F44" s="19" t="s">
        <v>571</v>
      </c>
      <c r="G44" s="20">
        <v>365</v>
      </c>
      <c r="H44" s="21" t="s">
        <v>169</v>
      </c>
      <c r="I44" s="23" t="s">
        <v>558</v>
      </c>
      <c r="J44" s="21"/>
      <c r="K44" s="22"/>
      <c r="L44" s="21"/>
      <c r="M44" s="25"/>
      <c r="N44" s="20">
        <v>670</v>
      </c>
      <c r="O44" s="20">
        <v>40</v>
      </c>
      <c r="P44" s="20" t="s">
        <v>163</v>
      </c>
      <c r="Q44" s="20">
        <v>674</v>
      </c>
      <c r="R44" s="20" t="s">
        <v>360</v>
      </c>
      <c r="S44" s="20" t="s">
        <v>361</v>
      </c>
      <c r="T44" s="18" t="s">
        <v>362</v>
      </c>
      <c r="U44" s="18">
        <v>190290</v>
      </c>
      <c r="V44" s="20" t="s">
        <v>23</v>
      </c>
      <c r="W44" s="20">
        <v>67</v>
      </c>
      <c r="X44" t="str">
        <f>VLOOKUP(C44,VN_ICT!B:W,22,TRUE)</f>
        <v>Kimura Ryo</v>
      </c>
    </row>
    <row r="45" spans="1:24" hidden="1">
      <c r="A45" s="18">
        <v>190291</v>
      </c>
      <c r="B45" s="18">
        <v>161286</v>
      </c>
      <c r="C45" s="18">
        <v>161286</v>
      </c>
      <c r="D45" s="18" t="s">
        <v>566</v>
      </c>
      <c r="E45" s="19" t="s">
        <v>567</v>
      </c>
      <c r="F45" s="19" t="s">
        <v>572</v>
      </c>
      <c r="G45" s="20">
        <v>365</v>
      </c>
      <c r="H45" s="21" t="s">
        <v>169</v>
      </c>
      <c r="I45" s="23" t="s">
        <v>558</v>
      </c>
      <c r="J45" s="21"/>
      <c r="K45" s="22"/>
      <c r="L45" s="21"/>
      <c r="M45" s="24"/>
      <c r="N45" s="20">
        <v>670</v>
      </c>
      <c r="O45" s="20">
        <v>40</v>
      </c>
      <c r="P45" s="20" t="s">
        <v>163</v>
      </c>
      <c r="Q45" s="20">
        <v>674</v>
      </c>
      <c r="R45" s="20" t="s">
        <v>360</v>
      </c>
      <c r="S45" s="20" t="s">
        <v>361</v>
      </c>
      <c r="T45" s="18" t="s">
        <v>362</v>
      </c>
      <c r="U45" s="18">
        <v>190291</v>
      </c>
      <c r="V45" s="20" t="s">
        <v>22</v>
      </c>
      <c r="W45" s="20">
        <v>67</v>
      </c>
      <c r="X45" t="str">
        <f>VLOOKUP(C45,VN_ICT!B:W,22,TRUE)</f>
        <v>Kiyoshi Yorifuji</v>
      </c>
    </row>
    <row r="46" spans="1:24" hidden="1">
      <c r="A46" s="18">
        <v>190292</v>
      </c>
      <c r="B46" s="18">
        <v>161287</v>
      </c>
      <c r="C46" s="18">
        <v>161287</v>
      </c>
      <c r="D46" s="18" t="s">
        <v>566</v>
      </c>
      <c r="E46" s="19" t="s">
        <v>567</v>
      </c>
      <c r="F46" s="19" t="s">
        <v>565</v>
      </c>
      <c r="G46" s="20">
        <v>365</v>
      </c>
      <c r="H46" s="21" t="s">
        <v>169</v>
      </c>
      <c r="I46" s="23" t="s">
        <v>558</v>
      </c>
      <c r="J46" s="21"/>
      <c r="K46" s="22"/>
      <c r="L46" s="21"/>
      <c r="M46" s="24"/>
      <c r="N46" s="20">
        <v>670</v>
      </c>
      <c r="O46" s="20">
        <v>41</v>
      </c>
      <c r="P46" s="20" t="s">
        <v>163</v>
      </c>
      <c r="Q46" s="20">
        <v>674</v>
      </c>
      <c r="R46" s="20" t="s">
        <v>360</v>
      </c>
      <c r="S46" s="20" t="s">
        <v>361</v>
      </c>
      <c r="T46" s="18" t="s">
        <v>362</v>
      </c>
      <c r="U46" s="18">
        <v>190292</v>
      </c>
      <c r="V46" s="20" t="s">
        <v>22</v>
      </c>
      <c r="W46" s="20">
        <v>67</v>
      </c>
      <c r="X46" t="str">
        <f>VLOOKUP(C46,VN_ICT!B:W,22,TRUE)</f>
        <v>Kiyoshi Yorifuji</v>
      </c>
    </row>
    <row r="47" spans="1:24" hidden="1">
      <c r="A47" s="18">
        <v>190628</v>
      </c>
      <c r="B47" s="18">
        <v>161288</v>
      </c>
      <c r="C47" s="18">
        <v>161288</v>
      </c>
      <c r="D47" s="18" t="s">
        <v>573</v>
      </c>
      <c r="E47" s="19" t="s">
        <v>574</v>
      </c>
      <c r="F47" s="19" t="s">
        <v>557</v>
      </c>
      <c r="G47" s="20">
        <v>365</v>
      </c>
      <c r="H47" s="21" t="s">
        <v>169</v>
      </c>
      <c r="I47" s="21" t="s">
        <v>228</v>
      </c>
      <c r="J47" s="21" t="s">
        <v>283</v>
      </c>
      <c r="K47" s="22">
        <v>46044</v>
      </c>
      <c r="L47" s="21" t="s">
        <v>12</v>
      </c>
      <c r="M47" s="21" t="s">
        <v>446</v>
      </c>
      <c r="N47" s="20">
        <v>670</v>
      </c>
      <c r="O47" s="20">
        <v>27</v>
      </c>
      <c r="P47" s="20" t="s">
        <v>163</v>
      </c>
      <c r="Q47" s="20">
        <v>674</v>
      </c>
      <c r="R47" s="20" t="s">
        <v>360</v>
      </c>
      <c r="S47" s="20" t="s">
        <v>361</v>
      </c>
      <c r="T47" s="18" t="s">
        <v>362</v>
      </c>
      <c r="U47" s="18">
        <v>190628</v>
      </c>
      <c r="V47" s="20" t="s">
        <v>575</v>
      </c>
      <c r="W47" s="20">
        <v>67</v>
      </c>
      <c r="X47" t="str">
        <f>VLOOKUP(C47,VN_ICT!B:W,22,TRUE)</f>
        <v>Phạm Quỳnh Liên</v>
      </c>
    </row>
    <row r="48" spans="1:24" hidden="1">
      <c r="A48" s="18">
        <v>190629</v>
      </c>
      <c r="B48" s="18">
        <v>161289</v>
      </c>
      <c r="C48" s="18">
        <v>161289</v>
      </c>
      <c r="D48" s="18" t="s">
        <v>573</v>
      </c>
      <c r="E48" s="19" t="s">
        <v>574</v>
      </c>
      <c r="F48" s="19" t="s">
        <v>576</v>
      </c>
      <c r="G48" s="20">
        <v>365</v>
      </c>
      <c r="H48" s="21" t="s">
        <v>169</v>
      </c>
      <c r="I48" s="21" t="s">
        <v>228</v>
      </c>
      <c r="J48" s="21" t="s">
        <v>283</v>
      </c>
      <c r="K48" s="22">
        <v>46044</v>
      </c>
      <c r="L48" s="21" t="s">
        <v>12</v>
      </c>
      <c r="M48" s="21" t="s">
        <v>577</v>
      </c>
      <c r="N48" s="20">
        <v>670</v>
      </c>
      <c r="O48" s="20">
        <v>27</v>
      </c>
      <c r="P48" s="20" t="s">
        <v>163</v>
      </c>
      <c r="Q48" s="20">
        <v>674</v>
      </c>
      <c r="R48" s="20" t="s">
        <v>360</v>
      </c>
      <c r="S48" s="20" t="s">
        <v>361</v>
      </c>
      <c r="T48" s="18" t="s">
        <v>362</v>
      </c>
      <c r="U48" s="18">
        <v>190629</v>
      </c>
      <c r="V48" s="20" t="s">
        <v>578</v>
      </c>
      <c r="W48" s="20">
        <v>67</v>
      </c>
      <c r="X48" t="str">
        <f>VLOOKUP(C48,VN_ICT!B:W,22,TRUE)</f>
        <v>Nguyễn Linh Chi</v>
      </c>
    </row>
    <row r="49" spans="1:24" hidden="1">
      <c r="A49" s="18">
        <v>190630</v>
      </c>
      <c r="B49" s="18">
        <v>161290</v>
      </c>
      <c r="C49" s="18">
        <v>161290</v>
      </c>
      <c r="D49" s="18" t="s">
        <v>573</v>
      </c>
      <c r="E49" s="19" t="s">
        <v>574</v>
      </c>
      <c r="F49" s="19" t="s">
        <v>568</v>
      </c>
      <c r="G49" s="20">
        <v>365</v>
      </c>
      <c r="H49" s="21" t="s">
        <v>169</v>
      </c>
      <c r="I49" s="21" t="s">
        <v>228</v>
      </c>
      <c r="J49" s="21" t="s">
        <v>283</v>
      </c>
      <c r="K49" s="22">
        <v>46044</v>
      </c>
      <c r="L49" s="21" t="s">
        <v>12</v>
      </c>
      <c r="M49" s="21" t="s">
        <v>579</v>
      </c>
      <c r="N49" s="20">
        <v>670</v>
      </c>
      <c r="O49" s="20">
        <v>27</v>
      </c>
      <c r="P49" s="20" t="s">
        <v>163</v>
      </c>
      <c r="Q49" s="20">
        <v>674</v>
      </c>
      <c r="R49" s="20" t="s">
        <v>360</v>
      </c>
      <c r="S49" s="20" t="s">
        <v>361</v>
      </c>
      <c r="T49" s="18" t="s">
        <v>362</v>
      </c>
      <c r="U49" s="18">
        <v>190630</v>
      </c>
      <c r="V49" s="20" t="s">
        <v>580</v>
      </c>
      <c r="W49" s="20">
        <v>67</v>
      </c>
      <c r="X49" t="str">
        <f>VLOOKUP(C49,VN_ICT!B:W,22,TRUE)</f>
        <v>Nguyễn Thị Thanh Nhàn</v>
      </c>
    </row>
    <row r="50" spans="1:24" hidden="1">
      <c r="A50" s="18">
        <v>190631</v>
      </c>
      <c r="B50" s="18">
        <v>161291</v>
      </c>
      <c r="C50" s="18">
        <v>161291</v>
      </c>
      <c r="D50" s="18" t="s">
        <v>573</v>
      </c>
      <c r="E50" s="19" t="s">
        <v>574</v>
      </c>
      <c r="F50" s="19" t="s">
        <v>560</v>
      </c>
      <c r="G50" s="20">
        <v>365</v>
      </c>
      <c r="H50" s="21" t="s">
        <v>169</v>
      </c>
      <c r="I50" s="21" t="s">
        <v>228</v>
      </c>
      <c r="J50" s="21" t="s">
        <v>283</v>
      </c>
      <c r="K50" s="22">
        <v>46044</v>
      </c>
      <c r="L50" s="21" t="s">
        <v>12</v>
      </c>
      <c r="M50" s="21" t="s">
        <v>406</v>
      </c>
      <c r="N50" s="20">
        <v>670</v>
      </c>
      <c r="O50" s="20">
        <v>26</v>
      </c>
      <c r="P50" s="20" t="s">
        <v>163</v>
      </c>
      <c r="Q50" s="20">
        <v>674</v>
      </c>
      <c r="R50" s="20" t="s">
        <v>360</v>
      </c>
      <c r="S50" s="20" t="s">
        <v>361</v>
      </c>
      <c r="T50" s="18" t="s">
        <v>362</v>
      </c>
      <c r="U50" s="18">
        <v>190631</v>
      </c>
      <c r="V50" s="20" t="s">
        <v>581</v>
      </c>
      <c r="W50" s="20">
        <v>67</v>
      </c>
      <c r="X50" t="str">
        <f>VLOOKUP(C50,VN_ICT!B:W,22,TRUE)</f>
        <v>Khổng Thị Sáng</v>
      </c>
    </row>
    <row r="51" spans="1:24" hidden="1">
      <c r="A51" s="18">
        <v>190632</v>
      </c>
      <c r="B51" s="18">
        <v>161292</v>
      </c>
      <c r="C51" s="18">
        <v>161292</v>
      </c>
      <c r="D51" s="18" t="s">
        <v>573</v>
      </c>
      <c r="E51" s="19" t="s">
        <v>574</v>
      </c>
      <c r="F51" s="19" t="s">
        <v>561</v>
      </c>
      <c r="G51" s="20">
        <v>365</v>
      </c>
      <c r="H51" s="21" t="s">
        <v>169</v>
      </c>
      <c r="I51" s="21" t="s">
        <v>228</v>
      </c>
      <c r="J51" s="21" t="s">
        <v>283</v>
      </c>
      <c r="K51" s="22">
        <v>46044</v>
      </c>
      <c r="L51" s="21" t="s">
        <v>12</v>
      </c>
      <c r="M51" s="21" t="s">
        <v>582</v>
      </c>
      <c r="N51" s="20">
        <v>670</v>
      </c>
      <c r="O51" s="20">
        <v>20</v>
      </c>
      <c r="P51" s="20" t="s">
        <v>163</v>
      </c>
      <c r="Q51" s="20">
        <v>674</v>
      </c>
      <c r="R51" s="20" t="s">
        <v>360</v>
      </c>
      <c r="S51" s="20" t="s">
        <v>361</v>
      </c>
      <c r="T51" s="18" t="s">
        <v>362</v>
      </c>
      <c r="U51" s="18">
        <v>190632</v>
      </c>
      <c r="V51" s="20" t="s">
        <v>583</v>
      </c>
      <c r="W51" s="20">
        <v>67</v>
      </c>
      <c r="X51" t="str">
        <f>VLOOKUP(C51,VN_ICT!B:W,22,TRUE)</f>
        <v>Vũ Thị Vân Anh</v>
      </c>
    </row>
    <row r="52" spans="1:24" hidden="1">
      <c r="A52" s="18">
        <v>190633</v>
      </c>
      <c r="B52" s="18">
        <v>161293</v>
      </c>
      <c r="C52" s="18">
        <v>161293</v>
      </c>
      <c r="D52" s="18" t="s">
        <v>573</v>
      </c>
      <c r="E52" s="19" t="s">
        <v>574</v>
      </c>
      <c r="F52" s="19" t="s">
        <v>562</v>
      </c>
      <c r="G52" s="20">
        <v>365</v>
      </c>
      <c r="H52" s="21" t="s">
        <v>169</v>
      </c>
      <c r="I52" s="21" t="s">
        <v>228</v>
      </c>
      <c r="J52" s="21" t="s">
        <v>283</v>
      </c>
      <c r="K52" s="22">
        <v>46044</v>
      </c>
      <c r="L52" s="21" t="s">
        <v>12</v>
      </c>
      <c r="M52" s="21" t="s">
        <v>498</v>
      </c>
      <c r="N52" s="20">
        <v>670</v>
      </c>
      <c r="O52" s="20">
        <v>26</v>
      </c>
      <c r="P52" s="20" t="s">
        <v>163</v>
      </c>
      <c r="Q52" s="20">
        <v>674</v>
      </c>
      <c r="R52" s="20" t="s">
        <v>360</v>
      </c>
      <c r="S52" s="20" t="s">
        <v>361</v>
      </c>
      <c r="T52" s="18" t="s">
        <v>362</v>
      </c>
      <c r="U52" s="18">
        <v>190633</v>
      </c>
      <c r="V52" s="20" t="s">
        <v>584</v>
      </c>
      <c r="W52" s="20">
        <v>67</v>
      </c>
      <c r="X52" t="str">
        <f>VLOOKUP(C52,VN_ICT!B:W,22,TRUE)</f>
        <v>Sato Yushi</v>
      </c>
    </row>
    <row r="53" spans="1:24" hidden="1">
      <c r="A53" s="18">
        <v>190634</v>
      </c>
      <c r="B53" s="18">
        <v>161294</v>
      </c>
      <c r="C53" s="18">
        <v>161294</v>
      </c>
      <c r="D53" s="18" t="s">
        <v>573</v>
      </c>
      <c r="E53" s="19" t="s">
        <v>574</v>
      </c>
      <c r="F53" s="19" t="s">
        <v>563</v>
      </c>
      <c r="G53" s="20">
        <v>365</v>
      </c>
      <c r="H53" s="21" t="s">
        <v>169</v>
      </c>
      <c r="I53" s="21" t="s">
        <v>228</v>
      </c>
      <c r="J53" s="21" t="s">
        <v>283</v>
      </c>
      <c r="K53" s="22">
        <v>46044</v>
      </c>
      <c r="L53" s="21" t="s">
        <v>12</v>
      </c>
      <c r="M53" s="21" t="s">
        <v>403</v>
      </c>
      <c r="N53" s="20">
        <v>670</v>
      </c>
      <c r="O53" s="20">
        <v>28</v>
      </c>
      <c r="P53" s="20" t="s">
        <v>163</v>
      </c>
      <c r="Q53" s="20">
        <v>674</v>
      </c>
      <c r="R53" s="20" t="s">
        <v>360</v>
      </c>
      <c r="S53" s="20" t="s">
        <v>361</v>
      </c>
      <c r="T53" s="18" t="s">
        <v>362</v>
      </c>
      <c r="U53" s="18">
        <v>190634</v>
      </c>
      <c r="V53" s="20" t="s">
        <v>575</v>
      </c>
      <c r="W53" s="20">
        <v>67</v>
      </c>
      <c r="X53" t="str">
        <f>VLOOKUP(C53,VN_ICT!B:W,22,TRUE)</f>
        <v>Phạm Quỳnh Liên</v>
      </c>
    </row>
    <row r="54" spans="1:24" hidden="1">
      <c r="A54" s="18">
        <v>190635</v>
      </c>
      <c r="B54" s="18">
        <v>161295</v>
      </c>
      <c r="C54" s="18">
        <v>161295</v>
      </c>
      <c r="D54" s="18" t="s">
        <v>573</v>
      </c>
      <c r="E54" s="19" t="s">
        <v>574</v>
      </c>
      <c r="F54" s="19" t="s">
        <v>564</v>
      </c>
      <c r="G54" s="20">
        <v>365</v>
      </c>
      <c r="H54" s="21" t="s">
        <v>169</v>
      </c>
      <c r="I54" s="21" t="s">
        <v>228</v>
      </c>
      <c r="J54" s="21" t="s">
        <v>283</v>
      </c>
      <c r="K54" s="22">
        <v>46044</v>
      </c>
      <c r="L54" s="21" t="s">
        <v>12</v>
      </c>
      <c r="M54" s="21" t="s">
        <v>585</v>
      </c>
      <c r="N54" s="20">
        <v>670</v>
      </c>
      <c r="O54" s="20">
        <v>29</v>
      </c>
      <c r="P54" s="20" t="s">
        <v>163</v>
      </c>
      <c r="Q54" s="20">
        <v>674</v>
      </c>
      <c r="R54" s="20" t="s">
        <v>360</v>
      </c>
      <c r="S54" s="20" t="s">
        <v>361</v>
      </c>
      <c r="T54" s="18" t="s">
        <v>362</v>
      </c>
      <c r="U54" s="18">
        <v>190635</v>
      </c>
      <c r="V54" s="20" t="s">
        <v>578</v>
      </c>
      <c r="W54" s="20">
        <v>67</v>
      </c>
      <c r="X54" t="str">
        <f>VLOOKUP(C54,VN_ICT!B:W,22,TRUE)</f>
        <v>Nguyễn Linh Chi</v>
      </c>
    </row>
    <row r="55" spans="1:24" hidden="1">
      <c r="A55" s="18">
        <v>190636</v>
      </c>
      <c r="B55" s="18">
        <v>161296</v>
      </c>
      <c r="C55" s="18">
        <v>161296</v>
      </c>
      <c r="D55" s="18" t="s">
        <v>573</v>
      </c>
      <c r="E55" s="19" t="s">
        <v>574</v>
      </c>
      <c r="F55" s="19" t="s">
        <v>565</v>
      </c>
      <c r="G55" s="20">
        <v>365</v>
      </c>
      <c r="H55" s="21" t="s">
        <v>169</v>
      </c>
      <c r="I55" s="21" t="s">
        <v>228</v>
      </c>
      <c r="J55" s="21" t="s">
        <v>283</v>
      </c>
      <c r="K55" s="22">
        <v>46044</v>
      </c>
      <c r="L55" s="21" t="s">
        <v>12</v>
      </c>
      <c r="M55" s="21" t="s">
        <v>586</v>
      </c>
      <c r="N55" s="20">
        <v>670</v>
      </c>
      <c r="O55" s="20">
        <v>29</v>
      </c>
      <c r="P55" s="20" t="s">
        <v>163</v>
      </c>
      <c r="Q55" s="20">
        <v>674</v>
      </c>
      <c r="R55" s="20" t="s">
        <v>360</v>
      </c>
      <c r="S55" s="20" t="s">
        <v>361</v>
      </c>
      <c r="T55" s="18" t="s">
        <v>362</v>
      </c>
      <c r="U55" s="18">
        <v>190636</v>
      </c>
      <c r="V55" s="20" t="s">
        <v>580</v>
      </c>
      <c r="W55" s="20">
        <v>67</v>
      </c>
      <c r="X55" t="str">
        <f>VLOOKUP(C55,VN_ICT!B:W,22,TRUE)</f>
        <v>Nguyễn Thị Thanh Nhàn</v>
      </c>
    </row>
    <row r="56" spans="1:24" hidden="1">
      <c r="A56" s="18">
        <v>190637</v>
      </c>
      <c r="B56" s="18">
        <v>161297</v>
      </c>
      <c r="C56" s="18">
        <v>161297</v>
      </c>
      <c r="D56" s="18" t="s">
        <v>573</v>
      </c>
      <c r="E56" s="19" t="s">
        <v>574</v>
      </c>
      <c r="F56" s="19" t="s">
        <v>587</v>
      </c>
      <c r="G56" s="20">
        <v>365</v>
      </c>
      <c r="H56" s="21" t="s">
        <v>169</v>
      </c>
      <c r="I56" s="21" t="s">
        <v>228</v>
      </c>
      <c r="J56" s="21" t="s">
        <v>283</v>
      </c>
      <c r="K56" s="22">
        <v>46044</v>
      </c>
      <c r="L56" s="21" t="s">
        <v>12</v>
      </c>
      <c r="M56" s="21" t="s">
        <v>588</v>
      </c>
      <c r="N56" s="20">
        <v>670</v>
      </c>
      <c r="O56" s="20">
        <v>29</v>
      </c>
      <c r="P56" s="20" t="s">
        <v>163</v>
      </c>
      <c r="Q56" s="20">
        <v>674</v>
      </c>
      <c r="R56" s="20" t="s">
        <v>360</v>
      </c>
      <c r="S56" s="20" t="s">
        <v>361</v>
      </c>
      <c r="T56" s="18" t="s">
        <v>362</v>
      </c>
      <c r="U56" s="18">
        <v>190637</v>
      </c>
      <c r="V56" s="20" t="s">
        <v>581</v>
      </c>
      <c r="W56" s="20">
        <v>67</v>
      </c>
      <c r="X56" t="str">
        <f>VLOOKUP(C56,VN_ICT!B:W,22,TRUE)</f>
        <v>Nguyễn Hồng Diễm</v>
      </c>
    </row>
    <row r="57" spans="1:24" hidden="1">
      <c r="A57" s="18">
        <v>190638</v>
      </c>
      <c r="B57" s="18">
        <v>161298</v>
      </c>
      <c r="C57" s="18">
        <v>161298</v>
      </c>
      <c r="D57" s="18" t="s">
        <v>573</v>
      </c>
      <c r="E57" s="19" t="s">
        <v>574</v>
      </c>
      <c r="F57" s="19" t="s">
        <v>589</v>
      </c>
      <c r="G57" s="20">
        <v>365</v>
      </c>
      <c r="H57" s="21" t="s">
        <v>169</v>
      </c>
      <c r="I57" s="21" t="s">
        <v>228</v>
      </c>
      <c r="J57" s="21" t="s">
        <v>283</v>
      </c>
      <c r="K57" s="22">
        <v>46044</v>
      </c>
      <c r="L57" s="21" t="s">
        <v>12</v>
      </c>
      <c r="M57" s="21" t="s">
        <v>590</v>
      </c>
      <c r="N57" s="20">
        <v>670</v>
      </c>
      <c r="O57" s="20">
        <v>29</v>
      </c>
      <c r="P57" s="20" t="s">
        <v>163</v>
      </c>
      <c r="Q57" s="20">
        <v>674</v>
      </c>
      <c r="R57" s="20" t="s">
        <v>360</v>
      </c>
      <c r="S57" s="20" t="s">
        <v>361</v>
      </c>
      <c r="T57" s="18" t="s">
        <v>362</v>
      </c>
      <c r="U57" s="18">
        <v>190638</v>
      </c>
      <c r="V57" s="20" t="s">
        <v>583</v>
      </c>
      <c r="W57" s="20">
        <v>67</v>
      </c>
      <c r="X57" t="str">
        <f>VLOOKUP(C57,VN_ICT!B:W,22,TRUE)</f>
        <v>Nguyễn Văn Hiển</v>
      </c>
    </row>
    <row r="58" spans="1:24" hidden="1">
      <c r="A58" s="18">
        <v>190639</v>
      </c>
      <c r="B58" s="18">
        <v>161299</v>
      </c>
      <c r="C58" s="18">
        <v>161299</v>
      </c>
      <c r="D58" s="18" t="s">
        <v>573</v>
      </c>
      <c r="E58" s="19" t="s">
        <v>574</v>
      </c>
      <c r="F58" s="19" t="s">
        <v>591</v>
      </c>
      <c r="G58" s="20">
        <v>365</v>
      </c>
      <c r="H58" s="21" t="s">
        <v>169</v>
      </c>
      <c r="I58" s="21" t="s">
        <v>228</v>
      </c>
      <c r="J58" s="21" t="s">
        <v>283</v>
      </c>
      <c r="K58" s="22">
        <v>46044</v>
      </c>
      <c r="L58" s="21" t="s">
        <v>12</v>
      </c>
      <c r="M58" s="21" t="s">
        <v>592</v>
      </c>
      <c r="N58" s="20">
        <v>670</v>
      </c>
      <c r="O58" s="20">
        <v>28</v>
      </c>
      <c r="P58" s="20" t="s">
        <v>163</v>
      </c>
      <c r="Q58" s="20">
        <v>674</v>
      </c>
      <c r="R58" s="20" t="s">
        <v>360</v>
      </c>
      <c r="S58" s="20" t="s">
        <v>361</v>
      </c>
      <c r="T58" s="18" t="s">
        <v>362</v>
      </c>
      <c r="U58" s="18">
        <v>190639</v>
      </c>
      <c r="V58" s="20" t="s">
        <v>584</v>
      </c>
      <c r="W58" s="20">
        <v>67</v>
      </c>
      <c r="X58" t="str">
        <f>VLOOKUP(C58,VN_ICT!B:W,22,TRUE)</f>
        <v>Nguyễn Thị Điệp</v>
      </c>
    </row>
    <row r="59" spans="1:24" hidden="1">
      <c r="A59" s="18">
        <v>190640</v>
      </c>
      <c r="B59" s="18">
        <v>161300</v>
      </c>
      <c r="C59" s="18">
        <v>161300</v>
      </c>
      <c r="D59" s="18" t="s">
        <v>573</v>
      </c>
      <c r="E59" s="19" t="s">
        <v>574</v>
      </c>
      <c r="F59" s="19" t="s">
        <v>593</v>
      </c>
      <c r="G59" s="20">
        <v>365</v>
      </c>
      <c r="H59" s="21" t="s">
        <v>169</v>
      </c>
      <c r="I59" s="21" t="s">
        <v>228</v>
      </c>
      <c r="J59" s="21" t="s">
        <v>283</v>
      </c>
      <c r="K59" s="22">
        <v>46044</v>
      </c>
      <c r="L59" s="21" t="s">
        <v>12</v>
      </c>
      <c r="M59" s="21" t="s">
        <v>378</v>
      </c>
      <c r="N59" s="20">
        <v>670</v>
      </c>
      <c r="O59" s="20">
        <v>29</v>
      </c>
      <c r="P59" s="20" t="s">
        <v>163</v>
      </c>
      <c r="Q59" s="20">
        <v>674</v>
      </c>
      <c r="R59" s="20" t="s">
        <v>360</v>
      </c>
      <c r="S59" s="20" t="s">
        <v>361</v>
      </c>
      <c r="T59" s="18" t="s">
        <v>362</v>
      </c>
      <c r="U59" s="18">
        <v>190640</v>
      </c>
      <c r="V59" s="20" t="s">
        <v>594</v>
      </c>
      <c r="W59" s="20">
        <v>67</v>
      </c>
      <c r="X59" t="str">
        <f>VLOOKUP(C59,VN_ICT!B:W,22,TRUE)</f>
        <v>Ngô Tú Quyên</v>
      </c>
    </row>
    <row r="60" spans="1:24">
      <c r="A60" s="18">
        <v>190487</v>
      </c>
      <c r="B60" s="18">
        <v>161301</v>
      </c>
      <c r="C60" s="18">
        <v>161301</v>
      </c>
      <c r="D60" s="18" t="s">
        <v>137</v>
      </c>
      <c r="E60" s="19" t="s">
        <v>400</v>
      </c>
      <c r="F60" s="19" t="s">
        <v>401</v>
      </c>
      <c r="G60" s="20">
        <v>365</v>
      </c>
      <c r="H60" s="21" t="s">
        <v>169</v>
      </c>
      <c r="I60" s="21" t="s">
        <v>228</v>
      </c>
      <c r="J60" s="21" t="s">
        <v>238</v>
      </c>
      <c r="K60" s="22">
        <v>46045</v>
      </c>
      <c r="L60" s="21" t="s">
        <v>15</v>
      </c>
      <c r="M60" s="21" t="s">
        <v>358</v>
      </c>
      <c r="N60" s="20">
        <v>670</v>
      </c>
      <c r="O60" s="20">
        <v>38</v>
      </c>
      <c r="P60" s="20" t="s">
        <v>163</v>
      </c>
      <c r="Q60" s="20">
        <v>674</v>
      </c>
      <c r="R60" s="20" t="s">
        <v>360</v>
      </c>
      <c r="S60" s="20" t="s">
        <v>361</v>
      </c>
      <c r="T60" s="18" t="s">
        <v>362</v>
      </c>
      <c r="U60" s="18">
        <v>190487</v>
      </c>
      <c r="V60" s="20" t="s">
        <v>403</v>
      </c>
      <c r="W60" s="20">
        <v>67</v>
      </c>
      <c r="X60" t="str">
        <f>VLOOKUP(C60,VN_ICT!B:W,22,TRUE)</f>
        <v>Phạm Ngọc Hưng</v>
      </c>
    </row>
    <row r="61" spans="1:24">
      <c r="A61" s="18">
        <v>190473</v>
      </c>
      <c r="B61" s="18">
        <v>161302</v>
      </c>
      <c r="C61" s="18">
        <v>161302</v>
      </c>
      <c r="D61" s="18" t="s">
        <v>404</v>
      </c>
      <c r="E61" s="19" t="s">
        <v>405</v>
      </c>
      <c r="F61" s="19" t="s">
        <v>401</v>
      </c>
      <c r="G61" s="20">
        <v>365</v>
      </c>
      <c r="H61" s="21" t="s">
        <v>169</v>
      </c>
      <c r="I61" s="21" t="s">
        <v>164</v>
      </c>
      <c r="J61" s="21" t="s">
        <v>238</v>
      </c>
      <c r="K61" s="22">
        <v>46052</v>
      </c>
      <c r="L61" s="21" t="s">
        <v>14</v>
      </c>
      <c r="M61" s="21" t="s">
        <v>358</v>
      </c>
      <c r="N61" s="20">
        <v>670</v>
      </c>
      <c r="O61" s="20">
        <v>42</v>
      </c>
      <c r="P61" s="20" t="s">
        <v>163</v>
      </c>
      <c r="Q61" s="20">
        <v>674</v>
      </c>
      <c r="R61" s="20" t="s">
        <v>360</v>
      </c>
      <c r="S61" s="20" t="s">
        <v>361</v>
      </c>
      <c r="T61" s="18" t="s">
        <v>362</v>
      </c>
      <c r="U61" s="18">
        <v>190473</v>
      </c>
      <c r="V61" s="20" t="s">
        <v>406</v>
      </c>
      <c r="W61" s="20">
        <v>67</v>
      </c>
      <c r="X61" t="str">
        <f>VLOOKUP(C61,VN_ICT!B:W,22,TRUE)</f>
        <v>Phạm Huy Hoàng</v>
      </c>
    </row>
    <row r="62" spans="1:24">
      <c r="A62" s="18">
        <v>190423</v>
      </c>
      <c r="B62" s="18">
        <v>161303</v>
      </c>
      <c r="C62" s="18">
        <v>161303</v>
      </c>
      <c r="D62" s="18" t="s">
        <v>118</v>
      </c>
      <c r="E62" s="19" t="s">
        <v>407</v>
      </c>
      <c r="F62" s="19" t="s">
        <v>401</v>
      </c>
      <c r="G62" s="20">
        <v>130</v>
      </c>
      <c r="H62" s="21" t="s">
        <v>193</v>
      </c>
      <c r="I62" s="21" t="s">
        <v>228</v>
      </c>
      <c r="J62" s="21" t="s">
        <v>278</v>
      </c>
      <c r="K62" s="22">
        <v>46042</v>
      </c>
      <c r="L62" s="21" t="s">
        <v>15</v>
      </c>
      <c r="M62" s="21" t="s">
        <v>358</v>
      </c>
      <c r="N62" s="20">
        <v>670</v>
      </c>
      <c r="O62" s="20">
        <v>45</v>
      </c>
      <c r="P62" s="20" t="s">
        <v>163</v>
      </c>
      <c r="Q62" s="20">
        <v>674</v>
      </c>
      <c r="R62" s="20" t="s">
        <v>360</v>
      </c>
      <c r="S62" s="20" t="s">
        <v>361</v>
      </c>
      <c r="T62" s="18" t="s">
        <v>362</v>
      </c>
      <c r="U62" s="18">
        <v>190423</v>
      </c>
      <c r="V62" s="20" t="s">
        <v>406</v>
      </c>
      <c r="W62" s="20">
        <v>67</v>
      </c>
      <c r="X62" t="str">
        <f>VLOOKUP(C62,VN_ICT!B:W,22,TRUE)</f>
        <v>Trịnh Thành Trung</v>
      </c>
    </row>
    <row r="63" spans="1:24">
      <c r="A63" s="18">
        <v>190424</v>
      </c>
      <c r="B63" s="18">
        <v>161303</v>
      </c>
      <c r="C63" s="18">
        <v>161303</v>
      </c>
      <c r="D63" s="18" t="s">
        <v>118</v>
      </c>
      <c r="E63" s="19" t="s">
        <v>407</v>
      </c>
      <c r="F63" s="19" t="s">
        <v>401</v>
      </c>
      <c r="G63" s="20">
        <v>131</v>
      </c>
      <c r="H63" s="21" t="s">
        <v>196</v>
      </c>
      <c r="I63" s="21" t="s">
        <v>228</v>
      </c>
      <c r="J63" s="21" t="s">
        <v>278</v>
      </c>
      <c r="K63" s="22">
        <v>46042</v>
      </c>
      <c r="L63" s="21" t="s">
        <v>15</v>
      </c>
      <c r="M63" s="21" t="s">
        <v>358</v>
      </c>
      <c r="N63" s="20">
        <v>670</v>
      </c>
      <c r="O63" s="20">
        <v>44</v>
      </c>
      <c r="P63" s="20" t="s">
        <v>163</v>
      </c>
      <c r="Q63" s="20">
        <v>674</v>
      </c>
      <c r="R63" s="20" t="s">
        <v>360</v>
      </c>
      <c r="S63" s="20" t="s">
        <v>361</v>
      </c>
      <c r="T63" s="18" t="s">
        <v>362</v>
      </c>
      <c r="U63" s="18">
        <v>190424</v>
      </c>
      <c r="V63" s="20" t="s">
        <v>406</v>
      </c>
      <c r="W63" s="20">
        <v>67</v>
      </c>
      <c r="X63" t="str">
        <f>VLOOKUP(C63,VN_ICT!B:W,22,TRUE)</f>
        <v>Trịnh Thành Trung</v>
      </c>
    </row>
    <row r="64" spans="1:24">
      <c r="A64" s="18">
        <v>190506</v>
      </c>
      <c r="B64" s="18">
        <v>161304</v>
      </c>
      <c r="C64" s="18">
        <v>161304</v>
      </c>
      <c r="D64" s="18" t="s">
        <v>333</v>
      </c>
      <c r="E64" s="19" t="s">
        <v>334</v>
      </c>
      <c r="F64" s="19" t="s">
        <v>401</v>
      </c>
      <c r="G64" s="20">
        <v>131</v>
      </c>
      <c r="H64" s="21" t="s">
        <v>196</v>
      </c>
      <c r="I64" s="21" t="s">
        <v>194</v>
      </c>
      <c r="J64" s="21" t="s">
        <v>165</v>
      </c>
      <c r="K64" s="22">
        <v>46055</v>
      </c>
      <c r="L64" s="21" t="s">
        <v>15</v>
      </c>
      <c r="M64" s="21" t="s">
        <v>358</v>
      </c>
      <c r="N64" s="20">
        <v>670</v>
      </c>
      <c r="O64" s="20">
        <v>51</v>
      </c>
      <c r="P64" s="20" t="s">
        <v>163</v>
      </c>
      <c r="Q64" s="20">
        <v>674</v>
      </c>
      <c r="R64" s="20" t="s">
        <v>360</v>
      </c>
      <c r="S64" s="20" t="s">
        <v>361</v>
      </c>
      <c r="T64" s="18" t="s">
        <v>362</v>
      </c>
      <c r="U64" s="18">
        <v>190506</v>
      </c>
      <c r="V64" s="20" t="s">
        <v>363</v>
      </c>
      <c r="W64" s="20">
        <v>67</v>
      </c>
      <c r="X64" t="str">
        <f>VLOOKUP(C64,VN_ICT!B:W,22,TRUE)</f>
        <v>Tống Văn Vạn</v>
      </c>
    </row>
    <row r="65" spans="1:24">
      <c r="A65" s="18">
        <v>190505</v>
      </c>
      <c r="B65" s="18">
        <v>161304</v>
      </c>
      <c r="C65" s="18">
        <v>161304</v>
      </c>
      <c r="D65" s="18" t="s">
        <v>333</v>
      </c>
      <c r="E65" s="19" t="s">
        <v>334</v>
      </c>
      <c r="F65" s="19" t="s">
        <v>401</v>
      </c>
      <c r="G65" s="20">
        <v>130</v>
      </c>
      <c r="H65" s="21" t="s">
        <v>193</v>
      </c>
      <c r="I65" s="21" t="s">
        <v>194</v>
      </c>
      <c r="J65" s="21" t="s">
        <v>165</v>
      </c>
      <c r="K65" s="22">
        <v>46055</v>
      </c>
      <c r="L65" s="21" t="s">
        <v>15</v>
      </c>
      <c r="M65" s="21" t="s">
        <v>358</v>
      </c>
      <c r="N65" s="20">
        <v>670</v>
      </c>
      <c r="O65" s="20">
        <v>51</v>
      </c>
      <c r="P65" s="20" t="s">
        <v>163</v>
      </c>
      <c r="Q65" s="20">
        <v>674</v>
      </c>
      <c r="R65" s="20" t="s">
        <v>360</v>
      </c>
      <c r="S65" s="20" t="s">
        <v>361</v>
      </c>
      <c r="T65" s="18" t="s">
        <v>362</v>
      </c>
      <c r="U65" s="18">
        <v>190505</v>
      </c>
      <c r="V65" s="20" t="s">
        <v>363</v>
      </c>
      <c r="W65" s="20">
        <v>67</v>
      </c>
      <c r="X65" t="str">
        <f>VLOOKUP(C65,VN_ICT!B:W,22,TRUE)</f>
        <v>Tống Văn Vạn</v>
      </c>
    </row>
    <row r="66" spans="1:24" hidden="1">
      <c r="A66" s="18">
        <v>190443</v>
      </c>
      <c r="B66" s="18">
        <v>161305</v>
      </c>
      <c r="C66" s="18">
        <v>161305</v>
      </c>
      <c r="D66" s="18" t="s">
        <v>595</v>
      </c>
      <c r="E66" s="19" t="s">
        <v>596</v>
      </c>
      <c r="F66" s="19" t="s">
        <v>401</v>
      </c>
      <c r="G66" s="20">
        <v>131</v>
      </c>
      <c r="H66" s="21" t="s">
        <v>196</v>
      </c>
      <c r="I66" s="21" t="s">
        <v>194</v>
      </c>
      <c r="J66" s="21" t="s">
        <v>215</v>
      </c>
      <c r="K66" s="22">
        <v>46057</v>
      </c>
      <c r="L66" s="21" t="s">
        <v>13</v>
      </c>
      <c r="M66" s="21" t="s">
        <v>378</v>
      </c>
      <c r="N66" s="20">
        <v>670</v>
      </c>
      <c r="O66" s="20">
        <v>67</v>
      </c>
      <c r="P66" s="20" t="s">
        <v>163</v>
      </c>
      <c r="Q66" s="20">
        <v>674</v>
      </c>
      <c r="R66" s="20" t="s">
        <v>360</v>
      </c>
      <c r="S66" s="20" t="s">
        <v>361</v>
      </c>
      <c r="T66" s="18" t="s">
        <v>362</v>
      </c>
      <c r="U66" s="18">
        <v>190443</v>
      </c>
      <c r="V66" s="20" t="s">
        <v>597</v>
      </c>
      <c r="W66" s="20">
        <v>67</v>
      </c>
      <c r="X66" t="str">
        <f>VLOOKUP(C66,VN_ICT!B:W,22,TRUE)</f>
        <v>Nguyễn Nhất Hải</v>
      </c>
    </row>
    <row r="67" spans="1:24" hidden="1">
      <c r="A67" s="18">
        <v>190444</v>
      </c>
      <c r="B67" s="18">
        <v>161305</v>
      </c>
      <c r="C67" s="18">
        <v>161305</v>
      </c>
      <c r="D67" s="18" t="s">
        <v>595</v>
      </c>
      <c r="E67" s="19" t="s">
        <v>596</v>
      </c>
      <c r="F67" s="19" t="s">
        <v>401</v>
      </c>
      <c r="G67" s="20">
        <v>130</v>
      </c>
      <c r="H67" s="21" t="s">
        <v>193</v>
      </c>
      <c r="I67" s="21" t="s">
        <v>194</v>
      </c>
      <c r="J67" s="21" t="s">
        <v>215</v>
      </c>
      <c r="K67" s="22">
        <v>46057</v>
      </c>
      <c r="L67" s="21" t="s">
        <v>13</v>
      </c>
      <c r="M67" s="21" t="s">
        <v>363</v>
      </c>
      <c r="N67" s="20">
        <v>670</v>
      </c>
      <c r="O67" s="20">
        <v>68</v>
      </c>
      <c r="P67" s="20" t="s">
        <v>163</v>
      </c>
      <c r="Q67" s="20">
        <v>674</v>
      </c>
      <c r="R67" s="20" t="s">
        <v>360</v>
      </c>
      <c r="S67" s="20" t="s">
        <v>361</v>
      </c>
      <c r="T67" s="18" t="s">
        <v>362</v>
      </c>
      <c r="U67" s="18">
        <v>190444</v>
      </c>
      <c r="V67" s="20" t="s">
        <v>597</v>
      </c>
      <c r="W67" s="20">
        <v>67</v>
      </c>
      <c r="X67" t="str">
        <f>VLOOKUP(C67,VN_ICT!B:W,22,TRUE)</f>
        <v>Nguyễn Nhất Hải</v>
      </c>
    </row>
    <row r="68" spans="1:24">
      <c r="A68" s="18">
        <v>190375</v>
      </c>
      <c r="B68" s="18">
        <v>161306</v>
      </c>
      <c r="C68" s="18">
        <v>161306</v>
      </c>
      <c r="D68" s="18" t="s">
        <v>284</v>
      </c>
      <c r="E68" s="19" t="s">
        <v>285</v>
      </c>
      <c r="F68" s="19" t="s">
        <v>401</v>
      </c>
      <c r="G68" s="20">
        <v>365</v>
      </c>
      <c r="H68" s="21" t="s">
        <v>169</v>
      </c>
      <c r="I68" s="21" t="s">
        <v>164</v>
      </c>
      <c r="J68" s="21" t="s">
        <v>283</v>
      </c>
      <c r="K68" s="22">
        <v>46051</v>
      </c>
      <c r="L68" s="21" t="s">
        <v>15</v>
      </c>
      <c r="M68" s="21" t="s">
        <v>358</v>
      </c>
      <c r="N68" s="20">
        <v>670</v>
      </c>
      <c r="O68" s="20">
        <v>67</v>
      </c>
      <c r="P68" s="20" t="s">
        <v>163</v>
      </c>
      <c r="Q68" s="20">
        <v>674</v>
      </c>
      <c r="R68" s="20" t="s">
        <v>360</v>
      </c>
      <c r="S68" s="20" t="s">
        <v>361</v>
      </c>
      <c r="T68" s="18" t="s">
        <v>362</v>
      </c>
      <c r="U68" s="18">
        <v>190375</v>
      </c>
      <c r="V68" s="20" t="s">
        <v>403</v>
      </c>
      <c r="W68" s="20">
        <v>67</v>
      </c>
      <c r="X68" t="str">
        <f>VLOOKUP(C68,VN_ICT!B:W,22,TRUE)</f>
        <v>Thân Quang Khoát</v>
      </c>
    </row>
    <row r="69" spans="1:24" hidden="1">
      <c r="A69" s="18">
        <v>190354</v>
      </c>
      <c r="B69" s="18">
        <v>161307</v>
      </c>
      <c r="C69" s="18">
        <v>161307</v>
      </c>
      <c r="D69" s="18" t="s">
        <v>598</v>
      </c>
      <c r="E69" s="19" t="s">
        <v>599</v>
      </c>
      <c r="F69" s="19" t="s">
        <v>600</v>
      </c>
      <c r="G69" s="20">
        <v>365</v>
      </c>
      <c r="H69" s="21" t="s">
        <v>169</v>
      </c>
      <c r="I69" s="23" t="s">
        <v>558</v>
      </c>
      <c r="J69" s="21"/>
      <c r="K69" s="22"/>
      <c r="L69" s="21"/>
      <c r="M69" s="21"/>
      <c r="N69" s="20">
        <v>670</v>
      </c>
      <c r="O69" s="20">
        <v>40</v>
      </c>
      <c r="P69" s="20" t="s">
        <v>163</v>
      </c>
      <c r="Q69" s="20">
        <v>674</v>
      </c>
      <c r="R69" s="20" t="s">
        <v>360</v>
      </c>
      <c r="S69" s="20" t="s">
        <v>361</v>
      </c>
      <c r="T69" s="18" t="s">
        <v>362</v>
      </c>
      <c r="U69" s="18">
        <v>190354</v>
      </c>
      <c r="V69" s="20" t="s">
        <v>27</v>
      </c>
      <c r="W69" s="20">
        <v>67</v>
      </c>
      <c r="X69" t="str">
        <f>VLOOKUP(C69,VN_ICT!B:W,22,TRUE)</f>
        <v>Lã Thế Vinh</v>
      </c>
    </row>
    <row r="70" spans="1:24" hidden="1">
      <c r="A70" s="18">
        <v>190355</v>
      </c>
      <c r="B70" s="18">
        <v>161308</v>
      </c>
      <c r="C70" s="18">
        <v>161308</v>
      </c>
      <c r="D70" s="18" t="s">
        <v>598</v>
      </c>
      <c r="E70" s="19" t="s">
        <v>599</v>
      </c>
      <c r="F70" s="19" t="s">
        <v>601</v>
      </c>
      <c r="G70" s="20">
        <v>365</v>
      </c>
      <c r="H70" s="21" t="s">
        <v>169</v>
      </c>
      <c r="I70" s="23" t="s">
        <v>558</v>
      </c>
      <c r="J70" s="21"/>
      <c r="K70" s="22"/>
      <c r="L70" s="21"/>
      <c r="M70" s="21"/>
      <c r="N70" s="20">
        <v>670</v>
      </c>
      <c r="O70" s="20">
        <v>40</v>
      </c>
      <c r="P70" s="20" t="s">
        <v>163</v>
      </c>
      <c r="Q70" s="20">
        <v>674</v>
      </c>
      <c r="R70" s="20" t="s">
        <v>360</v>
      </c>
      <c r="S70" s="20" t="s">
        <v>361</v>
      </c>
      <c r="T70" s="18" t="s">
        <v>362</v>
      </c>
      <c r="U70" s="18">
        <v>190355</v>
      </c>
      <c r="V70" s="20" t="s">
        <v>23</v>
      </c>
      <c r="W70" s="20">
        <v>67</v>
      </c>
      <c r="X70" t="str">
        <f>VLOOKUP(C70,VN_ICT!B:W,22,TRUE)</f>
        <v>Trần Nguyên Ngọc</v>
      </c>
    </row>
    <row r="71" spans="1:24" hidden="1">
      <c r="A71" s="18">
        <v>190356</v>
      </c>
      <c r="B71" s="18">
        <v>161309</v>
      </c>
      <c r="C71" s="18">
        <v>161309</v>
      </c>
      <c r="D71" s="18" t="s">
        <v>598</v>
      </c>
      <c r="E71" s="19" t="s">
        <v>599</v>
      </c>
      <c r="F71" s="19" t="s">
        <v>602</v>
      </c>
      <c r="G71" s="20">
        <v>365</v>
      </c>
      <c r="H71" s="21" t="s">
        <v>169</v>
      </c>
      <c r="I71" s="23" t="s">
        <v>558</v>
      </c>
      <c r="J71" s="21"/>
      <c r="K71" s="22"/>
      <c r="L71" s="21"/>
      <c r="M71" s="21"/>
      <c r="N71" s="20">
        <v>670</v>
      </c>
      <c r="O71" s="20">
        <v>40</v>
      </c>
      <c r="P71" s="20" t="s">
        <v>163</v>
      </c>
      <c r="Q71" s="20">
        <v>674</v>
      </c>
      <c r="R71" s="20" t="s">
        <v>360</v>
      </c>
      <c r="S71" s="20" t="s">
        <v>361</v>
      </c>
      <c r="T71" s="18" t="s">
        <v>362</v>
      </c>
      <c r="U71" s="18">
        <v>190356</v>
      </c>
      <c r="V71" s="20" t="s">
        <v>23</v>
      </c>
      <c r="W71" s="20">
        <v>67</v>
      </c>
      <c r="X71" t="str">
        <f>VLOOKUP(C71,VN_ICT!B:W,22,TRUE)</f>
        <v>Tống Văn Vạn</v>
      </c>
    </row>
    <row r="72" spans="1:24">
      <c r="A72" s="18">
        <v>190338</v>
      </c>
      <c r="B72" s="18">
        <v>161310</v>
      </c>
      <c r="C72" s="18">
        <v>161310</v>
      </c>
      <c r="D72" s="18" t="s">
        <v>411</v>
      </c>
      <c r="E72" s="19" t="s">
        <v>412</v>
      </c>
      <c r="F72" s="19" t="s">
        <v>401</v>
      </c>
      <c r="G72" s="20">
        <v>131</v>
      </c>
      <c r="H72" s="21" t="s">
        <v>196</v>
      </c>
      <c r="I72" s="21" t="s">
        <v>164</v>
      </c>
      <c r="J72" s="21" t="s">
        <v>278</v>
      </c>
      <c r="K72" s="22">
        <v>46049</v>
      </c>
      <c r="L72" s="21" t="s">
        <v>15</v>
      </c>
      <c r="M72" s="21" t="s">
        <v>358</v>
      </c>
      <c r="N72" s="20">
        <v>670</v>
      </c>
      <c r="O72" s="20">
        <v>43</v>
      </c>
      <c r="P72" s="20" t="s">
        <v>163</v>
      </c>
      <c r="Q72" s="20">
        <v>674</v>
      </c>
      <c r="R72" s="20" t="s">
        <v>360</v>
      </c>
      <c r="S72" s="20" t="s">
        <v>361</v>
      </c>
      <c r="T72" s="18" t="s">
        <v>362</v>
      </c>
      <c r="U72" s="18">
        <v>190338</v>
      </c>
      <c r="V72" s="20" t="s">
        <v>363</v>
      </c>
      <c r="W72" s="20">
        <v>67</v>
      </c>
      <c r="X72" t="str">
        <f>VLOOKUP(C72,VN_ICT!B:W,22,TRUE)</f>
        <v>Nguyễn Khanh Văn</v>
      </c>
    </row>
    <row r="73" spans="1:24">
      <c r="A73" s="18">
        <v>190339</v>
      </c>
      <c r="B73" s="18">
        <v>161310</v>
      </c>
      <c r="C73" s="18">
        <v>161310</v>
      </c>
      <c r="D73" s="18" t="s">
        <v>411</v>
      </c>
      <c r="E73" s="19" t="s">
        <v>412</v>
      </c>
      <c r="F73" s="19" t="s">
        <v>401</v>
      </c>
      <c r="G73" s="20">
        <v>130</v>
      </c>
      <c r="H73" s="21" t="s">
        <v>193</v>
      </c>
      <c r="I73" s="21" t="s">
        <v>164</v>
      </c>
      <c r="J73" s="21" t="s">
        <v>278</v>
      </c>
      <c r="K73" s="22">
        <v>46049</v>
      </c>
      <c r="L73" s="21" t="s">
        <v>15</v>
      </c>
      <c r="M73" s="21" t="s">
        <v>358</v>
      </c>
      <c r="N73" s="20">
        <v>670</v>
      </c>
      <c r="O73" s="20">
        <v>43</v>
      </c>
      <c r="P73" s="20" t="s">
        <v>163</v>
      </c>
      <c r="Q73" s="20">
        <v>674</v>
      </c>
      <c r="R73" s="20" t="s">
        <v>360</v>
      </c>
      <c r="S73" s="20" t="s">
        <v>361</v>
      </c>
      <c r="T73" s="18" t="s">
        <v>362</v>
      </c>
      <c r="U73" s="18">
        <v>190339</v>
      </c>
      <c r="V73" s="20" t="s">
        <v>363</v>
      </c>
      <c r="W73" s="20">
        <v>67</v>
      </c>
      <c r="X73" t="str">
        <f>VLOOKUP(C73,VN_ICT!B:W,22,TRUE)</f>
        <v>Nguyễn Khanh Văn</v>
      </c>
    </row>
    <row r="74" spans="1:24">
      <c r="A74" s="18">
        <v>190360</v>
      </c>
      <c r="B74" s="18">
        <v>161311</v>
      </c>
      <c r="C74" s="18">
        <v>161311</v>
      </c>
      <c r="D74" s="18" t="s">
        <v>88</v>
      </c>
      <c r="E74" s="19" t="s">
        <v>415</v>
      </c>
      <c r="F74" s="19" t="s">
        <v>416</v>
      </c>
      <c r="G74" s="20">
        <v>130</v>
      </c>
      <c r="H74" s="21" t="s">
        <v>193</v>
      </c>
      <c r="I74" s="21" t="s">
        <v>228</v>
      </c>
      <c r="J74" s="21" t="s">
        <v>417</v>
      </c>
      <c r="K74" s="22">
        <v>46046</v>
      </c>
      <c r="L74" s="21" t="s">
        <v>14</v>
      </c>
      <c r="M74" s="21" t="s">
        <v>358</v>
      </c>
      <c r="N74" s="20">
        <v>670</v>
      </c>
      <c r="O74" s="20">
        <v>61</v>
      </c>
      <c r="P74" s="20" t="s">
        <v>163</v>
      </c>
      <c r="Q74" s="20">
        <v>674</v>
      </c>
      <c r="R74" s="20" t="s">
        <v>360</v>
      </c>
      <c r="S74" s="20" t="s">
        <v>361</v>
      </c>
      <c r="T74" s="18" t="s">
        <v>362</v>
      </c>
      <c r="U74" s="18">
        <v>190360</v>
      </c>
      <c r="V74" s="20" t="s">
        <v>378</v>
      </c>
      <c r="W74" s="20">
        <v>68</v>
      </c>
      <c r="X74" t="str">
        <f>VLOOKUP(C74,VN_ICT!B:W,22,TRUE)</f>
        <v>Trần Nhật Hoá</v>
      </c>
    </row>
    <row r="75" spans="1:24">
      <c r="A75" s="18">
        <v>190359</v>
      </c>
      <c r="B75" s="18">
        <v>161311</v>
      </c>
      <c r="C75" s="18">
        <v>161311</v>
      </c>
      <c r="D75" s="18" t="s">
        <v>88</v>
      </c>
      <c r="E75" s="19" t="s">
        <v>415</v>
      </c>
      <c r="F75" s="19" t="s">
        <v>416</v>
      </c>
      <c r="G75" s="20">
        <v>131</v>
      </c>
      <c r="H75" s="21" t="s">
        <v>196</v>
      </c>
      <c r="I75" s="21" t="s">
        <v>228</v>
      </c>
      <c r="J75" s="21" t="s">
        <v>417</v>
      </c>
      <c r="K75" s="22">
        <v>46046</v>
      </c>
      <c r="L75" s="21" t="s">
        <v>14</v>
      </c>
      <c r="M75" s="21" t="s">
        <v>358</v>
      </c>
      <c r="N75" s="20">
        <v>670</v>
      </c>
      <c r="O75" s="20">
        <v>61</v>
      </c>
      <c r="P75" s="20" t="s">
        <v>163</v>
      </c>
      <c r="Q75" s="20">
        <v>674</v>
      </c>
      <c r="R75" s="20" t="s">
        <v>360</v>
      </c>
      <c r="S75" s="20" t="s">
        <v>361</v>
      </c>
      <c r="T75" s="18" t="s">
        <v>362</v>
      </c>
      <c r="U75" s="18">
        <v>190359</v>
      </c>
      <c r="V75" s="20" t="s">
        <v>378</v>
      </c>
      <c r="W75" s="20">
        <v>68</v>
      </c>
      <c r="X75" t="str">
        <f>VLOOKUP(C75,VN_ICT!B:W,22,TRUE)</f>
        <v>Trần Nhật Hoá</v>
      </c>
    </row>
    <row r="76" spans="1:24">
      <c r="A76" s="18">
        <v>190362</v>
      </c>
      <c r="B76" s="18">
        <v>161312</v>
      </c>
      <c r="C76" s="18">
        <v>161312</v>
      </c>
      <c r="D76" s="18" t="s">
        <v>88</v>
      </c>
      <c r="E76" s="19" t="s">
        <v>415</v>
      </c>
      <c r="F76" s="19" t="s">
        <v>419</v>
      </c>
      <c r="G76" s="20">
        <v>130</v>
      </c>
      <c r="H76" s="21" t="s">
        <v>193</v>
      </c>
      <c r="I76" s="21" t="s">
        <v>228</v>
      </c>
      <c r="J76" s="21" t="s">
        <v>417</v>
      </c>
      <c r="K76" s="22">
        <v>46046</v>
      </c>
      <c r="L76" s="21" t="s">
        <v>14</v>
      </c>
      <c r="M76" s="21" t="s">
        <v>358</v>
      </c>
      <c r="N76" s="20">
        <v>670</v>
      </c>
      <c r="O76" s="20">
        <v>52</v>
      </c>
      <c r="P76" s="20" t="s">
        <v>163</v>
      </c>
      <c r="Q76" s="20">
        <v>674</v>
      </c>
      <c r="R76" s="20" t="s">
        <v>360</v>
      </c>
      <c r="S76" s="20" t="s">
        <v>361</v>
      </c>
      <c r="T76" s="18" t="s">
        <v>362</v>
      </c>
      <c r="U76" s="18">
        <v>190362</v>
      </c>
      <c r="V76" s="20" t="s">
        <v>378</v>
      </c>
      <c r="W76" s="20">
        <v>68</v>
      </c>
      <c r="X76" t="str">
        <f>VLOOKUP(C76,VN_ICT!B:W,22,TRUE)</f>
        <v>Nguyễn Mạnh Tuấn</v>
      </c>
    </row>
    <row r="77" spans="1:24">
      <c r="A77" s="18">
        <v>190361</v>
      </c>
      <c r="B77" s="18">
        <v>161312</v>
      </c>
      <c r="C77" s="18">
        <v>161312</v>
      </c>
      <c r="D77" s="18" t="s">
        <v>88</v>
      </c>
      <c r="E77" s="19" t="s">
        <v>415</v>
      </c>
      <c r="F77" s="19" t="s">
        <v>419</v>
      </c>
      <c r="G77" s="20">
        <v>131</v>
      </c>
      <c r="H77" s="21" t="s">
        <v>196</v>
      </c>
      <c r="I77" s="21" t="s">
        <v>228</v>
      </c>
      <c r="J77" s="21" t="s">
        <v>417</v>
      </c>
      <c r="K77" s="22">
        <v>46046</v>
      </c>
      <c r="L77" s="21" t="s">
        <v>14</v>
      </c>
      <c r="M77" s="21" t="s">
        <v>358</v>
      </c>
      <c r="N77" s="20">
        <v>670</v>
      </c>
      <c r="O77" s="20">
        <v>52</v>
      </c>
      <c r="P77" s="20" t="s">
        <v>163</v>
      </c>
      <c r="Q77" s="20">
        <v>674</v>
      </c>
      <c r="R77" s="20" t="s">
        <v>360</v>
      </c>
      <c r="S77" s="20" t="s">
        <v>361</v>
      </c>
      <c r="T77" s="18" t="s">
        <v>362</v>
      </c>
      <c r="U77" s="18">
        <v>190361</v>
      </c>
      <c r="V77" s="20" t="s">
        <v>378</v>
      </c>
      <c r="W77" s="20">
        <v>68</v>
      </c>
      <c r="X77" t="str">
        <f>VLOOKUP(C77,VN_ICT!B:W,22,TRUE)</f>
        <v>Nguyễn Mạnh Tuấn</v>
      </c>
    </row>
    <row r="78" spans="1:24">
      <c r="A78" s="18">
        <v>190334</v>
      </c>
      <c r="B78" s="18">
        <v>161313</v>
      </c>
      <c r="C78" s="18">
        <v>161313</v>
      </c>
      <c r="D78" s="18" t="s">
        <v>421</v>
      </c>
      <c r="E78" s="19" t="s">
        <v>280</v>
      </c>
      <c r="F78" s="19" t="s">
        <v>422</v>
      </c>
      <c r="G78" s="20">
        <v>131</v>
      </c>
      <c r="H78" s="21" t="s">
        <v>196</v>
      </c>
      <c r="I78" s="21" t="s">
        <v>164</v>
      </c>
      <c r="J78" s="21" t="s">
        <v>278</v>
      </c>
      <c r="K78" s="22">
        <v>46049</v>
      </c>
      <c r="L78" s="21" t="s">
        <v>15</v>
      </c>
      <c r="M78" s="21" t="s">
        <v>358</v>
      </c>
      <c r="N78" s="20">
        <v>670</v>
      </c>
      <c r="O78" s="20">
        <v>65</v>
      </c>
      <c r="P78" s="20" t="s">
        <v>163</v>
      </c>
      <c r="Q78" s="20">
        <v>674</v>
      </c>
      <c r="R78" s="20" t="s">
        <v>360</v>
      </c>
      <c r="S78" s="20" t="s">
        <v>361</v>
      </c>
      <c r="T78" s="18" t="s">
        <v>362</v>
      </c>
      <c r="U78" s="18">
        <v>190334</v>
      </c>
      <c r="V78" s="20" t="s">
        <v>378</v>
      </c>
      <c r="W78" s="20">
        <v>68</v>
      </c>
      <c r="X78" t="str">
        <f>VLOOKUP(C78,VN_ICT!B:W,22,TRUE)</f>
        <v>Trần Quang Đức</v>
      </c>
    </row>
    <row r="79" spans="1:24">
      <c r="A79" s="18">
        <v>190335</v>
      </c>
      <c r="B79" s="18">
        <v>161313</v>
      </c>
      <c r="C79" s="18">
        <v>161313</v>
      </c>
      <c r="D79" s="18" t="s">
        <v>421</v>
      </c>
      <c r="E79" s="19" t="s">
        <v>280</v>
      </c>
      <c r="F79" s="19" t="s">
        <v>422</v>
      </c>
      <c r="G79" s="20">
        <v>130</v>
      </c>
      <c r="H79" s="21" t="s">
        <v>193</v>
      </c>
      <c r="I79" s="21" t="s">
        <v>164</v>
      </c>
      <c r="J79" s="21" t="s">
        <v>278</v>
      </c>
      <c r="K79" s="22">
        <v>46049</v>
      </c>
      <c r="L79" s="21" t="s">
        <v>15</v>
      </c>
      <c r="M79" s="21" t="s">
        <v>358</v>
      </c>
      <c r="N79" s="20">
        <v>670</v>
      </c>
      <c r="O79" s="20">
        <v>66</v>
      </c>
      <c r="P79" s="20" t="s">
        <v>163</v>
      </c>
      <c r="Q79" s="20">
        <v>674</v>
      </c>
      <c r="R79" s="20" t="s">
        <v>360</v>
      </c>
      <c r="S79" s="20" t="s">
        <v>361</v>
      </c>
      <c r="T79" s="18" t="s">
        <v>362</v>
      </c>
      <c r="U79" s="18">
        <v>190335</v>
      </c>
      <c r="V79" s="20" t="s">
        <v>378</v>
      </c>
      <c r="W79" s="20">
        <v>68</v>
      </c>
      <c r="X79" t="str">
        <f>VLOOKUP(C79,VN_ICT!B:W,22,TRUE)</f>
        <v>Trần Quang Đức</v>
      </c>
    </row>
    <row r="80" spans="1:24">
      <c r="A80" s="18">
        <v>190337</v>
      </c>
      <c r="B80" s="18">
        <v>161314</v>
      </c>
      <c r="C80" s="18">
        <v>161314</v>
      </c>
      <c r="D80" s="18" t="s">
        <v>421</v>
      </c>
      <c r="E80" s="19" t="s">
        <v>280</v>
      </c>
      <c r="F80" s="19" t="s">
        <v>423</v>
      </c>
      <c r="G80" s="20">
        <v>131</v>
      </c>
      <c r="H80" s="21" t="s">
        <v>196</v>
      </c>
      <c r="I80" s="21" t="s">
        <v>164</v>
      </c>
      <c r="J80" s="21" t="s">
        <v>278</v>
      </c>
      <c r="K80" s="22">
        <v>46049</v>
      </c>
      <c r="L80" s="21" t="s">
        <v>15</v>
      </c>
      <c r="M80" s="21" t="s">
        <v>358</v>
      </c>
      <c r="N80" s="20">
        <v>670</v>
      </c>
      <c r="O80" s="20">
        <v>48</v>
      </c>
      <c r="P80" s="20" t="s">
        <v>163</v>
      </c>
      <c r="Q80" s="20">
        <v>674</v>
      </c>
      <c r="R80" s="20" t="s">
        <v>360</v>
      </c>
      <c r="S80" s="20" t="s">
        <v>361</v>
      </c>
      <c r="T80" s="18" t="s">
        <v>362</v>
      </c>
      <c r="U80" s="18">
        <v>190337</v>
      </c>
      <c r="V80" s="20" t="s">
        <v>378</v>
      </c>
      <c r="W80" s="20">
        <v>68</v>
      </c>
      <c r="X80" t="str">
        <f>VLOOKUP(C80,VN_ICT!B:W,22,TRUE)</f>
        <v>Nguyễn Khanh Văn</v>
      </c>
    </row>
    <row r="81" spans="1:24">
      <c r="A81" s="18">
        <v>190336</v>
      </c>
      <c r="B81" s="18">
        <v>161314</v>
      </c>
      <c r="C81" s="18">
        <v>161314</v>
      </c>
      <c r="D81" s="18" t="s">
        <v>421</v>
      </c>
      <c r="E81" s="19" t="s">
        <v>280</v>
      </c>
      <c r="F81" s="19" t="s">
        <v>423</v>
      </c>
      <c r="G81" s="20">
        <v>130</v>
      </c>
      <c r="H81" s="21" t="s">
        <v>193</v>
      </c>
      <c r="I81" s="21" t="s">
        <v>164</v>
      </c>
      <c r="J81" s="21" t="s">
        <v>278</v>
      </c>
      <c r="K81" s="22">
        <v>46049</v>
      </c>
      <c r="L81" s="21" t="s">
        <v>15</v>
      </c>
      <c r="M81" s="21" t="s">
        <v>358</v>
      </c>
      <c r="N81" s="20">
        <v>670</v>
      </c>
      <c r="O81" s="20">
        <v>49</v>
      </c>
      <c r="P81" s="20" t="s">
        <v>163</v>
      </c>
      <c r="Q81" s="20">
        <v>674</v>
      </c>
      <c r="R81" s="20" t="s">
        <v>360</v>
      </c>
      <c r="S81" s="20" t="s">
        <v>361</v>
      </c>
      <c r="T81" s="18" t="s">
        <v>362</v>
      </c>
      <c r="U81" s="18">
        <v>190336</v>
      </c>
      <c r="V81" s="20" t="s">
        <v>378</v>
      </c>
      <c r="W81" s="20">
        <v>68</v>
      </c>
      <c r="X81" t="str">
        <f>VLOOKUP(C81,VN_ICT!B:W,22,TRUE)</f>
        <v>Nguyễn Khanh Văn</v>
      </c>
    </row>
    <row r="82" spans="1:24">
      <c r="A82" s="18">
        <v>190119</v>
      </c>
      <c r="B82" s="18">
        <v>161315</v>
      </c>
      <c r="C82" s="18">
        <v>161315</v>
      </c>
      <c r="D82" s="18" t="s">
        <v>235</v>
      </c>
      <c r="E82" s="19" t="s">
        <v>236</v>
      </c>
      <c r="F82" s="19" t="s">
        <v>424</v>
      </c>
      <c r="G82" s="20">
        <v>130</v>
      </c>
      <c r="H82" s="21" t="s">
        <v>193</v>
      </c>
      <c r="I82" s="21" t="s">
        <v>194</v>
      </c>
      <c r="J82" s="21" t="s">
        <v>238</v>
      </c>
      <c r="K82" s="22">
        <v>46059</v>
      </c>
      <c r="L82" s="21" t="s">
        <v>371</v>
      </c>
      <c r="M82" s="21" t="s">
        <v>358</v>
      </c>
      <c r="N82" s="20">
        <v>670</v>
      </c>
      <c r="O82" s="20">
        <v>58</v>
      </c>
      <c r="P82" s="20" t="s">
        <v>163</v>
      </c>
      <c r="Q82" s="20">
        <v>674</v>
      </c>
      <c r="R82" s="20" t="s">
        <v>360</v>
      </c>
      <c r="S82" s="20" t="s">
        <v>361</v>
      </c>
      <c r="T82" s="18" t="s">
        <v>362</v>
      </c>
      <c r="U82" s="18">
        <v>190119</v>
      </c>
      <c r="V82" s="20" t="s">
        <v>425</v>
      </c>
      <c r="W82" s="20">
        <v>68</v>
      </c>
      <c r="X82" t="str">
        <f>VLOOKUP(C82,VN_ICT!B:W,22,TRUE)</f>
        <v>Phạm Đăng Hải</v>
      </c>
    </row>
    <row r="83" spans="1:24">
      <c r="A83" s="18">
        <v>190120</v>
      </c>
      <c r="B83" s="18">
        <v>161315</v>
      </c>
      <c r="C83" s="18">
        <v>161315</v>
      </c>
      <c r="D83" s="18" t="s">
        <v>235</v>
      </c>
      <c r="E83" s="19" t="s">
        <v>236</v>
      </c>
      <c r="F83" s="19" t="s">
        <v>424</v>
      </c>
      <c r="G83" s="20">
        <v>131</v>
      </c>
      <c r="H83" s="21" t="s">
        <v>196</v>
      </c>
      <c r="I83" s="21" t="s">
        <v>194</v>
      </c>
      <c r="J83" s="21" t="s">
        <v>238</v>
      </c>
      <c r="K83" s="22">
        <v>46059</v>
      </c>
      <c r="L83" s="21" t="s">
        <v>371</v>
      </c>
      <c r="M83" s="21" t="s">
        <v>358</v>
      </c>
      <c r="N83" s="20">
        <v>670</v>
      </c>
      <c r="O83" s="20">
        <v>59</v>
      </c>
      <c r="P83" s="20" t="s">
        <v>163</v>
      </c>
      <c r="Q83" s="20">
        <v>674</v>
      </c>
      <c r="R83" s="20" t="s">
        <v>360</v>
      </c>
      <c r="S83" s="20" t="s">
        <v>361</v>
      </c>
      <c r="T83" s="18" t="s">
        <v>362</v>
      </c>
      <c r="U83" s="18">
        <v>190120</v>
      </c>
      <c r="V83" s="20" t="s">
        <v>425</v>
      </c>
      <c r="W83" s="20">
        <v>68</v>
      </c>
      <c r="X83" t="str">
        <f>VLOOKUP(C83,VN_ICT!B:W,22,TRUE)</f>
        <v>Phạm Đăng Hải</v>
      </c>
    </row>
    <row r="84" spans="1:24">
      <c r="A84" s="18">
        <v>190122</v>
      </c>
      <c r="B84" s="18">
        <v>161316</v>
      </c>
      <c r="C84" s="18">
        <v>161316</v>
      </c>
      <c r="D84" s="18" t="s">
        <v>235</v>
      </c>
      <c r="E84" s="19" t="s">
        <v>236</v>
      </c>
      <c r="F84" s="19" t="s">
        <v>426</v>
      </c>
      <c r="G84" s="20">
        <v>130</v>
      </c>
      <c r="H84" s="21" t="s">
        <v>193</v>
      </c>
      <c r="I84" s="21" t="s">
        <v>194</v>
      </c>
      <c r="J84" s="21" t="s">
        <v>238</v>
      </c>
      <c r="K84" s="22">
        <v>46059</v>
      </c>
      <c r="L84" s="21" t="s">
        <v>371</v>
      </c>
      <c r="M84" s="21" t="s">
        <v>358</v>
      </c>
      <c r="N84" s="20">
        <v>670</v>
      </c>
      <c r="O84" s="20">
        <v>56</v>
      </c>
      <c r="P84" s="20" t="s">
        <v>163</v>
      </c>
      <c r="Q84" s="20">
        <v>674</v>
      </c>
      <c r="R84" s="20" t="s">
        <v>360</v>
      </c>
      <c r="S84" s="20" t="s">
        <v>361</v>
      </c>
      <c r="T84" s="18" t="s">
        <v>362</v>
      </c>
      <c r="U84" s="18">
        <v>190122</v>
      </c>
      <c r="V84" s="20" t="s">
        <v>428</v>
      </c>
      <c r="W84" s="20">
        <v>68</v>
      </c>
      <c r="X84" t="str">
        <f>VLOOKUP(C84,VN_ICT!B:W,22,TRUE)</f>
        <v>Đỗ Tuấn Anh</v>
      </c>
    </row>
    <row r="85" spans="1:24">
      <c r="A85" s="18">
        <v>190121</v>
      </c>
      <c r="B85" s="18">
        <v>161316</v>
      </c>
      <c r="C85" s="18">
        <v>161316</v>
      </c>
      <c r="D85" s="18" t="s">
        <v>235</v>
      </c>
      <c r="E85" s="19" t="s">
        <v>236</v>
      </c>
      <c r="F85" s="19" t="s">
        <v>426</v>
      </c>
      <c r="G85" s="20">
        <v>131</v>
      </c>
      <c r="H85" s="21" t="s">
        <v>196</v>
      </c>
      <c r="I85" s="21" t="s">
        <v>194</v>
      </c>
      <c r="J85" s="21" t="s">
        <v>238</v>
      </c>
      <c r="K85" s="22">
        <v>46059</v>
      </c>
      <c r="L85" s="21" t="s">
        <v>371</v>
      </c>
      <c r="M85" s="21" t="s">
        <v>358</v>
      </c>
      <c r="N85" s="20">
        <v>670</v>
      </c>
      <c r="O85" s="20">
        <v>55</v>
      </c>
      <c r="P85" s="20" t="s">
        <v>163</v>
      </c>
      <c r="Q85" s="20">
        <v>674</v>
      </c>
      <c r="R85" s="20" t="s">
        <v>360</v>
      </c>
      <c r="S85" s="20" t="s">
        <v>361</v>
      </c>
      <c r="T85" s="18" t="s">
        <v>362</v>
      </c>
      <c r="U85" s="18">
        <v>190121</v>
      </c>
      <c r="V85" s="20" t="s">
        <v>428</v>
      </c>
      <c r="W85" s="20">
        <v>68</v>
      </c>
      <c r="X85" t="str">
        <f>VLOOKUP(C85,VN_ICT!B:W,22,TRUE)</f>
        <v>Đỗ Tuấn Anh</v>
      </c>
    </row>
    <row r="86" spans="1:24">
      <c r="A86" s="18">
        <v>190124</v>
      </c>
      <c r="B86" s="18">
        <v>161317</v>
      </c>
      <c r="C86" s="18">
        <v>161317</v>
      </c>
      <c r="D86" s="18" t="s">
        <v>235</v>
      </c>
      <c r="E86" s="19" t="s">
        <v>236</v>
      </c>
      <c r="F86" s="19" t="s">
        <v>429</v>
      </c>
      <c r="G86" s="20">
        <v>131</v>
      </c>
      <c r="H86" s="21" t="s">
        <v>196</v>
      </c>
      <c r="I86" s="21" t="s">
        <v>194</v>
      </c>
      <c r="J86" s="21" t="s">
        <v>238</v>
      </c>
      <c r="K86" s="22">
        <v>46059</v>
      </c>
      <c r="L86" s="21" t="s">
        <v>371</v>
      </c>
      <c r="M86" s="21" t="s">
        <v>358</v>
      </c>
      <c r="N86" s="20">
        <v>670</v>
      </c>
      <c r="O86" s="20">
        <v>55</v>
      </c>
      <c r="P86" s="20" t="s">
        <v>163</v>
      </c>
      <c r="Q86" s="20">
        <v>674</v>
      </c>
      <c r="R86" s="20" t="s">
        <v>360</v>
      </c>
      <c r="S86" s="20" t="s">
        <v>361</v>
      </c>
      <c r="T86" s="18" t="s">
        <v>362</v>
      </c>
      <c r="U86" s="18">
        <v>190124</v>
      </c>
      <c r="V86" s="20" t="s">
        <v>378</v>
      </c>
      <c r="W86" s="20">
        <v>68</v>
      </c>
      <c r="X86" t="str">
        <f>VLOOKUP(C86,VN_ICT!B:W,22,TRUE)</f>
        <v>Ban Hà Bằng</v>
      </c>
    </row>
    <row r="87" spans="1:24">
      <c r="A87" s="18">
        <v>190123</v>
      </c>
      <c r="B87" s="18">
        <v>161317</v>
      </c>
      <c r="C87" s="18">
        <v>161317</v>
      </c>
      <c r="D87" s="18" t="s">
        <v>235</v>
      </c>
      <c r="E87" s="19" t="s">
        <v>236</v>
      </c>
      <c r="F87" s="19" t="s">
        <v>429</v>
      </c>
      <c r="G87" s="20">
        <v>130</v>
      </c>
      <c r="H87" s="21" t="s">
        <v>193</v>
      </c>
      <c r="I87" s="21" t="s">
        <v>194</v>
      </c>
      <c r="J87" s="21" t="s">
        <v>238</v>
      </c>
      <c r="K87" s="22">
        <v>46059</v>
      </c>
      <c r="L87" s="21" t="s">
        <v>371</v>
      </c>
      <c r="M87" s="21" t="s">
        <v>358</v>
      </c>
      <c r="N87" s="20">
        <v>670</v>
      </c>
      <c r="O87" s="20">
        <v>55</v>
      </c>
      <c r="P87" s="20" t="s">
        <v>163</v>
      </c>
      <c r="Q87" s="20">
        <v>674</v>
      </c>
      <c r="R87" s="20" t="s">
        <v>360</v>
      </c>
      <c r="S87" s="20" t="s">
        <v>361</v>
      </c>
      <c r="T87" s="18" t="s">
        <v>362</v>
      </c>
      <c r="U87" s="18">
        <v>190123</v>
      </c>
      <c r="V87" s="20" t="s">
        <v>378</v>
      </c>
      <c r="W87" s="20">
        <v>68</v>
      </c>
      <c r="X87" t="str">
        <f>VLOOKUP(C87,VN_ICT!B:W,22,TRUE)</f>
        <v>Ban Hà Bằng</v>
      </c>
    </row>
    <row r="88" spans="1:24">
      <c r="A88" s="18">
        <v>190136</v>
      </c>
      <c r="B88" s="18">
        <v>161318</v>
      </c>
      <c r="C88" s="18">
        <v>161318</v>
      </c>
      <c r="D88" s="18" t="s">
        <v>431</v>
      </c>
      <c r="E88" s="19" t="s">
        <v>432</v>
      </c>
      <c r="F88" s="19" t="s">
        <v>433</v>
      </c>
      <c r="G88" s="20">
        <v>131</v>
      </c>
      <c r="H88" s="21" t="s">
        <v>196</v>
      </c>
      <c r="I88" s="21" t="s">
        <v>164</v>
      </c>
      <c r="J88" s="21" t="s">
        <v>238</v>
      </c>
      <c r="K88" s="22">
        <v>46052</v>
      </c>
      <c r="L88" s="21" t="s">
        <v>15</v>
      </c>
      <c r="M88" s="21" t="s">
        <v>358</v>
      </c>
      <c r="N88" s="20">
        <v>670</v>
      </c>
      <c r="O88" s="20">
        <v>61</v>
      </c>
      <c r="P88" s="20" t="s">
        <v>163</v>
      </c>
      <c r="Q88" s="20">
        <v>674</v>
      </c>
      <c r="R88" s="20" t="s">
        <v>360</v>
      </c>
      <c r="S88" s="20" t="s">
        <v>361</v>
      </c>
      <c r="T88" s="18" t="s">
        <v>362</v>
      </c>
      <c r="U88" s="18">
        <v>190136</v>
      </c>
      <c r="V88" s="20" t="s">
        <v>378</v>
      </c>
      <c r="W88" s="20">
        <v>68</v>
      </c>
      <c r="X88" t="str">
        <f>VLOOKUP(C88,VN_ICT!B:W,22,TRUE)</f>
        <v>Bùi Trọng Tùng</v>
      </c>
    </row>
    <row r="89" spans="1:24">
      <c r="A89" s="18">
        <v>190135</v>
      </c>
      <c r="B89" s="18">
        <v>161318</v>
      </c>
      <c r="C89" s="18">
        <v>161318</v>
      </c>
      <c r="D89" s="18" t="s">
        <v>431</v>
      </c>
      <c r="E89" s="19" t="s">
        <v>432</v>
      </c>
      <c r="F89" s="19" t="s">
        <v>433</v>
      </c>
      <c r="G89" s="20">
        <v>130</v>
      </c>
      <c r="H89" s="21" t="s">
        <v>193</v>
      </c>
      <c r="I89" s="21" t="s">
        <v>164</v>
      </c>
      <c r="J89" s="21" t="s">
        <v>238</v>
      </c>
      <c r="K89" s="22">
        <v>46052</v>
      </c>
      <c r="L89" s="21" t="s">
        <v>15</v>
      </c>
      <c r="M89" s="21" t="s">
        <v>358</v>
      </c>
      <c r="N89" s="20">
        <v>670</v>
      </c>
      <c r="O89" s="20">
        <v>60</v>
      </c>
      <c r="P89" s="20" t="s">
        <v>163</v>
      </c>
      <c r="Q89" s="20">
        <v>674</v>
      </c>
      <c r="R89" s="20" t="s">
        <v>360</v>
      </c>
      <c r="S89" s="20" t="s">
        <v>361</v>
      </c>
      <c r="T89" s="18" t="s">
        <v>362</v>
      </c>
      <c r="U89" s="18">
        <v>190135</v>
      </c>
      <c r="V89" s="20" t="s">
        <v>378</v>
      </c>
      <c r="W89" s="20">
        <v>68</v>
      </c>
      <c r="X89" t="str">
        <f>VLOOKUP(C89,VN_ICT!B:W,22,TRUE)</f>
        <v>Bùi Trọng Tùng</v>
      </c>
    </row>
    <row r="90" spans="1:24">
      <c r="A90" s="18">
        <v>190138</v>
      </c>
      <c r="B90" s="18">
        <v>161319</v>
      </c>
      <c r="C90" s="18">
        <v>161319</v>
      </c>
      <c r="D90" s="18" t="s">
        <v>431</v>
      </c>
      <c r="E90" s="19" t="s">
        <v>432</v>
      </c>
      <c r="F90" s="19" t="s">
        <v>436</v>
      </c>
      <c r="G90" s="20">
        <v>130</v>
      </c>
      <c r="H90" s="21" t="s">
        <v>193</v>
      </c>
      <c r="I90" s="21" t="s">
        <v>164</v>
      </c>
      <c r="J90" s="21" t="s">
        <v>238</v>
      </c>
      <c r="K90" s="22">
        <v>46052</v>
      </c>
      <c r="L90" s="21" t="s">
        <v>15</v>
      </c>
      <c r="M90" s="21" t="s">
        <v>358</v>
      </c>
      <c r="N90" s="20">
        <v>670</v>
      </c>
      <c r="O90" s="20">
        <v>60</v>
      </c>
      <c r="P90" s="20" t="s">
        <v>163</v>
      </c>
      <c r="Q90" s="20">
        <v>674</v>
      </c>
      <c r="R90" s="20" t="s">
        <v>360</v>
      </c>
      <c r="S90" s="20" t="s">
        <v>361</v>
      </c>
      <c r="T90" s="18" t="s">
        <v>362</v>
      </c>
      <c r="U90" s="18">
        <v>190138</v>
      </c>
      <c r="V90" s="20" t="s">
        <v>363</v>
      </c>
      <c r="W90" s="20">
        <v>68</v>
      </c>
      <c r="X90" t="str">
        <f>VLOOKUP(C90,VN_ICT!B:W,22,TRUE)</f>
        <v>Phạm Huy Hoàng</v>
      </c>
    </row>
    <row r="91" spans="1:24">
      <c r="A91" s="18">
        <v>190137</v>
      </c>
      <c r="B91" s="18">
        <v>161319</v>
      </c>
      <c r="C91" s="18">
        <v>161319</v>
      </c>
      <c r="D91" s="18" t="s">
        <v>431</v>
      </c>
      <c r="E91" s="19" t="s">
        <v>432</v>
      </c>
      <c r="F91" s="19" t="s">
        <v>436</v>
      </c>
      <c r="G91" s="20">
        <v>131</v>
      </c>
      <c r="H91" s="21" t="s">
        <v>196</v>
      </c>
      <c r="I91" s="21" t="s">
        <v>164</v>
      </c>
      <c r="J91" s="21" t="s">
        <v>238</v>
      </c>
      <c r="K91" s="22">
        <v>46052</v>
      </c>
      <c r="L91" s="21" t="s">
        <v>15</v>
      </c>
      <c r="M91" s="21" t="s">
        <v>358</v>
      </c>
      <c r="N91" s="20">
        <v>670</v>
      </c>
      <c r="O91" s="20">
        <v>59</v>
      </c>
      <c r="P91" s="20" t="s">
        <v>163</v>
      </c>
      <c r="Q91" s="20">
        <v>674</v>
      </c>
      <c r="R91" s="20" t="s">
        <v>360</v>
      </c>
      <c r="S91" s="20" t="s">
        <v>361</v>
      </c>
      <c r="T91" s="18" t="s">
        <v>362</v>
      </c>
      <c r="U91" s="18">
        <v>190137</v>
      </c>
      <c r="V91" s="20" t="s">
        <v>363</v>
      </c>
      <c r="W91" s="20">
        <v>68</v>
      </c>
      <c r="X91" t="str">
        <f>VLOOKUP(C91,VN_ICT!B:W,22,TRUE)</f>
        <v>Phạm Huy Hoàng</v>
      </c>
    </row>
    <row r="92" spans="1:24">
      <c r="A92" s="18">
        <v>190140</v>
      </c>
      <c r="B92" s="18">
        <v>161320</v>
      </c>
      <c r="C92" s="18">
        <v>161320</v>
      </c>
      <c r="D92" s="18" t="s">
        <v>431</v>
      </c>
      <c r="E92" s="19" t="s">
        <v>432</v>
      </c>
      <c r="F92" s="19" t="s">
        <v>429</v>
      </c>
      <c r="G92" s="20">
        <v>130</v>
      </c>
      <c r="H92" s="21" t="s">
        <v>193</v>
      </c>
      <c r="I92" s="21" t="s">
        <v>164</v>
      </c>
      <c r="J92" s="21" t="s">
        <v>238</v>
      </c>
      <c r="K92" s="22">
        <v>46052</v>
      </c>
      <c r="L92" s="21" t="s">
        <v>15</v>
      </c>
      <c r="M92" s="21" t="s">
        <v>358</v>
      </c>
      <c r="N92" s="20">
        <v>670</v>
      </c>
      <c r="O92" s="20">
        <v>46</v>
      </c>
      <c r="P92" s="20" t="s">
        <v>163</v>
      </c>
      <c r="Q92" s="20">
        <v>674</v>
      </c>
      <c r="R92" s="20" t="s">
        <v>360</v>
      </c>
      <c r="S92" s="20" t="s">
        <v>361</v>
      </c>
      <c r="T92" s="18" t="s">
        <v>362</v>
      </c>
      <c r="U92" s="18">
        <v>190140</v>
      </c>
      <c r="V92" s="20" t="s">
        <v>425</v>
      </c>
      <c r="W92" s="20">
        <v>68</v>
      </c>
      <c r="X92" t="str">
        <f>VLOOKUP(C92,VN_ICT!B:W,22,TRUE)</f>
        <v>Tống Văn Vạn</v>
      </c>
    </row>
    <row r="93" spans="1:24">
      <c r="A93" s="18">
        <v>190139</v>
      </c>
      <c r="B93" s="18">
        <v>161320</v>
      </c>
      <c r="C93" s="18">
        <v>161320</v>
      </c>
      <c r="D93" s="18" t="s">
        <v>431</v>
      </c>
      <c r="E93" s="19" t="s">
        <v>432</v>
      </c>
      <c r="F93" s="19" t="s">
        <v>429</v>
      </c>
      <c r="G93" s="20">
        <v>131</v>
      </c>
      <c r="H93" s="21" t="s">
        <v>196</v>
      </c>
      <c r="I93" s="21" t="s">
        <v>164</v>
      </c>
      <c r="J93" s="21" t="s">
        <v>238</v>
      </c>
      <c r="K93" s="22">
        <v>46052</v>
      </c>
      <c r="L93" s="21" t="s">
        <v>15</v>
      </c>
      <c r="M93" s="21" t="s">
        <v>358</v>
      </c>
      <c r="N93" s="20">
        <v>670</v>
      </c>
      <c r="O93" s="20">
        <v>45</v>
      </c>
      <c r="P93" s="20" t="s">
        <v>163</v>
      </c>
      <c r="Q93" s="20">
        <v>674</v>
      </c>
      <c r="R93" s="20" t="s">
        <v>360</v>
      </c>
      <c r="S93" s="20" t="s">
        <v>361</v>
      </c>
      <c r="T93" s="18" t="s">
        <v>362</v>
      </c>
      <c r="U93" s="18">
        <v>190139</v>
      </c>
      <c r="V93" s="20" t="s">
        <v>425</v>
      </c>
      <c r="W93" s="20">
        <v>68</v>
      </c>
      <c r="X93" t="str">
        <f>VLOOKUP(C93,VN_ICT!B:W,22,TRUE)</f>
        <v>Tống Văn Vạn</v>
      </c>
    </row>
    <row r="94" spans="1:24">
      <c r="A94" s="18">
        <v>190205</v>
      </c>
      <c r="B94" s="18">
        <v>161321</v>
      </c>
      <c r="C94" s="18">
        <v>161321</v>
      </c>
      <c r="D94" s="18" t="s">
        <v>261</v>
      </c>
      <c r="E94" s="19" t="s">
        <v>262</v>
      </c>
      <c r="F94" s="19" t="s">
        <v>422</v>
      </c>
      <c r="G94" s="20">
        <v>131</v>
      </c>
      <c r="H94" s="21" t="s">
        <v>196</v>
      </c>
      <c r="I94" s="21" t="s">
        <v>164</v>
      </c>
      <c r="J94" s="21" t="s">
        <v>215</v>
      </c>
      <c r="K94" s="22">
        <v>46050</v>
      </c>
      <c r="L94" s="21" t="s">
        <v>15</v>
      </c>
      <c r="M94" s="21" t="s">
        <v>358</v>
      </c>
      <c r="N94" s="20">
        <v>670</v>
      </c>
      <c r="O94" s="20">
        <v>48</v>
      </c>
      <c r="P94" s="20" t="s">
        <v>163</v>
      </c>
      <c r="Q94" s="20">
        <v>674</v>
      </c>
      <c r="R94" s="20" t="s">
        <v>360</v>
      </c>
      <c r="S94" s="20" t="s">
        <v>361</v>
      </c>
      <c r="T94" s="18" t="s">
        <v>362</v>
      </c>
      <c r="U94" s="18">
        <v>190205</v>
      </c>
      <c r="V94" s="20" t="s">
        <v>378</v>
      </c>
      <c r="W94" s="20">
        <v>68</v>
      </c>
      <c r="X94" t="str">
        <f>VLOOKUP(C94,VN_ICT!B:W,22,TRUE)</f>
        <v>Nguyễn Khánh Phương</v>
      </c>
    </row>
    <row r="95" spans="1:24">
      <c r="A95" s="18">
        <v>190203</v>
      </c>
      <c r="B95" s="18">
        <v>161321</v>
      </c>
      <c r="C95" s="18">
        <v>161321</v>
      </c>
      <c r="D95" s="18" t="s">
        <v>261</v>
      </c>
      <c r="E95" s="19" t="s">
        <v>262</v>
      </c>
      <c r="F95" s="19" t="s">
        <v>422</v>
      </c>
      <c r="G95" s="20">
        <v>132</v>
      </c>
      <c r="H95" s="21" t="s">
        <v>197</v>
      </c>
      <c r="I95" s="21" t="s">
        <v>164</v>
      </c>
      <c r="J95" s="21" t="s">
        <v>215</v>
      </c>
      <c r="K95" s="22">
        <v>46050</v>
      </c>
      <c r="L95" s="21" t="s">
        <v>15</v>
      </c>
      <c r="M95" s="21" t="s">
        <v>358</v>
      </c>
      <c r="N95" s="20">
        <v>670</v>
      </c>
      <c r="O95" s="20">
        <v>47</v>
      </c>
      <c r="P95" s="20" t="s">
        <v>163</v>
      </c>
      <c r="Q95" s="20">
        <v>674</v>
      </c>
      <c r="R95" s="20" t="s">
        <v>360</v>
      </c>
      <c r="S95" s="20" t="s">
        <v>361</v>
      </c>
      <c r="T95" s="18" t="s">
        <v>362</v>
      </c>
      <c r="U95" s="18">
        <v>190203</v>
      </c>
      <c r="V95" s="20" t="s">
        <v>378</v>
      </c>
      <c r="W95" s="20">
        <v>68</v>
      </c>
      <c r="X95" t="str">
        <f>VLOOKUP(C95,VN_ICT!B:W,22,TRUE)</f>
        <v>Nguyễn Khánh Phương</v>
      </c>
    </row>
    <row r="96" spans="1:24">
      <c r="A96" s="18">
        <v>190204</v>
      </c>
      <c r="B96" s="18">
        <v>161321</v>
      </c>
      <c r="C96" s="18">
        <v>161321</v>
      </c>
      <c r="D96" s="18" t="s">
        <v>261</v>
      </c>
      <c r="E96" s="19" t="s">
        <v>262</v>
      </c>
      <c r="F96" s="19" t="s">
        <v>422</v>
      </c>
      <c r="G96" s="20">
        <v>130</v>
      </c>
      <c r="H96" s="21" t="s">
        <v>193</v>
      </c>
      <c r="I96" s="21" t="s">
        <v>164</v>
      </c>
      <c r="J96" s="21" t="s">
        <v>215</v>
      </c>
      <c r="K96" s="22">
        <v>46050</v>
      </c>
      <c r="L96" s="21" t="s">
        <v>15</v>
      </c>
      <c r="M96" s="21" t="s">
        <v>358</v>
      </c>
      <c r="N96" s="20">
        <v>670</v>
      </c>
      <c r="O96" s="20">
        <v>48</v>
      </c>
      <c r="P96" s="20" t="s">
        <v>163</v>
      </c>
      <c r="Q96" s="20">
        <v>674</v>
      </c>
      <c r="R96" s="20" t="s">
        <v>360</v>
      </c>
      <c r="S96" s="20" t="s">
        <v>361</v>
      </c>
      <c r="T96" s="18" t="s">
        <v>362</v>
      </c>
      <c r="U96" s="18">
        <v>190204</v>
      </c>
      <c r="V96" s="20" t="s">
        <v>378</v>
      </c>
      <c r="W96" s="20">
        <v>68</v>
      </c>
      <c r="X96" t="str">
        <f>VLOOKUP(C96,VN_ICT!B:W,22,TRUE)</f>
        <v>Nguyễn Khánh Phương</v>
      </c>
    </row>
    <row r="97" spans="1:24">
      <c r="A97" s="18">
        <v>190208</v>
      </c>
      <c r="B97" s="18">
        <v>161322</v>
      </c>
      <c r="C97" s="18">
        <v>161322</v>
      </c>
      <c r="D97" s="18" t="s">
        <v>261</v>
      </c>
      <c r="E97" s="19" t="s">
        <v>262</v>
      </c>
      <c r="F97" s="19" t="s">
        <v>426</v>
      </c>
      <c r="G97" s="20">
        <v>130</v>
      </c>
      <c r="H97" s="21" t="s">
        <v>193</v>
      </c>
      <c r="I97" s="21" t="s">
        <v>164</v>
      </c>
      <c r="J97" s="21" t="s">
        <v>215</v>
      </c>
      <c r="K97" s="22">
        <v>46050</v>
      </c>
      <c r="L97" s="21" t="s">
        <v>15</v>
      </c>
      <c r="M97" s="21" t="s">
        <v>358</v>
      </c>
      <c r="N97" s="20">
        <v>670</v>
      </c>
      <c r="O97" s="20">
        <v>48</v>
      </c>
      <c r="P97" s="20" t="s">
        <v>163</v>
      </c>
      <c r="Q97" s="20">
        <v>674</v>
      </c>
      <c r="R97" s="20" t="s">
        <v>360</v>
      </c>
      <c r="S97" s="20" t="s">
        <v>361</v>
      </c>
      <c r="T97" s="18" t="s">
        <v>362</v>
      </c>
      <c r="U97" s="18">
        <v>190208</v>
      </c>
      <c r="V97" s="20" t="s">
        <v>363</v>
      </c>
      <c r="W97" s="20">
        <v>68</v>
      </c>
      <c r="X97" t="str">
        <f>VLOOKUP(C97,VN_ICT!B:W,22,TRUE)</f>
        <v>Nguyễn Hữu Đức</v>
      </c>
    </row>
    <row r="98" spans="1:24">
      <c r="A98" s="18">
        <v>190207</v>
      </c>
      <c r="B98" s="18">
        <v>161322</v>
      </c>
      <c r="C98" s="18">
        <v>161322</v>
      </c>
      <c r="D98" s="18" t="s">
        <v>261</v>
      </c>
      <c r="E98" s="19" t="s">
        <v>262</v>
      </c>
      <c r="F98" s="19" t="s">
        <v>426</v>
      </c>
      <c r="G98" s="20">
        <v>131</v>
      </c>
      <c r="H98" s="21" t="s">
        <v>196</v>
      </c>
      <c r="I98" s="21" t="s">
        <v>164</v>
      </c>
      <c r="J98" s="21" t="s">
        <v>215</v>
      </c>
      <c r="K98" s="22">
        <v>46050</v>
      </c>
      <c r="L98" s="21" t="s">
        <v>15</v>
      </c>
      <c r="M98" s="21" t="s">
        <v>358</v>
      </c>
      <c r="N98" s="20">
        <v>670</v>
      </c>
      <c r="O98" s="20">
        <v>47</v>
      </c>
      <c r="P98" s="20" t="s">
        <v>163</v>
      </c>
      <c r="Q98" s="20">
        <v>674</v>
      </c>
      <c r="R98" s="20" t="s">
        <v>360</v>
      </c>
      <c r="S98" s="20" t="s">
        <v>361</v>
      </c>
      <c r="T98" s="18" t="s">
        <v>362</v>
      </c>
      <c r="U98" s="18">
        <v>190207</v>
      </c>
      <c r="V98" s="20" t="s">
        <v>363</v>
      </c>
      <c r="W98" s="20">
        <v>68</v>
      </c>
      <c r="X98" t="str">
        <f>VLOOKUP(C98,VN_ICT!B:W,22,TRUE)</f>
        <v>Nguyễn Hữu Đức</v>
      </c>
    </row>
    <row r="99" spans="1:24">
      <c r="A99" s="18">
        <v>190206</v>
      </c>
      <c r="B99" s="18">
        <v>161322</v>
      </c>
      <c r="C99" s="18">
        <v>161322</v>
      </c>
      <c r="D99" s="18" t="s">
        <v>261</v>
      </c>
      <c r="E99" s="19" t="s">
        <v>262</v>
      </c>
      <c r="F99" s="19" t="s">
        <v>426</v>
      </c>
      <c r="G99" s="20">
        <v>132</v>
      </c>
      <c r="H99" s="21" t="s">
        <v>197</v>
      </c>
      <c r="I99" s="21" t="s">
        <v>164</v>
      </c>
      <c r="J99" s="21" t="s">
        <v>215</v>
      </c>
      <c r="K99" s="22">
        <v>46050</v>
      </c>
      <c r="L99" s="21" t="s">
        <v>15</v>
      </c>
      <c r="M99" s="21" t="s">
        <v>358</v>
      </c>
      <c r="N99" s="20">
        <v>670</v>
      </c>
      <c r="O99" s="20">
        <v>47</v>
      </c>
      <c r="P99" s="20" t="s">
        <v>163</v>
      </c>
      <c r="Q99" s="20">
        <v>674</v>
      </c>
      <c r="R99" s="20" t="s">
        <v>360</v>
      </c>
      <c r="S99" s="20" t="s">
        <v>361</v>
      </c>
      <c r="T99" s="18" t="s">
        <v>362</v>
      </c>
      <c r="U99" s="18">
        <v>190206</v>
      </c>
      <c r="V99" s="20" t="s">
        <v>363</v>
      </c>
      <c r="W99" s="20">
        <v>68</v>
      </c>
      <c r="X99" t="str">
        <f>VLOOKUP(C99,VN_ICT!B:W,22,TRUE)</f>
        <v>Nguyễn Hữu Đức</v>
      </c>
    </row>
    <row r="100" spans="1:24">
      <c r="A100" s="18">
        <v>190445</v>
      </c>
      <c r="B100" s="18">
        <v>161324</v>
      </c>
      <c r="C100" s="18">
        <v>161323</v>
      </c>
      <c r="D100" s="18" t="s">
        <v>309</v>
      </c>
      <c r="E100" s="19" t="s">
        <v>310</v>
      </c>
      <c r="F100" s="19" t="s">
        <v>439</v>
      </c>
      <c r="G100" s="20">
        <v>131</v>
      </c>
      <c r="H100" s="21" t="s">
        <v>196</v>
      </c>
      <c r="I100" s="21" t="s">
        <v>194</v>
      </c>
      <c r="J100" s="21" t="s">
        <v>283</v>
      </c>
      <c r="K100" s="22">
        <v>46058</v>
      </c>
      <c r="L100" s="21" t="s">
        <v>440</v>
      </c>
      <c r="M100" s="21" t="s">
        <v>358</v>
      </c>
      <c r="N100" s="20">
        <v>670</v>
      </c>
      <c r="O100" s="20">
        <v>60</v>
      </c>
      <c r="P100" s="20" t="s">
        <v>163</v>
      </c>
      <c r="Q100" s="20">
        <v>674</v>
      </c>
      <c r="R100" s="20" t="s">
        <v>360</v>
      </c>
      <c r="S100" s="20" t="s">
        <v>361</v>
      </c>
      <c r="T100" s="18" t="s">
        <v>362</v>
      </c>
      <c r="U100" s="18">
        <v>190445</v>
      </c>
      <c r="V100" s="20" t="s">
        <v>442</v>
      </c>
      <c r="W100" s="20">
        <v>68</v>
      </c>
      <c r="X100" t="str">
        <f>VLOOKUP(C100,VN_ICT!B:W,22,TRUE)</f>
        <v>Trịnh Văn Chiến</v>
      </c>
    </row>
    <row r="101" spans="1:24">
      <c r="A101" s="18">
        <v>190446</v>
      </c>
      <c r="B101" s="18">
        <v>161324</v>
      </c>
      <c r="C101" s="18">
        <v>161323</v>
      </c>
      <c r="D101" s="18" t="s">
        <v>309</v>
      </c>
      <c r="E101" s="19" t="s">
        <v>310</v>
      </c>
      <c r="F101" s="19" t="s">
        <v>439</v>
      </c>
      <c r="G101" s="20">
        <v>130</v>
      </c>
      <c r="H101" s="21" t="s">
        <v>193</v>
      </c>
      <c r="I101" s="21" t="s">
        <v>194</v>
      </c>
      <c r="J101" s="21" t="s">
        <v>283</v>
      </c>
      <c r="K101" s="22">
        <v>46058</v>
      </c>
      <c r="L101" s="21" t="s">
        <v>440</v>
      </c>
      <c r="M101" s="21" t="s">
        <v>358</v>
      </c>
      <c r="N101" s="20">
        <v>670</v>
      </c>
      <c r="O101" s="20">
        <v>60</v>
      </c>
      <c r="P101" s="20" t="s">
        <v>163</v>
      </c>
      <c r="Q101" s="20">
        <v>674</v>
      </c>
      <c r="R101" s="20" t="s">
        <v>360</v>
      </c>
      <c r="S101" s="20" t="s">
        <v>361</v>
      </c>
      <c r="T101" s="18" t="s">
        <v>362</v>
      </c>
      <c r="U101" s="18">
        <v>190446</v>
      </c>
      <c r="V101" s="20" t="s">
        <v>442</v>
      </c>
      <c r="W101" s="20">
        <v>68</v>
      </c>
      <c r="X101" t="str">
        <f>VLOOKUP(C101,VN_ICT!B:W,22,TRUE)</f>
        <v>Trịnh Văn Chiến</v>
      </c>
    </row>
    <row r="102" spans="1:24">
      <c r="A102" s="18">
        <v>190447</v>
      </c>
      <c r="B102" s="18">
        <v>161325</v>
      </c>
      <c r="C102" s="18">
        <v>161323</v>
      </c>
      <c r="D102" s="18" t="s">
        <v>309</v>
      </c>
      <c r="E102" s="19" t="s">
        <v>310</v>
      </c>
      <c r="F102" s="19" t="s">
        <v>443</v>
      </c>
      <c r="G102" s="20">
        <v>131</v>
      </c>
      <c r="H102" s="21" t="s">
        <v>196</v>
      </c>
      <c r="I102" s="21" t="s">
        <v>194</v>
      </c>
      <c r="J102" s="21" t="s">
        <v>283</v>
      </c>
      <c r="K102" s="22">
        <v>46058</v>
      </c>
      <c r="L102" s="21" t="s">
        <v>440</v>
      </c>
      <c r="M102" s="21" t="s">
        <v>358</v>
      </c>
      <c r="N102" s="20">
        <v>670</v>
      </c>
      <c r="O102" s="20">
        <v>47</v>
      </c>
      <c r="P102" s="20" t="s">
        <v>163</v>
      </c>
      <c r="Q102" s="20">
        <v>674</v>
      </c>
      <c r="R102" s="20" t="s">
        <v>360</v>
      </c>
      <c r="S102" s="20" t="s">
        <v>361</v>
      </c>
      <c r="T102" s="18" t="s">
        <v>362</v>
      </c>
      <c r="U102" s="18">
        <v>190447</v>
      </c>
      <c r="V102" s="20" t="s">
        <v>444</v>
      </c>
      <c r="W102" s="20">
        <v>68</v>
      </c>
      <c r="X102" t="str">
        <f>VLOOKUP(C102,VN_ICT!B:W,22,TRUE)</f>
        <v>Trịnh Văn Chiến</v>
      </c>
    </row>
    <row r="103" spans="1:24">
      <c r="A103" s="18">
        <v>190448</v>
      </c>
      <c r="B103" s="18">
        <v>161325</v>
      </c>
      <c r="C103" s="18">
        <v>161323</v>
      </c>
      <c r="D103" s="18" t="s">
        <v>309</v>
      </c>
      <c r="E103" s="19" t="s">
        <v>310</v>
      </c>
      <c r="F103" s="19" t="s">
        <v>443</v>
      </c>
      <c r="G103" s="20">
        <v>130</v>
      </c>
      <c r="H103" s="21" t="s">
        <v>193</v>
      </c>
      <c r="I103" s="21" t="s">
        <v>194</v>
      </c>
      <c r="J103" s="21" t="s">
        <v>283</v>
      </c>
      <c r="K103" s="22">
        <v>46058</v>
      </c>
      <c r="L103" s="21" t="s">
        <v>440</v>
      </c>
      <c r="M103" s="21" t="s">
        <v>358</v>
      </c>
      <c r="N103" s="20">
        <v>670</v>
      </c>
      <c r="O103" s="20">
        <v>48</v>
      </c>
      <c r="P103" s="20" t="s">
        <v>163</v>
      </c>
      <c r="Q103" s="20">
        <v>674</v>
      </c>
      <c r="R103" s="20" t="s">
        <v>360</v>
      </c>
      <c r="S103" s="20" t="s">
        <v>361</v>
      </c>
      <c r="T103" s="18" t="s">
        <v>362</v>
      </c>
      <c r="U103" s="18">
        <v>190448</v>
      </c>
      <c r="V103" s="20" t="s">
        <v>444</v>
      </c>
      <c r="W103" s="20">
        <v>68</v>
      </c>
      <c r="X103" t="str">
        <f>VLOOKUP(C103,VN_ICT!B:W,22,TRUE)</f>
        <v>Trịnh Văn Chiến</v>
      </c>
    </row>
    <row r="104" spans="1:24" hidden="1">
      <c r="A104" s="18">
        <v>190641</v>
      </c>
      <c r="B104" s="18">
        <v>161326</v>
      </c>
      <c r="C104" s="18">
        <v>161326</v>
      </c>
      <c r="D104" s="18" t="s">
        <v>603</v>
      </c>
      <c r="E104" s="19" t="s">
        <v>604</v>
      </c>
      <c r="F104" s="19" t="s">
        <v>424</v>
      </c>
      <c r="G104" s="20">
        <v>365</v>
      </c>
      <c r="H104" s="21" t="s">
        <v>169</v>
      </c>
      <c r="I104" s="21" t="s">
        <v>164</v>
      </c>
      <c r="J104" s="21" t="s">
        <v>165</v>
      </c>
      <c r="K104" s="22">
        <v>46048</v>
      </c>
      <c r="L104" s="21" t="s">
        <v>12</v>
      </c>
      <c r="M104" s="21" t="s">
        <v>446</v>
      </c>
      <c r="N104" s="20">
        <v>670</v>
      </c>
      <c r="O104" s="20">
        <v>39</v>
      </c>
      <c r="P104" s="20" t="s">
        <v>163</v>
      </c>
      <c r="Q104" s="20">
        <v>674</v>
      </c>
      <c r="R104" s="20" t="s">
        <v>360</v>
      </c>
      <c r="S104" s="20" t="s">
        <v>361</v>
      </c>
      <c r="T104" s="18" t="s">
        <v>362</v>
      </c>
      <c r="U104" s="18">
        <v>190641</v>
      </c>
      <c r="V104" s="20" t="s">
        <v>23</v>
      </c>
      <c r="W104" s="20">
        <v>68</v>
      </c>
      <c r="X104" t="str">
        <f>VLOOKUP(C104,VN_ICT!B:W,22,TRUE)</f>
        <v>Nguyễn Phi Lê</v>
      </c>
    </row>
    <row r="105" spans="1:24" hidden="1">
      <c r="A105" s="18">
        <v>190642</v>
      </c>
      <c r="B105" s="18">
        <v>161327</v>
      </c>
      <c r="C105" s="18">
        <v>161327</v>
      </c>
      <c r="D105" s="18" t="s">
        <v>603</v>
      </c>
      <c r="E105" s="19" t="s">
        <v>604</v>
      </c>
      <c r="F105" s="19" t="s">
        <v>426</v>
      </c>
      <c r="G105" s="20">
        <v>365</v>
      </c>
      <c r="H105" s="21" t="s">
        <v>169</v>
      </c>
      <c r="I105" s="21" t="s">
        <v>164</v>
      </c>
      <c r="J105" s="21" t="s">
        <v>165</v>
      </c>
      <c r="K105" s="22">
        <v>46048</v>
      </c>
      <c r="L105" s="21" t="s">
        <v>12</v>
      </c>
      <c r="M105" s="21" t="s">
        <v>577</v>
      </c>
      <c r="N105" s="20">
        <v>670</v>
      </c>
      <c r="O105" s="20">
        <v>39</v>
      </c>
      <c r="P105" s="20" t="s">
        <v>163</v>
      </c>
      <c r="Q105" s="20">
        <v>674</v>
      </c>
      <c r="R105" s="20" t="s">
        <v>360</v>
      </c>
      <c r="S105" s="20" t="s">
        <v>361</v>
      </c>
      <c r="T105" s="18" t="s">
        <v>362</v>
      </c>
      <c r="U105" s="18">
        <v>190642</v>
      </c>
      <c r="V105" s="20" t="s">
        <v>21</v>
      </c>
      <c r="W105" s="20">
        <v>68</v>
      </c>
      <c r="X105" t="str">
        <f>VLOOKUP(C105,VN_ICT!B:W,22,TRUE)</f>
        <v>Lê Thị Giang</v>
      </c>
    </row>
    <row r="106" spans="1:24" hidden="1">
      <c r="A106" s="18">
        <v>190643</v>
      </c>
      <c r="B106" s="18">
        <v>161328</v>
      </c>
      <c r="C106" s="18">
        <v>161328</v>
      </c>
      <c r="D106" s="18" t="s">
        <v>603</v>
      </c>
      <c r="E106" s="19" t="s">
        <v>604</v>
      </c>
      <c r="F106" s="19" t="s">
        <v>605</v>
      </c>
      <c r="G106" s="20">
        <v>365</v>
      </c>
      <c r="H106" s="21" t="s">
        <v>169</v>
      </c>
      <c r="I106" s="21" t="s">
        <v>164</v>
      </c>
      <c r="J106" s="21" t="s">
        <v>165</v>
      </c>
      <c r="K106" s="22">
        <v>46048</v>
      </c>
      <c r="L106" s="21" t="s">
        <v>12</v>
      </c>
      <c r="M106" s="21" t="s">
        <v>579</v>
      </c>
      <c r="N106" s="20">
        <v>670</v>
      </c>
      <c r="O106" s="20">
        <v>40</v>
      </c>
      <c r="P106" s="20" t="s">
        <v>163</v>
      </c>
      <c r="Q106" s="20">
        <v>674</v>
      </c>
      <c r="R106" s="20" t="s">
        <v>360</v>
      </c>
      <c r="S106" s="20" t="s">
        <v>361</v>
      </c>
      <c r="T106" s="18" t="s">
        <v>362</v>
      </c>
      <c r="U106" s="18">
        <v>190643</v>
      </c>
      <c r="V106" s="20" t="s">
        <v>21</v>
      </c>
      <c r="W106" s="20">
        <v>68</v>
      </c>
      <c r="X106" t="str">
        <f>VLOOKUP(C106,VN_ICT!B:W,22,TRUE)</f>
        <v>Nguyễn Thị Nhung</v>
      </c>
    </row>
    <row r="107" spans="1:24" hidden="1">
      <c r="A107" s="18">
        <v>190644</v>
      </c>
      <c r="B107" s="18">
        <v>161329</v>
      </c>
      <c r="C107" s="18">
        <v>161329</v>
      </c>
      <c r="D107" s="18" t="s">
        <v>603</v>
      </c>
      <c r="E107" s="19" t="s">
        <v>604</v>
      </c>
      <c r="F107" s="19" t="s">
        <v>606</v>
      </c>
      <c r="G107" s="20">
        <v>365</v>
      </c>
      <c r="H107" s="21" t="s">
        <v>169</v>
      </c>
      <c r="I107" s="21" t="s">
        <v>164</v>
      </c>
      <c r="J107" s="21" t="s">
        <v>165</v>
      </c>
      <c r="K107" s="22">
        <v>46048</v>
      </c>
      <c r="L107" s="21" t="s">
        <v>12</v>
      </c>
      <c r="M107" s="21" t="s">
        <v>406</v>
      </c>
      <c r="N107" s="20">
        <v>670</v>
      </c>
      <c r="O107" s="20">
        <v>40</v>
      </c>
      <c r="P107" s="20" t="s">
        <v>163</v>
      </c>
      <c r="Q107" s="20">
        <v>674</v>
      </c>
      <c r="R107" s="20" t="s">
        <v>360</v>
      </c>
      <c r="S107" s="20" t="s">
        <v>361</v>
      </c>
      <c r="T107" s="18" t="s">
        <v>362</v>
      </c>
      <c r="U107" s="18">
        <v>190644</v>
      </c>
      <c r="V107" s="20" t="s">
        <v>21</v>
      </c>
      <c r="W107" s="20">
        <v>68</v>
      </c>
      <c r="X107" t="str">
        <f>VLOOKUP(C107,VN_ICT!B:W,22,TRUE)</f>
        <v>Lê Thị Giang</v>
      </c>
    </row>
    <row r="108" spans="1:24" hidden="1">
      <c r="A108" s="18">
        <v>190645</v>
      </c>
      <c r="B108" s="18">
        <v>161330</v>
      </c>
      <c r="C108" s="18">
        <v>161330</v>
      </c>
      <c r="D108" s="18" t="s">
        <v>603</v>
      </c>
      <c r="E108" s="19" t="s">
        <v>604</v>
      </c>
      <c r="F108" s="19" t="s">
        <v>607</v>
      </c>
      <c r="G108" s="20">
        <v>365</v>
      </c>
      <c r="H108" s="21" t="s">
        <v>169</v>
      </c>
      <c r="I108" s="21" t="s">
        <v>164</v>
      </c>
      <c r="J108" s="21" t="s">
        <v>165</v>
      </c>
      <c r="K108" s="22">
        <v>46048</v>
      </c>
      <c r="L108" s="21" t="s">
        <v>12</v>
      </c>
      <c r="M108" s="21" t="s">
        <v>582</v>
      </c>
      <c r="N108" s="20">
        <v>670</v>
      </c>
      <c r="O108" s="20">
        <v>40</v>
      </c>
      <c r="P108" s="20" t="s">
        <v>163</v>
      </c>
      <c r="Q108" s="20">
        <v>674</v>
      </c>
      <c r="R108" s="20" t="s">
        <v>360</v>
      </c>
      <c r="S108" s="20" t="s">
        <v>361</v>
      </c>
      <c r="T108" s="18" t="s">
        <v>362</v>
      </c>
      <c r="U108" s="18">
        <v>190645</v>
      </c>
      <c r="V108" s="20" t="s">
        <v>21</v>
      </c>
      <c r="W108" s="20">
        <v>68</v>
      </c>
      <c r="X108" t="str">
        <f>VLOOKUP(C108,VN_ICT!B:W,22,TRUE)</f>
        <v>Lê Thị Giang</v>
      </c>
    </row>
    <row r="109" spans="1:24" hidden="1">
      <c r="A109" s="18">
        <v>190646</v>
      </c>
      <c r="B109" s="18">
        <v>161331</v>
      </c>
      <c r="C109" s="18">
        <v>161331</v>
      </c>
      <c r="D109" s="18" t="s">
        <v>603</v>
      </c>
      <c r="E109" s="19" t="s">
        <v>604</v>
      </c>
      <c r="F109" s="19" t="s">
        <v>608</v>
      </c>
      <c r="G109" s="20">
        <v>365</v>
      </c>
      <c r="H109" s="21" t="s">
        <v>169</v>
      </c>
      <c r="I109" s="21" t="s">
        <v>164</v>
      </c>
      <c r="J109" s="21" t="s">
        <v>165</v>
      </c>
      <c r="K109" s="22">
        <v>46048</v>
      </c>
      <c r="L109" s="21" t="s">
        <v>12</v>
      </c>
      <c r="M109" s="21" t="s">
        <v>498</v>
      </c>
      <c r="N109" s="20">
        <v>670</v>
      </c>
      <c r="O109" s="20">
        <v>40</v>
      </c>
      <c r="P109" s="20" t="s">
        <v>163</v>
      </c>
      <c r="Q109" s="20">
        <v>674</v>
      </c>
      <c r="R109" s="20" t="s">
        <v>360</v>
      </c>
      <c r="S109" s="20" t="s">
        <v>361</v>
      </c>
      <c r="T109" s="18" t="s">
        <v>362</v>
      </c>
      <c r="U109" s="18">
        <v>190646</v>
      </c>
      <c r="V109" s="20" t="s">
        <v>21</v>
      </c>
      <c r="W109" s="20">
        <v>68</v>
      </c>
      <c r="X109" t="str">
        <f>VLOOKUP(C109,VN_ICT!B:W,22,TRUE)</f>
        <v>Nguyễn Thị Nhung</v>
      </c>
    </row>
    <row r="110" spans="1:24" hidden="1">
      <c r="A110" s="18">
        <v>190647</v>
      </c>
      <c r="B110" s="18">
        <v>161332</v>
      </c>
      <c r="C110" s="18">
        <v>161332</v>
      </c>
      <c r="D110" s="18" t="s">
        <v>603</v>
      </c>
      <c r="E110" s="19" t="s">
        <v>604</v>
      </c>
      <c r="F110" s="19" t="s">
        <v>609</v>
      </c>
      <c r="G110" s="20">
        <v>365</v>
      </c>
      <c r="H110" s="21" t="s">
        <v>169</v>
      </c>
      <c r="I110" s="21" t="s">
        <v>164</v>
      </c>
      <c r="J110" s="21" t="s">
        <v>165</v>
      </c>
      <c r="K110" s="22">
        <v>46048</v>
      </c>
      <c r="L110" s="21" t="s">
        <v>12</v>
      </c>
      <c r="M110" s="21" t="s">
        <v>403</v>
      </c>
      <c r="N110" s="20">
        <v>670</v>
      </c>
      <c r="O110" s="20">
        <v>40</v>
      </c>
      <c r="P110" s="20" t="s">
        <v>163</v>
      </c>
      <c r="Q110" s="20">
        <v>674</v>
      </c>
      <c r="R110" s="20" t="s">
        <v>360</v>
      </c>
      <c r="S110" s="20" t="s">
        <v>361</v>
      </c>
      <c r="T110" s="18" t="s">
        <v>362</v>
      </c>
      <c r="U110" s="18">
        <v>190647</v>
      </c>
      <c r="V110" s="20" t="s">
        <v>21</v>
      </c>
      <c r="W110" s="20">
        <v>68</v>
      </c>
      <c r="X110" t="str">
        <f>VLOOKUP(C110,VN_ICT!B:W,22,TRUE)</f>
        <v>Nguyễn Thị Nhung</v>
      </c>
    </row>
    <row r="111" spans="1:24" hidden="1">
      <c r="A111" s="18">
        <v>190619</v>
      </c>
      <c r="B111" s="18">
        <v>161333</v>
      </c>
      <c r="C111" s="18">
        <v>161333</v>
      </c>
      <c r="D111" s="18" t="s">
        <v>610</v>
      </c>
      <c r="E111" s="19" t="s">
        <v>611</v>
      </c>
      <c r="F111" s="19" t="s">
        <v>422</v>
      </c>
      <c r="G111" s="20">
        <v>365</v>
      </c>
      <c r="H111" s="21" t="s">
        <v>169</v>
      </c>
      <c r="I111" s="21" t="s">
        <v>228</v>
      </c>
      <c r="J111" s="21" t="s">
        <v>238</v>
      </c>
      <c r="K111" s="22">
        <v>46045</v>
      </c>
      <c r="L111" s="21" t="s">
        <v>12</v>
      </c>
      <c r="M111" s="21" t="s">
        <v>446</v>
      </c>
      <c r="N111" s="20">
        <v>670</v>
      </c>
      <c r="O111" s="20">
        <v>27</v>
      </c>
      <c r="P111" s="20" t="s">
        <v>163</v>
      </c>
      <c r="Q111" s="20">
        <v>674</v>
      </c>
      <c r="R111" s="20" t="s">
        <v>360</v>
      </c>
      <c r="S111" s="20" t="s">
        <v>361</v>
      </c>
      <c r="T111" s="18" t="s">
        <v>362</v>
      </c>
      <c r="U111" s="18">
        <v>190619</v>
      </c>
      <c r="V111" s="20" t="s">
        <v>612</v>
      </c>
      <c r="W111" s="20">
        <v>68</v>
      </c>
      <c r="X111" t="str">
        <f>VLOOKUP(C111,VN_ICT!B:W,22,TRUE)</f>
        <v>Ngô Lan Anh</v>
      </c>
    </row>
    <row r="112" spans="1:24" hidden="1">
      <c r="A112" s="18">
        <v>190620</v>
      </c>
      <c r="B112" s="18">
        <v>161334</v>
      </c>
      <c r="C112" s="18">
        <v>161334</v>
      </c>
      <c r="D112" s="18" t="s">
        <v>610</v>
      </c>
      <c r="E112" s="19" t="s">
        <v>611</v>
      </c>
      <c r="F112" s="19" t="s">
        <v>423</v>
      </c>
      <c r="G112" s="20">
        <v>365</v>
      </c>
      <c r="H112" s="21" t="s">
        <v>169</v>
      </c>
      <c r="I112" s="21" t="s">
        <v>228</v>
      </c>
      <c r="J112" s="21" t="s">
        <v>238</v>
      </c>
      <c r="K112" s="22">
        <v>46045</v>
      </c>
      <c r="L112" s="21" t="s">
        <v>12</v>
      </c>
      <c r="M112" s="21" t="s">
        <v>577</v>
      </c>
      <c r="N112" s="20">
        <v>670</v>
      </c>
      <c r="O112" s="20">
        <v>27</v>
      </c>
      <c r="P112" s="20" t="s">
        <v>163</v>
      </c>
      <c r="Q112" s="20">
        <v>674</v>
      </c>
      <c r="R112" s="20" t="s">
        <v>360</v>
      </c>
      <c r="S112" s="20" t="s">
        <v>361</v>
      </c>
      <c r="T112" s="18" t="s">
        <v>362</v>
      </c>
      <c r="U112" s="18">
        <v>190620</v>
      </c>
      <c r="V112" s="20" t="s">
        <v>613</v>
      </c>
      <c r="W112" s="20">
        <v>68</v>
      </c>
      <c r="X112" t="str">
        <f>VLOOKUP(C112,VN_ICT!B:W,22,TRUE)</f>
        <v>Nguyễn Thị Hương Ninh</v>
      </c>
    </row>
    <row r="113" spans="1:24" hidden="1">
      <c r="A113" s="18">
        <v>190621</v>
      </c>
      <c r="B113" s="18">
        <v>161335</v>
      </c>
      <c r="C113" s="18">
        <v>161335</v>
      </c>
      <c r="D113" s="18" t="s">
        <v>610</v>
      </c>
      <c r="E113" s="19" t="s">
        <v>611</v>
      </c>
      <c r="F113" s="19" t="s">
        <v>605</v>
      </c>
      <c r="G113" s="20">
        <v>365</v>
      </c>
      <c r="H113" s="21" t="s">
        <v>169</v>
      </c>
      <c r="I113" s="21" t="s">
        <v>228</v>
      </c>
      <c r="J113" s="21" t="s">
        <v>238</v>
      </c>
      <c r="K113" s="22">
        <v>46045</v>
      </c>
      <c r="L113" s="21" t="s">
        <v>12</v>
      </c>
      <c r="M113" s="21" t="s">
        <v>579</v>
      </c>
      <c r="N113" s="20">
        <v>670</v>
      </c>
      <c r="O113" s="20">
        <v>19</v>
      </c>
      <c r="P113" s="20" t="s">
        <v>163</v>
      </c>
      <c r="Q113" s="20">
        <v>674</v>
      </c>
      <c r="R113" s="20" t="s">
        <v>360</v>
      </c>
      <c r="S113" s="20" t="s">
        <v>361</v>
      </c>
      <c r="T113" s="18" t="s">
        <v>362</v>
      </c>
      <c r="U113" s="18">
        <v>190621</v>
      </c>
      <c r="V113" s="20" t="s">
        <v>614</v>
      </c>
      <c r="W113" s="20">
        <v>68</v>
      </c>
      <c r="X113" t="str">
        <f>VLOOKUP(C113,VN_ICT!B:W,22,TRUE)</f>
        <v>Jingu Anna</v>
      </c>
    </row>
    <row r="114" spans="1:24" hidden="1">
      <c r="A114" s="18">
        <v>190622</v>
      </c>
      <c r="B114" s="18">
        <v>161337</v>
      </c>
      <c r="C114" s="18">
        <v>161337</v>
      </c>
      <c r="D114" s="18" t="s">
        <v>610</v>
      </c>
      <c r="E114" s="19" t="s">
        <v>611</v>
      </c>
      <c r="F114" s="19" t="s">
        <v>607</v>
      </c>
      <c r="G114" s="20">
        <v>365</v>
      </c>
      <c r="H114" s="21" t="s">
        <v>169</v>
      </c>
      <c r="I114" s="21" t="s">
        <v>228</v>
      </c>
      <c r="J114" s="21" t="s">
        <v>238</v>
      </c>
      <c r="K114" s="22">
        <v>46045</v>
      </c>
      <c r="L114" s="21" t="s">
        <v>12</v>
      </c>
      <c r="M114" s="21" t="s">
        <v>406</v>
      </c>
      <c r="N114" s="20">
        <v>670</v>
      </c>
      <c r="O114" s="20">
        <v>32</v>
      </c>
      <c r="P114" s="20" t="s">
        <v>163</v>
      </c>
      <c r="Q114" s="20">
        <v>674</v>
      </c>
      <c r="R114" s="20" t="s">
        <v>360</v>
      </c>
      <c r="S114" s="20" t="s">
        <v>361</v>
      </c>
      <c r="T114" s="18" t="s">
        <v>362</v>
      </c>
      <c r="U114" s="18">
        <v>190622</v>
      </c>
      <c r="V114" s="20" t="s">
        <v>615</v>
      </c>
      <c r="W114" s="20">
        <v>68</v>
      </c>
      <c r="X114" t="str">
        <f>VLOOKUP(C114,VN_ICT!B:W,22,TRUE)</f>
        <v>Terachi Maiko</v>
      </c>
    </row>
    <row r="115" spans="1:24" hidden="1">
      <c r="A115" s="18">
        <v>190623</v>
      </c>
      <c r="B115" s="18">
        <v>161338</v>
      </c>
      <c r="C115" s="18">
        <v>161338</v>
      </c>
      <c r="D115" s="18" t="s">
        <v>610</v>
      </c>
      <c r="E115" s="19" t="s">
        <v>611</v>
      </c>
      <c r="F115" s="19" t="s">
        <v>616</v>
      </c>
      <c r="G115" s="20">
        <v>365</v>
      </c>
      <c r="H115" s="21" t="s">
        <v>169</v>
      </c>
      <c r="I115" s="21" t="s">
        <v>228</v>
      </c>
      <c r="J115" s="21" t="s">
        <v>238</v>
      </c>
      <c r="K115" s="22">
        <v>46045</v>
      </c>
      <c r="L115" s="21" t="s">
        <v>12</v>
      </c>
      <c r="M115" s="21" t="s">
        <v>582</v>
      </c>
      <c r="N115" s="20">
        <v>670</v>
      </c>
      <c r="O115" s="20">
        <v>33</v>
      </c>
      <c r="P115" s="20" t="s">
        <v>163</v>
      </c>
      <c r="Q115" s="20">
        <v>674</v>
      </c>
      <c r="R115" s="20" t="s">
        <v>360</v>
      </c>
      <c r="S115" s="20" t="s">
        <v>361</v>
      </c>
      <c r="T115" s="18" t="s">
        <v>362</v>
      </c>
      <c r="U115" s="18">
        <v>190623</v>
      </c>
      <c r="V115" s="20" t="s">
        <v>612</v>
      </c>
      <c r="W115" s="20">
        <v>68</v>
      </c>
      <c r="X115" t="str">
        <f>VLOOKUP(C115,VN_ICT!B:W,22,TRUE)</f>
        <v>Ngô Lan Anh</v>
      </c>
    </row>
    <row r="116" spans="1:24" hidden="1">
      <c r="A116" s="18">
        <v>190624</v>
      </c>
      <c r="B116" s="18">
        <v>161339</v>
      </c>
      <c r="C116" s="18">
        <v>161339</v>
      </c>
      <c r="D116" s="18" t="s">
        <v>610</v>
      </c>
      <c r="E116" s="19" t="s">
        <v>611</v>
      </c>
      <c r="F116" s="19" t="s">
        <v>609</v>
      </c>
      <c r="G116" s="20">
        <v>365</v>
      </c>
      <c r="H116" s="21" t="s">
        <v>169</v>
      </c>
      <c r="I116" s="21" t="s">
        <v>228</v>
      </c>
      <c r="J116" s="21" t="s">
        <v>238</v>
      </c>
      <c r="K116" s="22">
        <v>46045</v>
      </c>
      <c r="L116" s="21" t="s">
        <v>12</v>
      </c>
      <c r="M116" s="21" t="s">
        <v>498</v>
      </c>
      <c r="N116" s="20">
        <v>670</v>
      </c>
      <c r="O116" s="20">
        <v>33</v>
      </c>
      <c r="P116" s="20" t="s">
        <v>163</v>
      </c>
      <c r="Q116" s="20">
        <v>674</v>
      </c>
      <c r="R116" s="20" t="s">
        <v>360</v>
      </c>
      <c r="S116" s="20" t="s">
        <v>361</v>
      </c>
      <c r="T116" s="18" t="s">
        <v>362</v>
      </c>
      <c r="U116" s="18">
        <v>190624</v>
      </c>
      <c r="V116" s="20" t="s">
        <v>613</v>
      </c>
      <c r="W116" s="20">
        <v>68</v>
      </c>
      <c r="X116" t="str">
        <f>VLOOKUP(C116,VN_ICT!B:W,22,TRUE)</f>
        <v>Nguyễn Thị Hương Ninh</v>
      </c>
    </row>
    <row r="117" spans="1:24" hidden="1">
      <c r="A117" s="18">
        <v>190625</v>
      </c>
      <c r="B117" s="18">
        <v>161340</v>
      </c>
      <c r="C117" s="18">
        <v>161340</v>
      </c>
      <c r="D117" s="18" t="s">
        <v>610</v>
      </c>
      <c r="E117" s="19" t="s">
        <v>611</v>
      </c>
      <c r="F117" s="19" t="s">
        <v>617</v>
      </c>
      <c r="G117" s="20">
        <v>365</v>
      </c>
      <c r="H117" s="21" t="s">
        <v>169</v>
      </c>
      <c r="I117" s="21" t="s">
        <v>228</v>
      </c>
      <c r="J117" s="21" t="s">
        <v>238</v>
      </c>
      <c r="K117" s="22">
        <v>46045</v>
      </c>
      <c r="L117" s="21" t="s">
        <v>12</v>
      </c>
      <c r="M117" s="21" t="s">
        <v>403</v>
      </c>
      <c r="N117" s="20">
        <v>670</v>
      </c>
      <c r="O117" s="20">
        <v>30</v>
      </c>
      <c r="P117" s="20" t="s">
        <v>163</v>
      </c>
      <c r="Q117" s="20">
        <v>674</v>
      </c>
      <c r="R117" s="20" t="s">
        <v>360</v>
      </c>
      <c r="S117" s="20" t="s">
        <v>361</v>
      </c>
      <c r="T117" s="18" t="s">
        <v>362</v>
      </c>
      <c r="U117" s="18">
        <v>190625</v>
      </c>
      <c r="V117" s="20" t="s">
        <v>614</v>
      </c>
      <c r="W117" s="20">
        <v>68</v>
      </c>
      <c r="X117" t="str">
        <f>VLOOKUP(C117,VN_ICT!B:W,22,TRUE)</f>
        <v>Jingu Anna</v>
      </c>
    </row>
    <row r="118" spans="1:24" hidden="1">
      <c r="A118" s="18">
        <v>190626</v>
      </c>
      <c r="B118" s="18">
        <v>161341</v>
      </c>
      <c r="C118" s="18">
        <v>161341</v>
      </c>
      <c r="D118" s="18" t="s">
        <v>610</v>
      </c>
      <c r="E118" s="19" t="s">
        <v>611</v>
      </c>
      <c r="F118" s="19" t="s">
        <v>618</v>
      </c>
      <c r="G118" s="20">
        <v>365</v>
      </c>
      <c r="H118" s="21" t="s">
        <v>169</v>
      </c>
      <c r="I118" s="21" t="s">
        <v>228</v>
      </c>
      <c r="J118" s="21" t="s">
        <v>238</v>
      </c>
      <c r="K118" s="22">
        <v>46045</v>
      </c>
      <c r="L118" s="21" t="s">
        <v>12</v>
      </c>
      <c r="M118" s="21" t="s">
        <v>585</v>
      </c>
      <c r="N118" s="20">
        <v>670</v>
      </c>
      <c r="O118" s="20">
        <v>30</v>
      </c>
      <c r="P118" s="20" t="s">
        <v>163</v>
      </c>
      <c r="Q118" s="20">
        <v>674</v>
      </c>
      <c r="R118" s="20" t="s">
        <v>360</v>
      </c>
      <c r="S118" s="20" t="s">
        <v>361</v>
      </c>
      <c r="T118" s="18" t="s">
        <v>362</v>
      </c>
      <c r="U118" s="18">
        <v>190626</v>
      </c>
      <c r="V118" s="20" t="s">
        <v>619</v>
      </c>
      <c r="W118" s="20">
        <v>68</v>
      </c>
      <c r="X118" t="str">
        <f>VLOOKUP(C118,VN_ICT!B:W,22,TRUE)</f>
        <v>Lương Thị Phương Liên</v>
      </c>
    </row>
    <row r="119" spans="1:24" hidden="1">
      <c r="A119" s="18">
        <v>190627</v>
      </c>
      <c r="B119" s="18">
        <v>161342</v>
      </c>
      <c r="C119" s="18">
        <v>161342</v>
      </c>
      <c r="D119" s="18" t="s">
        <v>610</v>
      </c>
      <c r="E119" s="19" t="s">
        <v>611</v>
      </c>
      <c r="F119" s="19" t="s">
        <v>620</v>
      </c>
      <c r="G119" s="20">
        <v>365</v>
      </c>
      <c r="H119" s="21" t="s">
        <v>169</v>
      </c>
      <c r="I119" s="21" t="s">
        <v>228</v>
      </c>
      <c r="J119" s="21" t="s">
        <v>238</v>
      </c>
      <c r="K119" s="22">
        <v>46045</v>
      </c>
      <c r="L119" s="21" t="s">
        <v>12</v>
      </c>
      <c r="M119" s="21" t="s">
        <v>586</v>
      </c>
      <c r="N119" s="20">
        <v>670</v>
      </c>
      <c r="O119" s="20">
        <v>30</v>
      </c>
      <c r="P119" s="20" t="s">
        <v>163</v>
      </c>
      <c r="Q119" s="20">
        <v>674</v>
      </c>
      <c r="R119" s="20" t="s">
        <v>360</v>
      </c>
      <c r="S119" s="20" t="s">
        <v>361</v>
      </c>
      <c r="T119" s="18" t="s">
        <v>362</v>
      </c>
      <c r="U119" s="18">
        <v>190627</v>
      </c>
      <c r="V119" s="20" t="s">
        <v>621</v>
      </c>
      <c r="W119" s="20">
        <v>68</v>
      </c>
      <c r="X119" t="str">
        <f>VLOOKUP(C119,VN_ICT!B:W,22,TRUE)</f>
        <v>Nguyễn Thị Bích Diệp</v>
      </c>
    </row>
    <row r="120" spans="1:24" hidden="1">
      <c r="A120" s="18">
        <v>187873</v>
      </c>
      <c r="B120" s="18">
        <v>161343</v>
      </c>
      <c r="C120" s="18">
        <v>161343</v>
      </c>
      <c r="D120" s="18" t="s">
        <v>622</v>
      </c>
      <c r="E120" s="19" t="s">
        <v>623</v>
      </c>
      <c r="F120" s="19" t="s">
        <v>422</v>
      </c>
      <c r="G120" s="20">
        <v>131</v>
      </c>
      <c r="H120" s="21" t="s">
        <v>196</v>
      </c>
      <c r="I120" s="21" t="s">
        <v>228</v>
      </c>
      <c r="J120" s="21" t="s">
        <v>215</v>
      </c>
      <c r="K120" s="22">
        <v>46043</v>
      </c>
      <c r="L120" s="21" t="s">
        <v>11</v>
      </c>
      <c r="M120" s="21" t="s">
        <v>378</v>
      </c>
      <c r="N120" s="20">
        <v>670</v>
      </c>
      <c r="O120" s="20">
        <v>49</v>
      </c>
      <c r="P120" s="20" t="s">
        <v>163</v>
      </c>
      <c r="Q120" s="20">
        <v>674</v>
      </c>
      <c r="R120" s="20" t="s">
        <v>360</v>
      </c>
      <c r="S120" s="20" t="s">
        <v>624</v>
      </c>
      <c r="T120" s="18" t="s">
        <v>625</v>
      </c>
      <c r="U120" s="18">
        <v>187873</v>
      </c>
      <c r="V120" s="20"/>
      <c r="W120" s="20">
        <v>68</v>
      </c>
      <c r="X120">
        <f>VLOOKUP(C120,VN_ICT!B:W,22,TRUE)</f>
        <v>0</v>
      </c>
    </row>
    <row r="121" spans="1:24" hidden="1">
      <c r="A121" s="18">
        <v>187871</v>
      </c>
      <c r="B121" s="18">
        <v>161343</v>
      </c>
      <c r="C121" s="18">
        <v>161343</v>
      </c>
      <c r="D121" s="18" t="s">
        <v>622</v>
      </c>
      <c r="E121" s="19" t="s">
        <v>623</v>
      </c>
      <c r="F121" s="19" t="s">
        <v>422</v>
      </c>
      <c r="G121" s="20">
        <v>130</v>
      </c>
      <c r="H121" s="21" t="s">
        <v>193</v>
      </c>
      <c r="I121" s="21" t="s">
        <v>228</v>
      </c>
      <c r="J121" s="21" t="s">
        <v>215</v>
      </c>
      <c r="K121" s="22">
        <v>46043</v>
      </c>
      <c r="L121" s="21" t="s">
        <v>11</v>
      </c>
      <c r="M121" s="21" t="s">
        <v>378</v>
      </c>
      <c r="N121" s="20">
        <v>670</v>
      </c>
      <c r="O121" s="20">
        <v>50</v>
      </c>
      <c r="P121" s="20" t="s">
        <v>163</v>
      </c>
      <c r="Q121" s="20">
        <v>674</v>
      </c>
      <c r="R121" s="20" t="s">
        <v>360</v>
      </c>
      <c r="S121" s="20" t="s">
        <v>624</v>
      </c>
      <c r="T121" s="18" t="s">
        <v>625</v>
      </c>
      <c r="U121" s="18">
        <v>187871</v>
      </c>
      <c r="V121" s="20"/>
      <c r="W121" s="20">
        <v>68</v>
      </c>
      <c r="X121">
        <f>VLOOKUP(C121,VN_ICT!B:W,22,TRUE)</f>
        <v>0</v>
      </c>
    </row>
    <row r="122" spans="1:24" hidden="1">
      <c r="A122" s="18">
        <v>187872</v>
      </c>
      <c r="B122" s="18">
        <v>161343</v>
      </c>
      <c r="C122" s="18">
        <v>161343</v>
      </c>
      <c r="D122" s="18" t="s">
        <v>622</v>
      </c>
      <c r="E122" s="19" t="s">
        <v>623</v>
      </c>
      <c r="F122" s="19" t="s">
        <v>422</v>
      </c>
      <c r="G122" s="20">
        <v>132</v>
      </c>
      <c r="H122" s="21" t="s">
        <v>197</v>
      </c>
      <c r="I122" s="21" t="s">
        <v>228</v>
      </c>
      <c r="J122" s="21" t="s">
        <v>215</v>
      </c>
      <c r="K122" s="22">
        <v>46043</v>
      </c>
      <c r="L122" s="21" t="s">
        <v>11</v>
      </c>
      <c r="M122" s="21" t="s">
        <v>363</v>
      </c>
      <c r="N122" s="20">
        <v>670</v>
      </c>
      <c r="O122" s="20">
        <v>49</v>
      </c>
      <c r="P122" s="20" t="s">
        <v>163</v>
      </c>
      <c r="Q122" s="20">
        <v>674</v>
      </c>
      <c r="R122" s="20" t="s">
        <v>360</v>
      </c>
      <c r="S122" s="20" t="s">
        <v>624</v>
      </c>
      <c r="T122" s="18" t="s">
        <v>625</v>
      </c>
      <c r="U122" s="18">
        <v>187872</v>
      </c>
      <c r="V122" s="20"/>
      <c r="W122" s="20">
        <v>68</v>
      </c>
      <c r="X122">
        <f>VLOOKUP(C122,VN_ICT!B:W,22,TRUE)</f>
        <v>0</v>
      </c>
    </row>
    <row r="123" spans="1:24" hidden="1">
      <c r="A123" s="18">
        <v>187875</v>
      </c>
      <c r="B123" s="18">
        <v>161344</v>
      </c>
      <c r="C123" s="18">
        <v>161344</v>
      </c>
      <c r="D123" s="18" t="s">
        <v>622</v>
      </c>
      <c r="E123" s="19" t="s">
        <v>623</v>
      </c>
      <c r="F123" s="19" t="s">
        <v>423</v>
      </c>
      <c r="G123" s="20">
        <v>130</v>
      </c>
      <c r="H123" s="21" t="s">
        <v>193</v>
      </c>
      <c r="I123" s="21" t="s">
        <v>228</v>
      </c>
      <c r="J123" s="21" t="s">
        <v>215</v>
      </c>
      <c r="K123" s="22">
        <v>46043</v>
      </c>
      <c r="L123" s="21" t="s">
        <v>11</v>
      </c>
      <c r="M123" s="21" t="s">
        <v>363</v>
      </c>
      <c r="N123" s="20">
        <v>670</v>
      </c>
      <c r="O123" s="20">
        <v>42</v>
      </c>
      <c r="P123" s="20" t="s">
        <v>163</v>
      </c>
      <c r="Q123" s="20">
        <v>674</v>
      </c>
      <c r="R123" s="20" t="s">
        <v>360</v>
      </c>
      <c r="S123" s="20" t="s">
        <v>624</v>
      </c>
      <c r="T123" s="18" t="s">
        <v>625</v>
      </c>
      <c r="U123" s="18">
        <v>187875</v>
      </c>
      <c r="V123" s="20"/>
      <c r="W123" s="20">
        <v>68</v>
      </c>
      <c r="X123">
        <f>VLOOKUP(C123,VN_ICT!B:W,22,TRUE)</f>
        <v>0</v>
      </c>
    </row>
    <row r="124" spans="1:24" hidden="1">
      <c r="A124" s="18">
        <v>187874</v>
      </c>
      <c r="B124" s="18">
        <v>161344</v>
      </c>
      <c r="C124" s="18">
        <v>161344</v>
      </c>
      <c r="D124" s="18" t="s">
        <v>622</v>
      </c>
      <c r="E124" s="19" t="s">
        <v>623</v>
      </c>
      <c r="F124" s="19" t="s">
        <v>423</v>
      </c>
      <c r="G124" s="20">
        <v>131</v>
      </c>
      <c r="H124" s="21" t="s">
        <v>196</v>
      </c>
      <c r="I124" s="21" t="s">
        <v>228</v>
      </c>
      <c r="J124" s="21" t="s">
        <v>215</v>
      </c>
      <c r="K124" s="22">
        <v>46043</v>
      </c>
      <c r="L124" s="21" t="s">
        <v>11</v>
      </c>
      <c r="M124" s="21" t="s">
        <v>446</v>
      </c>
      <c r="N124" s="20">
        <v>670</v>
      </c>
      <c r="O124" s="20">
        <v>42</v>
      </c>
      <c r="P124" s="20" t="s">
        <v>163</v>
      </c>
      <c r="Q124" s="20">
        <v>674</v>
      </c>
      <c r="R124" s="20" t="s">
        <v>360</v>
      </c>
      <c r="S124" s="20" t="s">
        <v>624</v>
      </c>
      <c r="T124" s="18" t="s">
        <v>625</v>
      </c>
      <c r="U124" s="18">
        <v>187874</v>
      </c>
      <c r="V124" s="20"/>
      <c r="W124" s="20">
        <v>68</v>
      </c>
      <c r="X124">
        <f>VLOOKUP(C124,VN_ICT!B:W,22,TRUE)</f>
        <v>0</v>
      </c>
    </row>
    <row r="125" spans="1:24" hidden="1">
      <c r="A125" s="18">
        <v>187695</v>
      </c>
      <c r="B125" s="18">
        <v>161345</v>
      </c>
      <c r="C125" s="18">
        <v>161345</v>
      </c>
      <c r="D125" s="18" t="s">
        <v>626</v>
      </c>
      <c r="E125" s="19" t="s">
        <v>627</v>
      </c>
      <c r="F125" s="19" t="s">
        <v>628</v>
      </c>
      <c r="G125" s="20">
        <v>130</v>
      </c>
      <c r="H125" s="21" t="s">
        <v>193</v>
      </c>
      <c r="I125" s="21" t="s">
        <v>194</v>
      </c>
      <c r="J125" s="21" t="s">
        <v>417</v>
      </c>
      <c r="K125" s="22">
        <v>46060</v>
      </c>
      <c r="L125" s="21" t="s">
        <v>11</v>
      </c>
      <c r="M125" s="21" t="s">
        <v>378</v>
      </c>
      <c r="N125" s="20">
        <v>670</v>
      </c>
      <c r="O125" s="20">
        <v>50</v>
      </c>
      <c r="P125" s="20" t="s">
        <v>163</v>
      </c>
      <c r="Q125" s="20">
        <v>674</v>
      </c>
      <c r="R125" s="20" t="s">
        <v>360</v>
      </c>
      <c r="S125" s="20" t="s">
        <v>624</v>
      </c>
      <c r="T125" s="18" t="s">
        <v>625</v>
      </c>
      <c r="U125" s="18">
        <v>187695</v>
      </c>
      <c r="V125" s="20"/>
      <c r="W125" s="20">
        <v>68</v>
      </c>
      <c r="X125">
        <f>VLOOKUP(C125,VN_ICT!B:W,22,TRUE)</f>
        <v>0</v>
      </c>
    </row>
    <row r="126" spans="1:24" hidden="1">
      <c r="A126" s="18">
        <v>187694</v>
      </c>
      <c r="B126" s="18">
        <v>161345</v>
      </c>
      <c r="C126" s="18">
        <v>161345</v>
      </c>
      <c r="D126" s="18" t="s">
        <v>626</v>
      </c>
      <c r="E126" s="19" t="s">
        <v>627</v>
      </c>
      <c r="F126" s="19" t="s">
        <v>628</v>
      </c>
      <c r="G126" s="20">
        <v>131</v>
      </c>
      <c r="H126" s="21" t="s">
        <v>196</v>
      </c>
      <c r="I126" s="21" t="s">
        <v>194</v>
      </c>
      <c r="J126" s="21" t="s">
        <v>417</v>
      </c>
      <c r="K126" s="22">
        <v>46060</v>
      </c>
      <c r="L126" s="21" t="s">
        <v>11</v>
      </c>
      <c r="M126" s="21" t="s">
        <v>378</v>
      </c>
      <c r="N126" s="20">
        <v>670</v>
      </c>
      <c r="O126" s="20">
        <v>49</v>
      </c>
      <c r="P126" s="20" t="s">
        <v>163</v>
      </c>
      <c r="Q126" s="20">
        <v>674</v>
      </c>
      <c r="R126" s="20" t="s">
        <v>360</v>
      </c>
      <c r="S126" s="20" t="s">
        <v>624</v>
      </c>
      <c r="T126" s="18" t="s">
        <v>625</v>
      </c>
      <c r="U126" s="18">
        <v>187694</v>
      </c>
      <c r="V126" s="20"/>
      <c r="W126" s="20">
        <v>68</v>
      </c>
      <c r="X126">
        <f>VLOOKUP(C126,VN_ICT!B:W,22,TRUE)</f>
        <v>0</v>
      </c>
    </row>
    <row r="127" spans="1:24" hidden="1">
      <c r="A127" s="18">
        <v>187696</v>
      </c>
      <c r="B127" s="18">
        <v>161345</v>
      </c>
      <c r="C127" s="18">
        <v>161345</v>
      </c>
      <c r="D127" s="18" t="s">
        <v>626</v>
      </c>
      <c r="E127" s="19" t="s">
        <v>627</v>
      </c>
      <c r="F127" s="19" t="s">
        <v>628</v>
      </c>
      <c r="G127" s="20">
        <v>132</v>
      </c>
      <c r="H127" s="21" t="s">
        <v>197</v>
      </c>
      <c r="I127" s="21" t="s">
        <v>194</v>
      </c>
      <c r="J127" s="21" t="s">
        <v>417</v>
      </c>
      <c r="K127" s="22">
        <v>46060</v>
      </c>
      <c r="L127" s="21" t="s">
        <v>11</v>
      </c>
      <c r="M127" s="21" t="s">
        <v>446</v>
      </c>
      <c r="N127" s="20">
        <v>670</v>
      </c>
      <c r="O127" s="20">
        <v>49</v>
      </c>
      <c r="P127" s="20" t="s">
        <v>163</v>
      </c>
      <c r="Q127" s="20">
        <v>674</v>
      </c>
      <c r="R127" s="20" t="s">
        <v>360</v>
      </c>
      <c r="S127" s="20" t="s">
        <v>624</v>
      </c>
      <c r="T127" s="18" t="s">
        <v>625</v>
      </c>
      <c r="U127" s="18">
        <v>187696</v>
      </c>
      <c r="V127" s="20"/>
      <c r="W127" s="20">
        <v>68</v>
      </c>
      <c r="X127">
        <f>VLOOKUP(C127,VN_ICT!B:W,22,TRUE)</f>
        <v>0</v>
      </c>
    </row>
    <row r="128" spans="1:24" hidden="1">
      <c r="A128" s="18">
        <v>190391</v>
      </c>
      <c r="B128" s="18">
        <v>161346</v>
      </c>
      <c r="C128" s="18">
        <v>161346</v>
      </c>
      <c r="D128" s="18" t="s">
        <v>629</v>
      </c>
      <c r="E128" s="19" t="s">
        <v>630</v>
      </c>
      <c r="F128" s="19" t="s">
        <v>445</v>
      </c>
      <c r="G128" s="20">
        <v>365</v>
      </c>
      <c r="H128" s="21" t="s">
        <v>169</v>
      </c>
      <c r="I128" s="23" t="s">
        <v>558</v>
      </c>
      <c r="J128" s="21"/>
      <c r="K128" s="22"/>
      <c r="L128" s="21"/>
      <c r="M128" s="21"/>
      <c r="N128" s="20">
        <v>670</v>
      </c>
      <c r="O128" s="20">
        <v>18</v>
      </c>
      <c r="P128" s="20" t="s">
        <v>163</v>
      </c>
      <c r="Q128" s="20">
        <v>674</v>
      </c>
      <c r="R128" s="20" t="s">
        <v>360</v>
      </c>
      <c r="S128" s="20" t="s">
        <v>361</v>
      </c>
      <c r="T128" s="18" t="s">
        <v>362</v>
      </c>
      <c r="U128" s="18">
        <v>190391</v>
      </c>
      <c r="V128" s="20" t="s">
        <v>631</v>
      </c>
      <c r="W128" s="20">
        <v>68</v>
      </c>
      <c r="X128" t="str">
        <f>VLOOKUP(C128,VN_ICT!B:W,22,TRUE)</f>
        <v>Ngô Lam Trung</v>
      </c>
    </row>
    <row r="129" spans="1:24">
      <c r="A129" s="18">
        <v>190508</v>
      </c>
      <c r="B129" s="18">
        <v>161347</v>
      </c>
      <c r="C129" s="18">
        <v>161347</v>
      </c>
      <c r="D129" s="18" t="s">
        <v>333</v>
      </c>
      <c r="E129" s="19" t="s">
        <v>334</v>
      </c>
      <c r="F129" s="19" t="s">
        <v>445</v>
      </c>
      <c r="G129" s="20">
        <v>131</v>
      </c>
      <c r="H129" s="21" t="s">
        <v>196</v>
      </c>
      <c r="I129" s="21" t="s">
        <v>194</v>
      </c>
      <c r="J129" s="21" t="s">
        <v>165</v>
      </c>
      <c r="K129" s="22">
        <v>46055</v>
      </c>
      <c r="L129" s="21" t="s">
        <v>15</v>
      </c>
      <c r="M129" s="21" t="s">
        <v>358</v>
      </c>
      <c r="N129" s="20">
        <v>670</v>
      </c>
      <c r="O129" s="20">
        <v>38</v>
      </c>
      <c r="P129" s="20" t="s">
        <v>163</v>
      </c>
      <c r="Q129" s="20">
        <v>674</v>
      </c>
      <c r="R129" s="20" t="s">
        <v>360</v>
      </c>
      <c r="S129" s="20" t="s">
        <v>361</v>
      </c>
      <c r="T129" s="18" t="s">
        <v>362</v>
      </c>
      <c r="U129" s="18">
        <v>190508</v>
      </c>
      <c r="V129" s="20" t="s">
        <v>446</v>
      </c>
      <c r="W129" s="20">
        <v>68</v>
      </c>
      <c r="X129" t="str">
        <f>VLOOKUP(C129,VN_ICT!B:W,22,TRUE)</f>
        <v>Nguyễn Đình Thuận</v>
      </c>
    </row>
    <row r="130" spans="1:24">
      <c r="A130" s="18">
        <v>190507</v>
      </c>
      <c r="B130" s="18">
        <v>161347</v>
      </c>
      <c r="C130" s="18">
        <v>161347</v>
      </c>
      <c r="D130" s="18" t="s">
        <v>333</v>
      </c>
      <c r="E130" s="19" t="s">
        <v>334</v>
      </c>
      <c r="F130" s="19" t="s">
        <v>445</v>
      </c>
      <c r="G130" s="20">
        <v>130</v>
      </c>
      <c r="H130" s="21" t="s">
        <v>193</v>
      </c>
      <c r="I130" s="21" t="s">
        <v>194</v>
      </c>
      <c r="J130" s="21" t="s">
        <v>165</v>
      </c>
      <c r="K130" s="22">
        <v>46055</v>
      </c>
      <c r="L130" s="21" t="s">
        <v>15</v>
      </c>
      <c r="M130" s="21" t="s">
        <v>358</v>
      </c>
      <c r="N130" s="20">
        <v>670</v>
      </c>
      <c r="O130" s="20">
        <v>39</v>
      </c>
      <c r="P130" s="20" t="s">
        <v>163</v>
      </c>
      <c r="Q130" s="20">
        <v>674</v>
      </c>
      <c r="R130" s="20" t="s">
        <v>360</v>
      </c>
      <c r="S130" s="20" t="s">
        <v>361</v>
      </c>
      <c r="T130" s="18" t="s">
        <v>362</v>
      </c>
      <c r="U130" s="18">
        <v>190507</v>
      </c>
      <c r="V130" s="20" t="s">
        <v>446</v>
      </c>
      <c r="W130" s="20">
        <v>68</v>
      </c>
      <c r="X130" t="str">
        <f>VLOOKUP(C130,VN_ICT!B:W,22,TRUE)</f>
        <v>Nguyễn Đình Thuận</v>
      </c>
    </row>
    <row r="131" spans="1:24" hidden="1">
      <c r="A131" s="18">
        <v>190046</v>
      </c>
      <c r="B131" s="18">
        <v>161348</v>
      </c>
      <c r="C131" s="18">
        <v>161348</v>
      </c>
      <c r="D131" s="18" t="s">
        <v>632</v>
      </c>
      <c r="E131" s="19" t="s">
        <v>633</v>
      </c>
      <c r="F131" s="19" t="s">
        <v>634</v>
      </c>
      <c r="G131" s="20">
        <v>365</v>
      </c>
      <c r="H131" s="21" t="s">
        <v>169</v>
      </c>
      <c r="I131" s="21" t="s">
        <v>164</v>
      </c>
      <c r="J131" s="21" t="s">
        <v>278</v>
      </c>
      <c r="K131" s="22">
        <v>46049</v>
      </c>
      <c r="L131" s="21" t="s">
        <v>13</v>
      </c>
      <c r="M131" s="21" t="s">
        <v>378</v>
      </c>
      <c r="N131" s="20">
        <v>670</v>
      </c>
      <c r="O131" s="20">
        <v>61</v>
      </c>
      <c r="P131" s="20" t="s">
        <v>163</v>
      </c>
      <c r="Q131" s="20">
        <v>674</v>
      </c>
      <c r="R131" s="20" t="s">
        <v>360</v>
      </c>
      <c r="S131" s="20" t="s">
        <v>361</v>
      </c>
      <c r="T131" s="18" t="s">
        <v>362</v>
      </c>
      <c r="U131" s="18">
        <v>190046</v>
      </c>
      <c r="V131" s="20" t="s">
        <v>446</v>
      </c>
      <c r="W131" s="20">
        <v>68</v>
      </c>
      <c r="X131" t="str">
        <f>VLOOKUP(C131,VN_ICT!B:W,22,TRUE)</f>
        <v>Phạm Hùng Vượng</v>
      </c>
    </row>
    <row r="132" spans="1:24" hidden="1">
      <c r="A132" s="18">
        <v>190047</v>
      </c>
      <c r="B132" s="18">
        <v>161349</v>
      </c>
      <c r="C132" s="18">
        <v>161349</v>
      </c>
      <c r="D132" s="18" t="s">
        <v>632</v>
      </c>
      <c r="E132" s="19" t="s">
        <v>633</v>
      </c>
      <c r="F132" s="19" t="s">
        <v>635</v>
      </c>
      <c r="G132" s="20">
        <v>365</v>
      </c>
      <c r="H132" s="21" t="s">
        <v>169</v>
      </c>
      <c r="I132" s="21" t="s">
        <v>164</v>
      </c>
      <c r="J132" s="21" t="s">
        <v>278</v>
      </c>
      <c r="K132" s="22">
        <v>46049</v>
      </c>
      <c r="L132" s="21" t="s">
        <v>13</v>
      </c>
      <c r="M132" s="21" t="s">
        <v>378</v>
      </c>
      <c r="N132" s="20">
        <v>670</v>
      </c>
      <c r="O132" s="20">
        <v>60</v>
      </c>
      <c r="P132" s="20" t="s">
        <v>163</v>
      </c>
      <c r="Q132" s="20">
        <v>674</v>
      </c>
      <c r="R132" s="20" t="s">
        <v>360</v>
      </c>
      <c r="S132" s="20" t="s">
        <v>361</v>
      </c>
      <c r="T132" s="18" t="s">
        <v>362</v>
      </c>
      <c r="U132" s="18">
        <v>190047</v>
      </c>
      <c r="V132" s="20" t="s">
        <v>446</v>
      </c>
      <c r="W132" s="20">
        <v>68</v>
      </c>
      <c r="X132" t="str">
        <f>VLOOKUP(C132,VN_ICT!B:W,22,TRUE)</f>
        <v>Dương Thị Thuỳ Mai</v>
      </c>
    </row>
    <row r="133" spans="1:24">
      <c r="A133" s="18">
        <v>190145</v>
      </c>
      <c r="B133" s="18">
        <v>161350</v>
      </c>
      <c r="C133" s="18">
        <v>161350</v>
      </c>
      <c r="D133" s="18" t="s">
        <v>239</v>
      </c>
      <c r="E133" s="19" t="s">
        <v>240</v>
      </c>
      <c r="F133" s="19" t="s">
        <v>445</v>
      </c>
      <c r="G133" s="20">
        <v>131</v>
      </c>
      <c r="H133" s="21" t="s">
        <v>196</v>
      </c>
      <c r="I133" s="21" t="s">
        <v>164</v>
      </c>
      <c r="J133" s="21" t="s">
        <v>238</v>
      </c>
      <c r="K133" s="22">
        <v>46052</v>
      </c>
      <c r="L133" s="21" t="s">
        <v>13</v>
      </c>
      <c r="M133" s="21" t="s">
        <v>358</v>
      </c>
      <c r="N133" s="20">
        <v>670</v>
      </c>
      <c r="O133" s="20">
        <v>58</v>
      </c>
      <c r="P133" s="20" t="s">
        <v>163</v>
      </c>
      <c r="Q133" s="20">
        <v>674</v>
      </c>
      <c r="R133" s="20" t="s">
        <v>360</v>
      </c>
      <c r="S133" s="20" t="s">
        <v>361</v>
      </c>
      <c r="T133" s="18" t="s">
        <v>362</v>
      </c>
      <c r="U133" s="18">
        <v>190145</v>
      </c>
      <c r="V133" s="20" t="s">
        <v>425</v>
      </c>
      <c r="W133" s="20">
        <v>68</v>
      </c>
      <c r="X133" t="str">
        <f>VLOOKUP(C133,VN_ICT!B:W,22,TRUE)</f>
        <v>Trần Nguyên Ngọc</v>
      </c>
    </row>
    <row r="134" spans="1:24">
      <c r="A134" s="18">
        <v>190146</v>
      </c>
      <c r="B134" s="18">
        <v>161350</v>
      </c>
      <c r="C134" s="18">
        <v>161350</v>
      </c>
      <c r="D134" s="18" t="s">
        <v>239</v>
      </c>
      <c r="E134" s="19" t="s">
        <v>240</v>
      </c>
      <c r="F134" s="19" t="s">
        <v>445</v>
      </c>
      <c r="G134" s="20">
        <v>130</v>
      </c>
      <c r="H134" s="21" t="s">
        <v>193</v>
      </c>
      <c r="I134" s="21" t="s">
        <v>164</v>
      </c>
      <c r="J134" s="21" t="s">
        <v>238</v>
      </c>
      <c r="K134" s="22">
        <v>46052</v>
      </c>
      <c r="L134" s="21" t="s">
        <v>13</v>
      </c>
      <c r="M134" s="21" t="s">
        <v>358</v>
      </c>
      <c r="N134" s="20">
        <v>670</v>
      </c>
      <c r="O134" s="20">
        <v>59</v>
      </c>
      <c r="P134" s="20" t="s">
        <v>163</v>
      </c>
      <c r="Q134" s="20">
        <v>674</v>
      </c>
      <c r="R134" s="20" t="s">
        <v>360</v>
      </c>
      <c r="S134" s="20" t="s">
        <v>361</v>
      </c>
      <c r="T134" s="18" t="s">
        <v>362</v>
      </c>
      <c r="U134" s="18">
        <v>190146</v>
      </c>
      <c r="V134" s="20" t="s">
        <v>425</v>
      </c>
      <c r="W134" s="20">
        <v>68</v>
      </c>
      <c r="X134" t="str">
        <f>VLOOKUP(C134,VN_ICT!B:W,22,TRUE)</f>
        <v>Trần Nguyên Ngọc</v>
      </c>
    </row>
    <row r="135" spans="1:24">
      <c r="A135" s="18">
        <v>190271</v>
      </c>
      <c r="B135" s="18">
        <v>161351</v>
      </c>
      <c r="C135" s="18">
        <v>161351</v>
      </c>
      <c r="D135" s="18" t="s">
        <v>449</v>
      </c>
      <c r="E135" s="19" t="s">
        <v>450</v>
      </c>
      <c r="F135" s="19" t="s">
        <v>445</v>
      </c>
      <c r="G135" s="20">
        <v>131</v>
      </c>
      <c r="H135" s="21" t="s">
        <v>196</v>
      </c>
      <c r="I135" s="21" t="s">
        <v>164</v>
      </c>
      <c r="J135" s="21" t="s">
        <v>283</v>
      </c>
      <c r="K135" s="22">
        <v>46051</v>
      </c>
      <c r="L135" s="21" t="s">
        <v>13</v>
      </c>
      <c r="M135" s="21" t="s">
        <v>358</v>
      </c>
      <c r="N135" s="20">
        <v>670</v>
      </c>
      <c r="O135" s="20">
        <v>62</v>
      </c>
      <c r="P135" s="20" t="s">
        <v>163</v>
      </c>
      <c r="Q135" s="20">
        <v>674</v>
      </c>
      <c r="R135" s="20" t="s">
        <v>360</v>
      </c>
      <c r="S135" s="20" t="s">
        <v>361</v>
      </c>
      <c r="T135" s="18" t="s">
        <v>362</v>
      </c>
      <c r="U135" s="18">
        <v>190271</v>
      </c>
      <c r="V135" s="20" t="s">
        <v>378</v>
      </c>
      <c r="W135" s="20">
        <v>68</v>
      </c>
      <c r="X135" t="str">
        <f>VLOOKUP(C135,VN_ICT!B:W,22,TRUE)</f>
        <v>Vũ Tuyết Trinh</v>
      </c>
    </row>
    <row r="136" spans="1:24">
      <c r="A136" s="18">
        <v>190270</v>
      </c>
      <c r="B136" s="18">
        <v>161351</v>
      </c>
      <c r="C136" s="18">
        <v>161351</v>
      </c>
      <c r="D136" s="18" t="s">
        <v>449</v>
      </c>
      <c r="E136" s="19" t="s">
        <v>450</v>
      </c>
      <c r="F136" s="19" t="s">
        <v>445</v>
      </c>
      <c r="G136" s="20">
        <v>130</v>
      </c>
      <c r="H136" s="21" t="s">
        <v>193</v>
      </c>
      <c r="I136" s="21" t="s">
        <v>164</v>
      </c>
      <c r="J136" s="21" t="s">
        <v>283</v>
      </c>
      <c r="K136" s="22">
        <v>46051</v>
      </c>
      <c r="L136" s="21" t="s">
        <v>13</v>
      </c>
      <c r="M136" s="21" t="s">
        <v>358</v>
      </c>
      <c r="N136" s="20">
        <v>670</v>
      </c>
      <c r="O136" s="20">
        <v>64</v>
      </c>
      <c r="P136" s="20" t="s">
        <v>163</v>
      </c>
      <c r="Q136" s="20">
        <v>674</v>
      </c>
      <c r="R136" s="20" t="s">
        <v>360</v>
      </c>
      <c r="S136" s="20" t="s">
        <v>361</v>
      </c>
      <c r="T136" s="18" t="s">
        <v>362</v>
      </c>
      <c r="U136" s="18">
        <v>190270</v>
      </c>
      <c r="V136" s="20" t="s">
        <v>378</v>
      </c>
      <c r="W136" s="20">
        <v>68</v>
      </c>
      <c r="X136" t="str">
        <f>VLOOKUP(C136,VN_ICT!B:W,22,TRUE)</f>
        <v>Vũ Tuyết Trinh</v>
      </c>
    </row>
    <row r="137" spans="1:24" hidden="1">
      <c r="A137" s="18">
        <v>190267</v>
      </c>
      <c r="B137" s="18">
        <v>161352</v>
      </c>
      <c r="C137" s="18">
        <v>161352</v>
      </c>
      <c r="D137" s="18" t="s">
        <v>636</v>
      </c>
      <c r="E137" s="19" t="s">
        <v>637</v>
      </c>
      <c r="F137" s="19" t="s">
        <v>638</v>
      </c>
      <c r="G137" s="20">
        <v>365</v>
      </c>
      <c r="H137" s="21" t="s">
        <v>169</v>
      </c>
      <c r="I137" s="23" t="s">
        <v>558</v>
      </c>
      <c r="J137" s="21"/>
      <c r="K137" s="22"/>
      <c r="L137" s="21"/>
      <c r="M137" s="21"/>
      <c r="N137" s="20">
        <v>670</v>
      </c>
      <c r="O137" s="20">
        <v>40</v>
      </c>
      <c r="P137" s="20" t="s">
        <v>163</v>
      </c>
      <c r="Q137" s="20">
        <v>674</v>
      </c>
      <c r="R137" s="20" t="s">
        <v>360</v>
      </c>
      <c r="S137" s="20" t="s">
        <v>361</v>
      </c>
      <c r="T137" s="18" t="s">
        <v>362</v>
      </c>
      <c r="U137" s="18">
        <v>190267</v>
      </c>
      <c r="V137" s="20" t="s">
        <v>26</v>
      </c>
      <c r="W137" s="20">
        <v>68</v>
      </c>
      <c r="X137" t="str">
        <f>VLOOKUP(C137,VN_ICT!B:W,22,TRUE)</f>
        <v>Vũ Tuyết Trinh</v>
      </c>
    </row>
    <row r="138" spans="1:24" hidden="1">
      <c r="A138" s="18">
        <v>190268</v>
      </c>
      <c r="B138" s="18">
        <v>161353</v>
      </c>
      <c r="C138" s="18">
        <v>161353</v>
      </c>
      <c r="D138" s="18" t="s">
        <v>636</v>
      </c>
      <c r="E138" s="19" t="s">
        <v>637</v>
      </c>
      <c r="F138" s="19" t="s">
        <v>639</v>
      </c>
      <c r="G138" s="20">
        <v>365</v>
      </c>
      <c r="H138" s="21" t="s">
        <v>169</v>
      </c>
      <c r="I138" s="23" t="s">
        <v>558</v>
      </c>
      <c r="J138" s="21"/>
      <c r="K138" s="22"/>
      <c r="L138" s="21"/>
      <c r="M138" s="21"/>
      <c r="N138" s="20">
        <v>670</v>
      </c>
      <c r="O138" s="20">
        <v>40</v>
      </c>
      <c r="P138" s="20" t="s">
        <v>163</v>
      </c>
      <c r="Q138" s="20">
        <v>674</v>
      </c>
      <c r="R138" s="20" t="s">
        <v>360</v>
      </c>
      <c r="S138" s="20" t="s">
        <v>361</v>
      </c>
      <c r="T138" s="18" t="s">
        <v>362</v>
      </c>
      <c r="U138" s="18">
        <v>190268</v>
      </c>
      <c r="V138" s="20" t="s">
        <v>26</v>
      </c>
      <c r="W138" s="20">
        <v>68</v>
      </c>
      <c r="X138" t="str">
        <f>VLOOKUP(C138,VN_ICT!B:W,22,TRUE)</f>
        <v>Nguyễn Thị Oanh</v>
      </c>
    </row>
    <row r="139" spans="1:24" hidden="1">
      <c r="A139" s="18">
        <v>190269</v>
      </c>
      <c r="B139" s="18">
        <v>161354</v>
      </c>
      <c r="C139" s="18">
        <v>161354</v>
      </c>
      <c r="D139" s="18" t="s">
        <v>636</v>
      </c>
      <c r="E139" s="19" t="s">
        <v>637</v>
      </c>
      <c r="F139" s="19" t="s">
        <v>640</v>
      </c>
      <c r="G139" s="20">
        <v>365</v>
      </c>
      <c r="H139" s="21" t="s">
        <v>169</v>
      </c>
      <c r="I139" s="23" t="s">
        <v>558</v>
      </c>
      <c r="J139" s="21"/>
      <c r="K139" s="22"/>
      <c r="L139" s="21"/>
      <c r="M139" s="21"/>
      <c r="N139" s="20">
        <v>670</v>
      </c>
      <c r="O139" s="20">
        <v>40</v>
      </c>
      <c r="P139" s="20" t="s">
        <v>163</v>
      </c>
      <c r="Q139" s="20">
        <v>674</v>
      </c>
      <c r="R139" s="20" t="s">
        <v>360</v>
      </c>
      <c r="S139" s="20" t="s">
        <v>361</v>
      </c>
      <c r="T139" s="18" t="s">
        <v>362</v>
      </c>
      <c r="U139" s="18">
        <v>190269</v>
      </c>
      <c r="V139" s="20" t="s">
        <v>26</v>
      </c>
      <c r="W139" s="20">
        <v>68</v>
      </c>
      <c r="X139" t="str">
        <f>VLOOKUP(C139,VN_ICT!B:W,22,TRUE)</f>
        <v>Nguyễn Hồng Phương</v>
      </c>
    </row>
    <row r="140" spans="1:24">
      <c r="A140" s="18">
        <v>190364</v>
      </c>
      <c r="B140" s="18">
        <v>161355</v>
      </c>
      <c r="C140" s="18">
        <v>161355</v>
      </c>
      <c r="D140" s="18" t="s">
        <v>114</v>
      </c>
      <c r="E140" s="19" t="s">
        <v>452</v>
      </c>
      <c r="F140" s="19" t="s">
        <v>445</v>
      </c>
      <c r="G140" s="20">
        <v>131</v>
      </c>
      <c r="H140" s="21" t="s">
        <v>196</v>
      </c>
      <c r="I140" s="21" t="s">
        <v>228</v>
      </c>
      <c r="J140" s="21" t="s">
        <v>417</v>
      </c>
      <c r="K140" s="22">
        <v>46046</v>
      </c>
      <c r="L140" s="21" t="s">
        <v>14</v>
      </c>
      <c r="M140" s="21" t="s">
        <v>358</v>
      </c>
      <c r="N140" s="20">
        <v>670</v>
      </c>
      <c r="O140" s="20">
        <v>54</v>
      </c>
      <c r="P140" s="20" t="s">
        <v>163</v>
      </c>
      <c r="Q140" s="20">
        <v>674</v>
      </c>
      <c r="R140" s="20" t="s">
        <v>360</v>
      </c>
      <c r="S140" s="20" t="s">
        <v>361</v>
      </c>
      <c r="T140" s="18" t="s">
        <v>362</v>
      </c>
      <c r="U140" s="18">
        <v>190364</v>
      </c>
      <c r="V140" s="20" t="s">
        <v>378</v>
      </c>
      <c r="W140" s="20">
        <v>68</v>
      </c>
      <c r="X140" t="str">
        <f>VLOOKUP(C140,VN_ICT!B:W,22,TRUE)</f>
        <v>Bùi Thị Mai Anh (0.0) - Nguyễn Quốc Tuấn (1.0)</v>
      </c>
    </row>
    <row r="141" spans="1:24">
      <c r="A141" s="18">
        <v>190363</v>
      </c>
      <c r="B141" s="18">
        <v>161355</v>
      </c>
      <c r="C141" s="18">
        <v>161355</v>
      </c>
      <c r="D141" s="18" t="s">
        <v>114</v>
      </c>
      <c r="E141" s="19" t="s">
        <v>452</v>
      </c>
      <c r="F141" s="19" t="s">
        <v>445</v>
      </c>
      <c r="G141" s="20">
        <v>130</v>
      </c>
      <c r="H141" s="21" t="s">
        <v>193</v>
      </c>
      <c r="I141" s="21" t="s">
        <v>228</v>
      </c>
      <c r="J141" s="21" t="s">
        <v>417</v>
      </c>
      <c r="K141" s="22">
        <v>46046</v>
      </c>
      <c r="L141" s="21" t="s">
        <v>14</v>
      </c>
      <c r="M141" s="21" t="s">
        <v>358</v>
      </c>
      <c r="N141" s="20">
        <v>670</v>
      </c>
      <c r="O141" s="20">
        <v>55</v>
      </c>
      <c r="P141" s="20" t="s">
        <v>163</v>
      </c>
      <c r="Q141" s="20">
        <v>674</v>
      </c>
      <c r="R141" s="20" t="s">
        <v>360</v>
      </c>
      <c r="S141" s="20" t="s">
        <v>361</v>
      </c>
      <c r="T141" s="18" t="s">
        <v>362</v>
      </c>
      <c r="U141" s="18">
        <v>190363</v>
      </c>
      <c r="V141" s="20" t="s">
        <v>378</v>
      </c>
      <c r="W141" s="20">
        <v>68</v>
      </c>
      <c r="X141" t="str">
        <f>VLOOKUP(C141,VN_ICT!B:W,22,TRUE)</f>
        <v>Bùi Thị Mai Anh (0.0) - Nguyễn Quốc Tuấn (1.0)</v>
      </c>
    </row>
    <row r="142" spans="1:24">
      <c r="A142" s="18">
        <v>190457</v>
      </c>
      <c r="B142" s="18">
        <v>161356</v>
      </c>
      <c r="C142" s="18">
        <v>161356</v>
      </c>
      <c r="D142" s="18" t="s">
        <v>454</v>
      </c>
      <c r="E142" s="19" t="s">
        <v>455</v>
      </c>
      <c r="F142" s="19" t="s">
        <v>445</v>
      </c>
      <c r="G142" s="20">
        <v>131</v>
      </c>
      <c r="H142" s="21" t="s">
        <v>196</v>
      </c>
      <c r="I142" s="21" t="s">
        <v>194</v>
      </c>
      <c r="J142" s="21" t="s">
        <v>283</v>
      </c>
      <c r="K142" s="22">
        <v>46058</v>
      </c>
      <c r="L142" s="21" t="s">
        <v>440</v>
      </c>
      <c r="M142" s="21" t="s">
        <v>358</v>
      </c>
      <c r="N142" s="20">
        <v>670</v>
      </c>
      <c r="O142" s="20">
        <v>63</v>
      </c>
      <c r="P142" s="20" t="s">
        <v>163</v>
      </c>
      <c r="Q142" s="20">
        <v>674</v>
      </c>
      <c r="R142" s="20" t="s">
        <v>360</v>
      </c>
      <c r="S142" s="20" t="s">
        <v>361</v>
      </c>
      <c r="T142" s="18" t="s">
        <v>362</v>
      </c>
      <c r="U142" s="18">
        <v>190457</v>
      </c>
      <c r="V142" s="20" t="s">
        <v>378</v>
      </c>
      <c r="W142" s="20">
        <v>68</v>
      </c>
      <c r="X142" t="str">
        <f>VLOOKUP(C142,VN_ICT!B:W,22,TRUE)</f>
        <v>Đỗ Công Thuần</v>
      </c>
    </row>
    <row r="143" spans="1:24">
      <c r="A143" s="18">
        <v>190456</v>
      </c>
      <c r="B143" s="18">
        <v>161356</v>
      </c>
      <c r="C143" s="18">
        <v>161356</v>
      </c>
      <c r="D143" s="18" t="s">
        <v>454</v>
      </c>
      <c r="E143" s="19" t="s">
        <v>455</v>
      </c>
      <c r="F143" s="19" t="s">
        <v>445</v>
      </c>
      <c r="G143" s="20">
        <v>130</v>
      </c>
      <c r="H143" s="21" t="s">
        <v>193</v>
      </c>
      <c r="I143" s="21" t="s">
        <v>194</v>
      </c>
      <c r="J143" s="21" t="s">
        <v>283</v>
      </c>
      <c r="K143" s="22">
        <v>46058</v>
      </c>
      <c r="L143" s="21" t="s">
        <v>440</v>
      </c>
      <c r="M143" s="21" t="s">
        <v>358</v>
      </c>
      <c r="N143" s="20">
        <v>670</v>
      </c>
      <c r="O143" s="20">
        <v>63</v>
      </c>
      <c r="P143" s="20" t="s">
        <v>163</v>
      </c>
      <c r="Q143" s="20">
        <v>674</v>
      </c>
      <c r="R143" s="20" t="s">
        <v>360</v>
      </c>
      <c r="S143" s="20" t="s">
        <v>361</v>
      </c>
      <c r="T143" s="18" t="s">
        <v>362</v>
      </c>
      <c r="U143" s="18">
        <v>190456</v>
      </c>
      <c r="V143" s="20" t="s">
        <v>378</v>
      </c>
      <c r="W143" s="20">
        <v>68</v>
      </c>
      <c r="X143" t="str">
        <f>VLOOKUP(C143,VN_ICT!B:W,22,TRUE)</f>
        <v>Đỗ Công Thuần</v>
      </c>
    </row>
    <row r="144" spans="1:24" hidden="1">
      <c r="A144" s="18">
        <v>187697</v>
      </c>
      <c r="B144" s="18">
        <v>161357</v>
      </c>
      <c r="C144" s="18">
        <v>161357</v>
      </c>
      <c r="D144" s="18" t="s">
        <v>626</v>
      </c>
      <c r="E144" s="19" t="s">
        <v>627</v>
      </c>
      <c r="F144" s="19" t="s">
        <v>641</v>
      </c>
      <c r="G144" s="20">
        <v>130</v>
      </c>
      <c r="H144" s="21" t="s">
        <v>193</v>
      </c>
      <c r="I144" s="21" t="s">
        <v>194</v>
      </c>
      <c r="J144" s="21" t="s">
        <v>417</v>
      </c>
      <c r="K144" s="22">
        <v>46060</v>
      </c>
      <c r="L144" s="21" t="s">
        <v>11</v>
      </c>
      <c r="M144" s="21" t="s">
        <v>577</v>
      </c>
      <c r="N144" s="20">
        <v>670</v>
      </c>
      <c r="O144" s="20">
        <v>50</v>
      </c>
      <c r="P144" s="20" t="s">
        <v>163</v>
      </c>
      <c r="Q144" s="20">
        <v>674</v>
      </c>
      <c r="R144" s="20" t="s">
        <v>360</v>
      </c>
      <c r="S144" s="20" t="s">
        <v>624</v>
      </c>
      <c r="T144" s="18" t="s">
        <v>625</v>
      </c>
      <c r="U144" s="18">
        <v>187697</v>
      </c>
      <c r="V144" s="20"/>
      <c r="W144" s="20">
        <v>69</v>
      </c>
      <c r="X144">
        <f>VLOOKUP(C144,VN_ICT!B:W,22,TRUE)</f>
        <v>0</v>
      </c>
    </row>
    <row r="145" spans="1:24" hidden="1">
      <c r="A145" s="18">
        <v>187699</v>
      </c>
      <c r="B145" s="18">
        <v>161357</v>
      </c>
      <c r="C145" s="18">
        <v>161357</v>
      </c>
      <c r="D145" s="18" t="s">
        <v>626</v>
      </c>
      <c r="E145" s="19" t="s">
        <v>627</v>
      </c>
      <c r="F145" s="19" t="s">
        <v>641</v>
      </c>
      <c r="G145" s="20">
        <v>131</v>
      </c>
      <c r="H145" s="21" t="s">
        <v>196</v>
      </c>
      <c r="I145" s="21" t="s">
        <v>194</v>
      </c>
      <c r="J145" s="21" t="s">
        <v>417</v>
      </c>
      <c r="K145" s="22">
        <v>46060</v>
      </c>
      <c r="L145" s="21" t="s">
        <v>11</v>
      </c>
      <c r="M145" s="21" t="s">
        <v>363</v>
      </c>
      <c r="N145" s="20">
        <v>670</v>
      </c>
      <c r="O145" s="20">
        <v>50</v>
      </c>
      <c r="P145" s="20" t="s">
        <v>163</v>
      </c>
      <c r="Q145" s="20">
        <v>674</v>
      </c>
      <c r="R145" s="20" t="s">
        <v>360</v>
      </c>
      <c r="S145" s="20" t="s">
        <v>624</v>
      </c>
      <c r="T145" s="18" t="s">
        <v>625</v>
      </c>
      <c r="U145" s="18">
        <v>187699</v>
      </c>
      <c r="V145" s="20"/>
      <c r="W145" s="20">
        <v>69</v>
      </c>
      <c r="X145">
        <f>VLOOKUP(C145,VN_ICT!B:W,22,TRUE)</f>
        <v>0</v>
      </c>
    </row>
    <row r="146" spans="1:24" hidden="1">
      <c r="A146" s="18">
        <v>187698</v>
      </c>
      <c r="B146" s="18">
        <v>161357</v>
      </c>
      <c r="C146" s="18">
        <v>161357</v>
      </c>
      <c r="D146" s="18" t="s">
        <v>626</v>
      </c>
      <c r="E146" s="19" t="s">
        <v>627</v>
      </c>
      <c r="F146" s="19" t="s">
        <v>641</v>
      </c>
      <c r="G146" s="20">
        <v>132</v>
      </c>
      <c r="H146" s="21" t="s">
        <v>197</v>
      </c>
      <c r="I146" s="21" t="s">
        <v>194</v>
      </c>
      <c r="J146" s="21" t="s">
        <v>417</v>
      </c>
      <c r="K146" s="22">
        <v>46060</v>
      </c>
      <c r="L146" s="21" t="s">
        <v>11</v>
      </c>
      <c r="M146" s="21" t="s">
        <v>363</v>
      </c>
      <c r="N146" s="20">
        <v>670</v>
      </c>
      <c r="O146" s="20">
        <v>50</v>
      </c>
      <c r="P146" s="20" t="s">
        <v>163</v>
      </c>
      <c r="Q146" s="20">
        <v>674</v>
      </c>
      <c r="R146" s="20" t="s">
        <v>360</v>
      </c>
      <c r="S146" s="20" t="s">
        <v>624</v>
      </c>
      <c r="T146" s="18" t="s">
        <v>625</v>
      </c>
      <c r="U146" s="18">
        <v>187698</v>
      </c>
      <c r="V146" s="20"/>
      <c r="W146" s="20">
        <v>69</v>
      </c>
      <c r="X146">
        <f>VLOOKUP(C146,VN_ICT!B:W,22,TRUE)</f>
        <v>0</v>
      </c>
    </row>
    <row r="147" spans="1:24" hidden="1">
      <c r="A147" s="18">
        <v>190613</v>
      </c>
      <c r="B147" s="18">
        <v>161358</v>
      </c>
      <c r="C147" s="18">
        <v>161358</v>
      </c>
      <c r="D147" s="18" t="s">
        <v>642</v>
      </c>
      <c r="E147" s="19" t="s">
        <v>643</v>
      </c>
      <c r="F147" s="19" t="s">
        <v>644</v>
      </c>
      <c r="G147" s="20">
        <v>365</v>
      </c>
      <c r="H147" s="21" t="s">
        <v>169</v>
      </c>
      <c r="I147" s="21" t="s">
        <v>228</v>
      </c>
      <c r="J147" s="21" t="s">
        <v>165</v>
      </c>
      <c r="K147" s="22">
        <v>46041</v>
      </c>
      <c r="L147" s="21" t="s">
        <v>12</v>
      </c>
      <c r="M147" s="21" t="s">
        <v>446</v>
      </c>
      <c r="N147" s="20">
        <v>670</v>
      </c>
      <c r="O147" s="20">
        <v>26</v>
      </c>
      <c r="P147" s="20" t="s">
        <v>163</v>
      </c>
      <c r="Q147" s="20">
        <v>674</v>
      </c>
      <c r="R147" s="20" t="s">
        <v>360</v>
      </c>
      <c r="S147" s="20" t="s">
        <v>361</v>
      </c>
      <c r="T147" s="18" t="s">
        <v>362</v>
      </c>
      <c r="U147" s="18">
        <v>190613</v>
      </c>
      <c r="V147" s="20" t="s">
        <v>645</v>
      </c>
      <c r="W147" s="20">
        <v>69</v>
      </c>
      <c r="X147" t="str">
        <f>VLOOKUP(C147,VN_ICT!B:W,22,TRUE)</f>
        <v>Nguyễn Hồng Diễm</v>
      </c>
    </row>
    <row r="148" spans="1:24" hidden="1">
      <c r="A148" s="18">
        <v>190614</v>
      </c>
      <c r="B148" s="18">
        <v>161359</v>
      </c>
      <c r="C148" s="18">
        <v>161359</v>
      </c>
      <c r="D148" s="18" t="s">
        <v>642</v>
      </c>
      <c r="E148" s="19" t="s">
        <v>643</v>
      </c>
      <c r="F148" s="19" t="s">
        <v>646</v>
      </c>
      <c r="G148" s="20">
        <v>365</v>
      </c>
      <c r="H148" s="21" t="s">
        <v>169</v>
      </c>
      <c r="I148" s="21" t="s">
        <v>228</v>
      </c>
      <c r="J148" s="21" t="s">
        <v>165</v>
      </c>
      <c r="K148" s="22">
        <v>46041</v>
      </c>
      <c r="L148" s="21" t="s">
        <v>12</v>
      </c>
      <c r="M148" s="21" t="s">
        <v>577</v>
      </c>
      <c r="N148" s="20">
        <v>670</v>
      </c>
      <c r="O148" s="20">
        <v>20</v>
      </c>
      <c r="P148" s="20" t="s">
        <v>163</v>
      </c>
      <c r="Q148" s="20">
        <v>674</v>
      </c>
      <c r="R148" s="20" t="s">
        <v>360</v>
      </c>
      <c r="S148" s="20" t="s">
        <v>361</v>
      </c>
      <c r="T148" s="18" t="s">
        <v>362</v>
      </c>
      <c r="U148" s="18">
        <v>190614</v>
      </c>
      <c r="V148" s="20" t="s">
        <v>647</v>
      </c>
      <c r="W148" s="20">
        <v>69</v>
      </c>
      <c r="X148" t="str">
        <f>VLOOKUP(C148,VN_ICT!B:W,22,TRUE)</f>
        <v>Nguyễn Văn Hiển</v>
      </c>
    </row>
    <row r="149" spans="1:24" hidden="1">
      <c r="A149" s="18">
        <v>190615</v>
      </c>
      <c r="B149" s="18">
        <v>161362</v>
      </c>
      <c r="C149" s="18">
        <v>161362</v>
      </c>
      <c r="D149" s="18" t="s">
        <v>642</v>
      </c>
      <c r="E149" s="19" t="s">
        <v>643</v>
      </c>
      <c r="F149" s="19" t="s">
        <v>648</v>
      </c>
      <c r="G149" s="20">
        <v>365</v>
      </c>
      <c r="H149" s="21" t="s">
        <v>169</v>
      </c>
      <c r="I149" s="21" t="s">
        <v>228</v>
      </c>
      <c r="J149" s="21" t="s">
        <v>165</v>
      </c>
      <c r="K149" s="22">
        <v>46041</v>
      </c>
      <c r="L149" s="21" t="s">
        <v>12</v>
      </c>
      <c r="M149" s="21" t="s">
        <v>579</v>
      </c>
      <c r="N149" s="20">
        <v>670</v>
      </c>
      <c r="O149" s="20">
        <v>28</v>
      </c>
      <c r="P149" s="20" t="s">
        <v>163</v>
      </c>
      <c r="Q149" s="20">
        <v>674</v>
      </c>
      <c r="R149" s="20" t="s">
        <v>360</v>
      </c>
      <c r="S149" s="20" t="s">
        <v>361</v>
      </c>
      <c r="T149" s="18" t="s">
        <v>362</v>
      </c>
      <c r="U149" s="18">
        <v>190615</v>
      </c>
      <c r="V149" s="20" t="s">
        <v>645</v>
      </c>
      <c r="W149" s="20">
        <v>69</v>
      </c>
      <c r="X149" t="str">
        <f>VLOOKUP(C149,VN_ICT!B:W,22,TRUE)</f>
        <v>Khổng Thị Sáng</v>
      </c>
    </row>
    <row r="150" spans="1:24" hidden="1">
      <c r="A150" s="18">
        <v>190616</v>
      </c>
      <c r="B150" s="18">
        <v>161363</v>
      </c>
      <c r="C150" s="18">
        <v>161363</v>
      </c>
      <c r="D150" s="18" t="s">
        <v>642</v>
      </c>
      <c r="E150" s="19" t="s">
        <v>643</v>
      </c>
      <c r="F150" s="19" t="s">
        <v>649</v>
      </c>
      <c r="G150" s="20">
        <v>365</v>
      </c>
      <c r="H150" s="21" t="s">
        <v>169</v>
      </c>
      <c r="I150" s="21" t="s">
        <v>228</v>
      </c>
      <c r="J150" s="21" t="s">
        <v>165</v>
      </c>
      <c r="K150" s="22">
        <v>46041</v>
      </c>
      <c r="L150" s="21" t="s">
        <v>12</v>
      </c>
      <c r="M150" s="21" t="s">
        <v>406</v>
      </c>
      <c r="N150" s="20">
        <v>670</v>
      </c>
      <c r="O150" s="20">
        <v>27</v>
      </c>
      <c r="P150" s="20" t="s">
        <v>163</v>
      </c>
      <c r="Q150" s="20">
        <v>674</v>
      </c>
      <c r="R150" s="20" t="s">
        <v>360</v>
      </c>
      <c r="S150" s="20" t="s">
        <v>361</v>
      </c>
      <c r="T150" s="18" t="s">
        <v>362</v>
      </c>
      <c r="U150" s="18">
        <v>190616</v>
      </c>
      <c r="V150" s="20" t="s">
        <v>647</v>
      </c>
      <c r="W150" s="20">
        <v>69</v>
      </c>
      <c r="X150" t="str">
        <f>VLOOKUP(C150,VN_ICT!B:W,22,TRUE)</f>
        <v>Vũ Thị Vân Anh</v>
      </c>
    </row>
    <row r="151" spans="1:24" hidden="1">
      <c r="A151" s="18">
        <v>190617</v>
      </c>
      <c r="B151" s="18">
        <v>161364</v>
      </c>
      <c r="C151" s="18">
        <v>161364</v>
      </c>
      <c r="D151" s="18" t="s">
        <v>642</v>
      </c>
      <c r="E151" s="19" t="s">
        <v>643</v>
      </c>
      <c r="F151" s="19" t="s">
        <v>650</v>
      </c>
      <c r="G151" s="20">
        <v>365</v>
      </c>
      <c r="H151" s="21" t="s">
        <v>169</v>
      </c>
      <c r="I151" s="21" t="s">
        <v>228</v>
      </c>
      <c r="J151" s="21" t="s">
        <v>165</v>
      </c>
      <c r="K151" s="22">
        <v>46041</v>
      </c>
      <c r="L151" s="21" t="s">
        <v>12</v>
      </c>
      <c r="M151" s="21" t="s">
        <v>403</v>
      </c>
      <c r="N151" s="20">
        <v>670</v>
      </c>
      <c r="O151" s="20">
        <v>22</v>
      </c>
      <c r="P151" s="20" t="s">
        <v>163</v>
      </c>
      <c r="Q151" s="20">
        <v>674</v>
      </c>
      <c r="R151" s="20" t="s">
        <v>360</v>
      </c>
      <c r="S151" s="20" t="s">
        <v>361</v>
      </c>
      <c r="T151" s="18" t="s">
        <v>362</v>
      </c>
      <c r="U151" s="18">
        <v>190617</v>
      </c>
      <c r="V151" s="20" t="s">
        <v>651</v>
      </c>
      <c r="W151" s="20">
        <v>69</v>
      </c>
      <c r="X151" t="str">
        <f>VLOOKUP(C151,VN_ICT!B:W,22,TRUE)</f>
        <v>Sato Yushi</v>
      </c>
    </row>
    <row r="152" spans="1:24" hidden="1">
      <c r="A152" s="18">
        <v>190618</v>
      </c>
      <c r="B152" s="18">
        <v>161365</v>
      </c>
      <c r="C152" s="18">
        <v>161365</v>
      </c>
      <c r="D152" s="18" t="s">
        <v>642</v>
      </c>
      <c r="E152" s="19" t="s">
        <v>643</v>
      </c>
      <c r="F152" s="19" t="s">
        <v>652</v>
      </c>
      <c r="G152" s="20">
        <v>365</v>
      </c>
      <c r="H152" s="21" t="s">
        <v>169</v>
      </c>
      <c r="I152" s="21" t="s">
        <v>228</v>
      </c>
      <c r="J152" s="21" t="s">
        <v>165</v>
      </c>
      <c r="K152" s="22">
        <v>46041</v>
      </c>
      <c r="L152" s="21" t="s">
        <v>12</v>
      </c>
      <c r="M152" s="21" t="s">
        <v>585</v>
      </c>
      <c r="N152" s="20">
        <v>670</v>
      </c>
      <c r="O152" s="20">
        <v>22</v>
      </c>
      <c r="P152" s="20" t="s">
        <v>163</v>
      </c>
      <c r="Q152" s="20">
        <v>674</v>
      </c>
      <c r="R152" s="20" t="s">
        <v>360</v>
      </c>
      <c r="S152" s="20" t="s">
        <v>361</v>
      </c>
      <c r="T152" s="18" t="s">
        <v>362</v>
      </c>
      <c r="U152" s="18">
        <v>190618</v>
      </c>
      <c r="V152" s="20" t="s">
        <v>653</v>
      </c>
      <c r="W152" s="20">
        <v>69</v>
      </c>
      <c r="X152" t="str">
        <f>VLOOKUP(C152,VN_ICT!B:W,22,TRUE)</f>
        <v>Nobuyuki Tagashira</v>
      </c>
    </row>
    <row r="153" spans="1:24">
      <c r="A153" s="18">
        <v>190293</v>
      </c>
      <c r="B153" s="18">
        <v>161366</v>
      </c>
      <c r="C153" s="18">
        <v>161366</v>
      </c>
      <c r="D153" s="18" t="s">
        <v>457</v>
      </c>
      <c r="E153" s="19" t="s">
        <v>458</v>
      </c>
      <c r="F153" s="19" t="s">
        <v>459</v>
      </c>
      <c r="G153" s="20">
        <v>130</v>
      </c>
      <c r="H153" s="21" t="s">
        <v>193</v>
      </c>
      <c r="I153" s="21" t="s">
        <v>194</v>
      </c>
      <c r="J153" s="21" t="s">
        <v>165</v>
      </c>
      <c r="K153" s="22">
        <v>46055</v>
      </c>
      <c r="L153" s="21" t="s">
        <v>12</v>
      </c>
      <c r="M153" s="21" t="s">
        <v>358</v>
      </c>
      <c r="N153" s="20">
        <v>670</v>
      </c>
      <c r="O153" s="20">
        <v>56</v>
      </c>
      <c r="P153" s="20" t="s">
        <v>163</v>
      </c>
      <c r="Q153" s="20">
        <v>674</v>
      </c>
      <c r="R153" s="20" t="s">
        <v>360</v>
      </c>
      <c r="S153" s="20" t="s">
        <v>361</v>
      </c>
      <c r="T153" s="18" t="s">
        <v>362</v>
      </c>
      <c r="U153" s="18">
        <v>190293</v>
      </c>
      <c r="V153" s="20" t="s">
        <v>363</v>
      </c>
      <c r="W153" s="20">
        <v>69</v>
      </c>
      <c r="X153" t="str">
        <f>VLOOKUP(C153,VN_ICT!B:W,22,TRUE)</f>
        <v>Trịnh Văn Chiến</v>
      </c>
    </row>
    <row r="154" spans="1:24">
      <c r="A154" s="18">
        <v>190294</v>
      </c>
      <c r="B154" s="18">
        <v>161366</v>
      </c>
      <c r="C154" s="18">
        <v>161366</v>
      </c>
      <c r="D154" s="18" t="s">
        <v>457</v>
      </c>
      <c r="E154" s="19" t="s">
        <v>458</v>
      </c>
      <c r="F154" s="19" t="s">
        <v>459</v>
      </c>
      <c r="G154" s="20">
        <v>131</v>
      </c>
      <c r="H154" s="21" t="s">
        <v>196</v>
      </c>
      <c r="I154" s="21" t="s">
        <v>194</v>
      </c>
      <c r="J154" s="21" t="s">
        <v>165</v>
      </c>
      <c r="K154" s="22">
        <v>46055</v>
      </c>
      <c r="L154" s="21" t="s">
        <v>12</v>
      </c>
      <c r="M154" s="21" t="s">
        <v>358</v>
      </c>
      <c r="N154" s="20">
        <v>670</v>
      </c>
      <c r="O154" s="20">
        <v>56</v>
      </c>
      <c r="P154" s="20" t="s">
        <v>163</v>
      </c>
      <c r="Q154" s="20">
        <v>674</v>
      </c>
      <c r="R154" s="20" t="s">
        <v>360</v>
      </c>
      <c r="S154" s="20" t="s">
        <v>361</v>
      </c>
      <c r="T154" s="18" t="s">
        <v>362</v>
      </c>
      <c r="U154" s="18">
        <v>190294</v>
      </c>
      <c r="V154" s="20" t="s">
        <v>363</v>
      </c>
      <c r="W154" s="20">
        <v>69</v>
      </c>
      <c r="X154" t="str">
        <f>VLOOKUP(C154,VN_ICT!B:W,22,TRUE)</f>
        <v>Trịnh Văn Chiến</v>
      </c>
    </row>
    <row r="155" spans="1:24">
      <c r="A155" s="18">
        <v>190296</v>
      </c>
      <c r="B155" s="18">
        <v>161367</v>
      </c>
      <c r="C155" s="18">
        <v>161367</v>
      </c>
      <c r="D155" s="18" t="s">
        <v>457</v>
      </c>
      <c r="E155" s="19" t="s">
        <v>458</v>
      </c>
      <c r="F155" s="19" t="s">
        <v>460</v>
      </c>
      <c r="G155" s="20">
        <v>130</v>
      </c>
      <c r="H155" s="21" t="s">
        <v>193</v>
      </c>
      <c r="I155" s="21" t="s">
        <v>194</v>
      </c>
      <c r="J155" s="21" t="s">
        <v>165</v>
      </c>
      <c r="K155" s="22">
        <v>46055</v>
      </c>
      <c r="L155" s="21" t="s">
        <v>12</v>
      </c>
      <c r="M155" s="21" t="s">
        <v>358</v>
      </c>
      <c r="N155" s="20">
        <v>670</v>
      </c>
      <c r="O155" s="20">
        <v>56</v>
      </c>
      <c r="P155" s="20" t="s">
        <v>163</v>
      </c>
      <c r="Q155" s="20">
        <v>674</v>
      </c>
      <c r="R155" s="20" t="s">
        <v>360</v>
      </c>
      <c r="S155" s="20" t="s">
        <v>361</v>
      </c>
      <c r="T155" s="18" t="s">
        <v>362</v>
      </c>
      <c r="U155" s="18">
        <v>190296</v>
      </c>
      <c r="V155" s="20" t="s">
        <v>363</v>
      </c>
      <c r="W155" s="20">
        <v>69</v>
      </c>
      <c r="X155" t="str">
        <f>VLOOKUP(C155,VN_ICT!B:W,22,TRUE)</f>
        <v>Nguyễn Thị Thanh Nga</v>
      </c>
    </row>
    <row r="156" spans="1:24">
      <c r="A156" s="18">
        <v>190295</v>
      </c>
      <c r="B156" s="18">
        <v>161367</v>
      </c>
      <c r="C156" s="18">
        <v>161367</v>
      </c>
      <c r="D156" s="18" t="s">
        <v>457</v>
      </c>
      <c r="E156" s="19" t="s">
        <v>458</v>
      </c>
      <c r="F156" s="19" t="s">
        <v>460</v>
      </c>
      <c r="G156" s="20">
        <v>131</v>
      </c>
      <c r="H156" s="21" t="s">
        <v>196</v>
      </c>
      <c r="I156" s="21" t="s">
        <v>194</v>
      </c>
      <c r="J156" s="21" t="s">
        <v>165</v>
      </c>
      <c r="K156" s="22">
        <v>46055</v>
      </c>
      <c r="L156" s="21" t="s">
        <v>12</v>
      </c>
      <c r="M156" s="21" t="s">
        <v>358</v>
      </c>
      <c r="N156" s="20">
        <v>670</v>
      </c>
      <c r="O156" s="20">
        <v>56</v>
      </c>
      <c r="P156" s="20" t="s">
        <v>163</v>
      </c>
      <c r="Q156" s="20">
        <v>674</v>
      </c>
      <c r="R156" s="20" t="s">
        <v>360</v>
      </c>
      <c r="S156" s="20" t="s">
        <v>361</v>
      </c>
      <c r="T156" s="18" t="s">
        <v>362</v>
      </c>
      <c r="U156" s="18">
        <v>190295</v>
      </c>
      <c r="V156" s="20" t="s">
        <v>363</v>
      </c>
      <c r="W156" s="20">
        <v>69</v>
      </c>
      <c r="X156" t="str">
        <f>VLOOKUP(C156,VN_ICT!B:W,22,TRUE)</f>
        <v>Nguyễn Thị Thanh Nga</v>
      </c>
    </row>
    <row r="157" spans="1:24">
      <c r="A157" s="18">
        <v>190298</v>
      </c>
      <c r="B157" s="18">
        <v>161368</v>
      </c>
      <c r="C157" s="18">
        <v>161368</v>
      </c>
      <c r="D157" s="18" t="s">
        <v>457</v>
      </c>
      <c r="E157" s="19" t="s">
        <v>458</v>
      </c>
      <c r="F157" s="19" t="s">
        <v>462</v>
      </c>
      <c r="G157" s="20">
        <v>131</v>
      </c>
      <c r="H157" s="21" t="s">
        <v>196</v>
      </c>
      <c r="I157" s="21" t="s">
        <v>194</v>
      </c>
      <c r="J157" s="21" t="s">
        <v>165</v>
      </c>
      <c r="K157" s="22">
        <v>46055</v>
      </c>
      <c r="L157" s="21" t="s">
        <v>12</v>
      </c>
      <c r="M157" s="21" t="s">
        <v>358</v>
      </c>
      <c r="N157" s="20">
        <v>670</v>
      </c>
      <c r="O157" s="20">
        <v>57</v>
      </c>
      <c r="P157" s="20" t="s">
        <v>163</v>
      </c>
      <c r="Q157" s="20">
        <v>674</v>
      </c>
      <c r="R157" s="20" t="s">
        <v>360</v>
      </c>
      <c r="S157" s="20" t="s">
        <v>361</v>
      </c>
      <c r="T157" s="18" t="s">
        <v>362</v>
      </c>
      <c r="U157" s="18">
        <v>190298</v>
      </c>
      <c r="V157" s="20" t="s">
        <v>363</v>
      </c>
      <c r="W157" s="20">
        <v>69</v>
      </c>
      <c r="X157" t="str">
        <f>VLOOKUP(C157,VN_ICT!B:W,22,TRUE)</f>
        <v>Lê Xuân Thành</v>
      </c>
    </row>
    <row r="158" spans="1:24">
      <c r="A158" s="18">
        <v>190297</v>
      </c>
      <c r="B158" s="18">
        <v>161368</v>
      </c>
      <c r="C158" s="18">
        <v>161368</v>
      </c>
      <c r="D158" s="18" t="s">
        <v>457</v>
      </c>
      <c r="E158" s="19" t="s">
        <v>458</v>
      </c>
      <c r="F158" s="19" t="s">
        <v>462</v>
      </c>
      <c r="G158" s="20">
        <v>130</v>
      </c>
      <c r="H158" s="21" t="s">
        <v>193</v>
      </c>
      <c r="I158" s="21" t="s">
        <v>194</v>
      </c>
      <c r="J158" s="21" t="s">
        <v>165</v>
      </c>
      <c r="K158" s="22">
        <v>46055</v>
      </c>
      <c r="L158" s="21" t="s">
        <v>12</v>
      </c>
      <c r="M158" s="21" t="s">
        <v>358</v>
      </c>
      <c r="N158" s="20">
        <v>670</v>
      </c>
      <c r="O158" s="20">
        <v>58</v>
      </c>
      <c r="P158" s="20" t="s">
        <v>163</v>
      </c>
      <c r="Q158" s="20">
        <v>674</v>
      </c>
      <c r="R158" s="20" t="s">
        <v>360</v>
      </c>
      <c r="S158" s="20" t="s">
        <v>361</v>
      </c>
      <c r="T158" s="18" t="s">
        <v>362</v>
      </c>
      <c r="U158" s="18">
        <v>190297</v>
      </c>
      <c r="V158" s="20" t="s">
        <v>363</v>
      </c>
      <c r="W158" s="20">
        <v>69</v>
      </c>
      <c r="X158" t="str">
        <f>VLOOKUP(C158,VN_ICT!B:W,22,TRUE)</f>
        <v>Lê Xuân Thành</v>
      </c>
    </row>
    <row r="159" spans="1:24" hidden="1">
      <c r="A159" s="18">
        <v>190059</v>
      </c>
      <c r="B159" s="18">
        <v>161369</v>
      </c>
      <c r="C159" s="18">
        <v>161369</v>
      </c>
      <c r="D159" s="18" t="s">
        <v>654</v>
      </c>
      <c r="E159" s="19" t="s">
        <v>655</v>
      </c>
      <c r="F159" s="19" t="s">
        <v>656</v>
      </c>
      <c r="G159" s="20">
        <v>365</v>
      </c>
      <c r="H159" s="21" t="s">
        <v>169</v>
      </c>
      <c r="I159" s="23" t="s">
        <v>558</v>
      </c>
      <c r="J159" s="21"/>
      <c r="K159" s="22"/>
      <c r="L159" s="21"/>
      <c r="M159" s="21"/>
      <c r="N159" s="20">
        <v>670</v>
      </c>
      <c r="O159" s="20">
        <v>39</v>
      </c>
      <c r="P159" s="20" t="s">
        <v>163</v>
      </c>
      <c r="Q159" s="20">
        <v>674</v>
      </c>
      <c r="R159" s="20" t="s">
        <v>360</v>
      </c>
      <c r="S159" s="20" t="s">
        <v>361</v>
      </c>
      <c r="T159" s="18" t="s">
        <v>362</v>
      </c>
      <c r="U159" s="18">
        <v>190059</v>
      </c>
      <c r="V159" s="20" t="s">
        <v>631</v>
      </c>
      <c r="W159" s="20">
        <v>69</v>
      </c>
      <c r="X159" t="str">
        <f>VLOOKUP(C159,VN_ICT!B:W,22,TRUE)</f>
        <v>Nguyễn Đức Toàn</v>
      </c>
    </row>
    <row r="160" spans="1:24" hidden="1">
      <c r="A160" s="18">
        <v>190060</v>
      </c>
      <c r="B160" s="18">
        <v>161370</v>
      </c>
      <c r="C160" s="18">
        <v>161370</v>
      </c>
      <c r="D160" s="18" t="s">
        <v>654</v>
      </c>
      <c r="E160" s="19" t="s">
        <v>655</v>
      </c>
      <c r="F160" s="19" t="s">
        <v>657</v>
      </c>
      <c r="G160" s="20">
        <v>365</v>
      </c>
      <c r="H160" s="21" t="s">
        <v>169</v>
      </c>
      <c r="I160" s="23" t="s">
        <v>558</v>
      </c>
      <c r="J160" s="21"/>
      <c r="K160" s="22"/>
      <c r="L160" s="21"/>
      <c r="M160" s="21"/>
      <c r="N160" s="20">
        <v>670</v>
      </c>
      <c r="O160" s="20">
        <v>39</v>
      </c>
      <c r="P160" s="20" t="s">
        <v>163</v>
      </c>
      <c r="Q160" s="20">
        <v>674</v>
      </c>
      <c r="R160" s="20" t="s">
        <v>360</v>
      </c>
      <c r="S160" s="20" t="s">
        <v>361</v>
      </c>
      <c r="T160" s="18" t="s">
        <v>362</v>
      </c>
      <c r="U160" s="18">
        <v>190060</v>
      </c>
      <c r="V160" s="20" t="s">
        <v>631</v>
      </c>
      <c r="W160" s="20">
        <v>69</v>
      </c>
      <c r="X160" t="str">
        <f>VLOOKUP(C160,VN_ICT!B:W,22,TRUE)</f>
        <v>Nguyễn Thị Thanh Nga (0.5) - Lê Xuân Thành (0.5)</v>
      </c>
    </row>
    <row r="161" spans="1:24" hidden="1">
      <c r="A161" s="18">
        <v>190061</v>
      </c>
      <c r="B161" s="18">
        <v>161371</v>
      </c>
      <c r="C161" s="18">
        <v>161371</v>
      </c>
      <c r="D161" s="18" t="s">
        <v>654</v>
      </c>
      <c r="E161" s="19" t="s">
        <v>655</v>
      </c>
      <c r="F161" s="19" t="s">
        <v>462</v>
      </c>
      <c r="G161" s="20">
        <v>365</v>
      </c>
      <c r="H161" s="21" t="s">
        <v>169</v>
      </c>
      <c r="I161" s="23" t="s">
        <v>558</v>
      </c>
      <c r="J161" s="21"/>
      <c r="K161" s="22"/>
      <c r="L161" s="21"/>
      <c r="M161" s="21"/>
      <c r="N161" s="20">
        <v>670</v>
      </c>
      <c r="O161" s="20">
        <v>39</v>
      </c>
      <c r="P161" s="20" t="s">
        <v>163</v>
      </c>
      <c r="Q161" s="20">
        <v>674</v>
      </c>
      <c r="R161" s="20" t="s">
        <v>360</v>
      </c>
      <c r="S161" s="20" t="s">
        <v>361</v>
      </c>
      <c r="T161" s="18" t="s">
        <v>362</v>
      </c>
      <c r="U161" s="18">
        <v>190061</v>
      </c>
      <c r="V161" s="20" t="s">
        <v>631</v>
      </c>
      <c r="W161" s="20">
        <v>69</v>
      </c>
      <c r="X161" t="str">
        <f>VLOOKUP(C161,VN_ICT!B:W,22,TRUE)</f>
        <v>Đỗ Công Thuần</v>
      </c>
    </row>
    <row r="162" spans="1:24" hidden="1">
      <c r="A162" s="18">
        <v>190062</v>
      </c>
      <c r="B162" s="18">
        <v>161372</v>
      </c>
      <c r="C162" s="18">
        <v>161372</v>
      </c>
      <c r="D162" s="18" t="s">
        <v>654</v>
      </c>
      <c r="E162" s="19" t="s">
        <v>655</v>
      </c>
      <c r="F162" s="19" t="s">
        <v>658</v>
      </c>
      <c r="G162" s="20">
        <v>365</v>
      </c>
      <c r="H162" s="21" t="s">
        <v>169</v>
      </c>
      <c r="I162" s="23" t="s">
        <v>558</v>
      </c>
      <c r="J162" s="21"/>
      <c r="K162" s="22"/>
      <c r="L162" s="21"/>
      <c r="M162" s="21"/>
      <c r="N162" s="20">
        <v>670</v>
      </c>
      <c r="O162" s="20">
        <v>39</v>
      </c>
      <c r="P162" s="20" t="s">
        <v>163</v>
      </c>
      <c r="Q162" s="20">
        <v>674</v>
      </c>
      <c r="R162" s="20" t="s">
        <v>360</v>
      </c>
      <c r="S162" s="20" t="s">
        <v>361</v>
      </c>
      <c r="T162" s="18" t="s">
        <v>362</v>
      </c>
      <c r="U162" s="18">
        <v>190062</v>
      </c>
      <c r="V162" s="20" t="s">
        <v>631</v>
      </c>
      <c r="W162" s="20">
        <v>69</v>
      </c>
      <c r="X162" t="str">
        <f>VLOOKUP(C162,VN_ICT!B:W,22,TRUE)</f>
        <v>Nguyễn Thị Thanh Nga</v>
      </c>
    </row>
    <row r="163" spans="1:24" hidden="1">
      <c r="A163" s="18">
        <v>190063</v>
      </c>
      <c r="B163" s="18">
        <v>161373</v>
      </c>
      <c r="C163" s="18">
        <v>161373</v>
      </c>
      <c r="D163" s="18" t="s">
        <v>654</v>
      </c>
      <c r="E163" s="19" t="s">
        <v>655</v>
      </c>
      <c r="F163" s="19" t="s">
        <v>659</v>
      </c>
      <c r="G163" s="20">
        <v>365</v>
      </c>
      <c r="H163" s="21" t="s">
        <v>169</v>
      </c>
      <c r="I163" s="23" t="s">
        <v>558</v>
      </c>
      <c r="J163" s="21"/>
      <c r="K163" s="22"/>
      <c r="L163" s="21"/>
      <c r="M163" s="21"/>
      <c r="N163" s="20">
        <v>670</v>
      </c>
      <c r="O163" s="20">
        <v>38</v>
      </c>
      <c r="P163" s="20" t="s">
        <v>163</v>
      </c>
      <c r="Q163" s="20">
        <v>674</v>
      </c>
      <c r="R163" s="20" t="s">
        <v>360</v>
      </c>
      <c r="S163" s="20" t="s">
        <v>361</v>
      </c>
      <c r="T163" s="18" t="s">
        <v>362</v>
      </c>
      <c r="U163" s="18">
        <v>190063</v>
      </c>
      <c r="V163" s="20" t="s">
        <v>631</v>
      </c>
      <c r="W163" s="20">
        <v>69</v>
      </c>
      <c r="X163" t="str">
        <f>VLOOKUP(C163,VN_ICT!B:W,22,TRUE)</f>
        <v>Đỗ Công Thuần</v>
      </c>
    </row>
    <row r="164" spans="1:24" hidden="1">
      <c r="A164" s="18">
        <v>190064</v>
      </c>
      <c r="B164" s="18">
        <v>161374</v>
      </c>
      <c r="C164" s="18">
        <v>161374</v>
      </c>
      <c r="D164" s="18" t="s">
        <v>654</v>
      </c>
      <c r="E164" s="19" t="s">
        <v>655</v>
      </c>
      <c r="F164" s="19" t="s">
        <v>660</v>
      </c>
      <c r="G164" s="20">
        <v>365</v>
      </c>
      <c r="H164" s="21" t="s">
        <v>169</v>
      </c>
      <c r="I164" s="23" t="s">
        <v>558</v>
      </c>
      <c r="J164" s="21"/>
      <c r="K164" s="22"/>
      <c r="L164" s="21"/>
      <c r="M164" s="21"/>
      <c r="N164" s="20">
        <v>670</v>
      </c>
      <c r="O164" s="20">
        <v>39</v>
      </c>
      <c r="P164" s="20" t="s">
        <v>163</v>
      </c>
      <c r="Q164" s="20">
        <v>674</v>
      </c>
      <c r="R164" s="20" t="s">
        <v>360</v>
      </c>
      <c r="S164" s="20" t="s">
        <v>361</v>
      </c>
      <c r="T164" s="18" t="s">
        <v>362</v>
      </c>
      <c r="U164" s="18">
        <v>190064</v>
      </c>
      <c r="V164" s="20" t="s">
        <v>631</v>
      </c>
      <c r="W164" s="20">
        <v>69</v>
      </c>
      <c r="X164" t="str">
        <f>VLOOKUP(C164,VN_ICT!B:W,22,TRUE)</f>
        <v>Trịnh Văn Loan</v>
      </c>
    </row>
    <row r="165" spans="1:24" hidden="1">
      <c r="A165" s="18">
        <v>190065</v>
      </c>
      <c r="B165" s="18">
        <v>161375</v>
      </c>
      <c r="C165" s="18">
        <v>161375</v>
      </c>
      <c r="D165" s="18" t="s">
        <v>654</v>
      </c>
      <c r="E165" s="19" t="s">
        <v>655</v>
      </c>
      <c r="F165" s="19" t="s">
        <v>661</v>
      </c>
      <c r="G165" s="20">
        <v>365</v>
      </c>
      <c r="H165" s="21" t="s">
        <v>169</v>
      </c>
      <c r="I165" s="23" t="s">
        <v>558</v>
      </c>
      <c r="J165" s="21"/>
      <c r="K165" s="22"/>
      <c r="L165" s="21"/>
      <c r="M165" s="21"/>
      <c r="N165" s="20">
        <v>670</v>
      </c>
      <c r="O165" s="20">
        <v>38</v>
      </c>
      <c r="P165" s="20" t="s">
        <v>163</v>
      </c>
      <c r="Q165" s="20">
        <v>674</v>
      </c>
      <c r="R165" s="20" t="s">
        <v>360</v>
      </c>
      <c r="S165" s="20" t="s">
        <v>361</v>
      </c>
      <c r="T165" s="18" t="s">
        <v>362</v>
      </c>
      <c r="U165" s="18">
        <v>190065</v>
      </c>
      <c r="V165" s="20" t="s">
        <v>631</v>
      </c>
      <c r="W165" s="20">
        <v>69</v>
      </c>
      <c r="X165" t="str">
        <f>VLOOKUP(C165,VN_ICT!B:W,22,TRUE)</f>
        <v>Trịnh Văn Loan</v>
      </c>
    </row>
    <row r="166" spans="1:24" hidden="1">
      <c r="A166" s="18">
        <v>190066</v>
      </c>
      <c r="B166" s="18">
        <v>161376</v>
      </c>
      <c r="C166" s="18">
        <v>161376</v>
      </c>
      <c r="D166" s="18" t="s">
        <v>654</v>
      </c>
      <c r="E166" s="19" t="s">
        <v>655</v>
      </c>
      <c r="F166" s="19" t="s">
        <v>662</v>
      </c>
      <c r="G166" s="20">
        <v>365</v>
      </c>
      <c r="H166" s="21" t="s">
        <v>169</v>
      </c>
      <c r="I166" s="23" t="s">
        <v>558</v>
      </c>
      <c r="J166" s="21"/>
      <c r="K166" s="22"/>
      <c r="L166" s="21"/>
      <c r="M166" s="21"/>
      <c r="N166" s="20">
        <v>670</v>
      </c>
      <c r="O166" s="20">
        <v>38</v>
      </c>
      <c r="P166" s="20" t="s">
        <v>163</v>
      </c>
      <c r="Q166" s="20">
        <v>674</v>
      </c>
      <c r="R166" s="20" t="s">
        <v>360</v>
      </c>
      <c r="S166" s="20" t="s">
        <v>361</v>
      </c>
      <c r="T166" s="18" t="s">
        <v>362</v>
      </c>
      <c r="U166" s="18">
        <v>190066</v>
      </c>
      <c r="V166" s="20" t="s">
        <v>631</v>
      </c>
      <c r="W166" s="20">
        <v>69</v>
      </c>
      <c r="X166" t="str">
        <f>VLOOKUP(C166,VN_ICT!B:W,22,TRUE)</f>
        <v>Nguyễn Đức Toàn</v>
      </c>
    </row>
    <row r="167" spans="1:24" hidden="1">
      <c r="A167" s="18">
        <v>190365</v>
      </c>
      <c r="B167" s="18">
        <v>161377</v>
      </c>
      <c r="C167" s="18">
        <v>161377</v>
      </c>
      <c r="D167" s="18" t="s">
        <v>663</v>
      </c>
      <c r="E167" s="19" t="s">
        <v>664</v>
      </c>
      <c r="F167" s="19" t="s">
        <v>665</v>
      </c>
      <c r="G167" s="20">
        <v>130</v>
      </c>
      <c r="H167" s="21" t="s">
        <v>193</v>
      </c>
      <c r="I167" s="21" t="s">
        <v>164</v>
      </c>
      <c r="J167" s="21" t="s">
        <v>238</v>
      </c>
      <c r="K167" s="22">
        <v>46052</v>
      </c>
      <c r="L167" s="21" t="s">
        <v>12</v>
      </c>
      <c r="M167" s="21" t="s">
        <v>378</v>
      </c>
      <c r="N167" s="20">
        <v>670</v>
      </c>
      <c r="O167" s="20">
        <v>61</v>
      </c>
      <c r="P167" s="20" t="s">
        <v>163</v>
      </c>
      <c r="Q167" s="20">
        <v>674</v>
      </c>
      <c r="R167" s="20" t="s">
        <v>360</v>
      </c>
      <c r="S167" s="20" t="s">
        <v>361</v>
      </c>
      <c r="T167" s="18" t="s">
        <v>362</v>
      </c>
      <c r="U167" s="18">
        <v>190365</v>
      </c>
      <c r="V167" s="20" t="s">
        <v>465</v>
      </c>
      <c r="W167" s="20">
        <v>69</v>
      </c>
      <c r="X167" t="str">
        <f>VLOOKUP(C167,VN_ICT!B:W,22,TRUE)</f>
        <v>Vũ Văn Thiệu</v>
      </c>
    </row>
    <row r="168" spans="1:24" hidden="1">
      <c r="A168" s="18">
        <v>190366</v>
      </c>
      <c r="B168" s="18">
        <v>161377</v>
      </c>
      <c r="C168" s="18">
        <v>161377</v>
      </c>
      <c r="D168" s="18" t="s">
        <v>663</v>
      </c>
      <c r="E168" s="19" t="s">
        <v>664</v>
      </c>
      <c r="F168" s="19" t="s">
        <v>665</v>
      </c>
      <c r="G168" s="20">
        <v>131</v>
      </c>
      <c r="H168" s="21" t="s">
        <v>196</v>
      </c>
      <c r="I168" s="21" t="s">
        <v>164</v>
      </c>
      <c r="J168" s="21" t="s">
        <v>238</v>
      </c>
      <c r="K168" s="22">
        <v>46052</v>
      </c>
      <c r="L168" s="21" t="s">
        <v>12</v>
      </c>
      <c r="M168" s="21" t="s">
        <v>378</v>
      </c>
      <c r="N168" s="20">
        <v>670</v>
      </c>
      <c r="O168" s="20">
        <v>60</v>
      </c>
      <c r="P168" s="20" t="s">
        <v>163</v>
      </c>
      <c r="Q168" s="20">
        <v>674</v>
      </c>
      <c r="R168" s="20" t="s">
        <v>360</v>
      </c>
      <c r="S168" s="20" t="s">
        <v>361</v>
      </c>
      <c r="T168" s="18" t="s">
        <v>362</v>
      </c>
      <c r="U168" s="18">
        <v>190366</v>
      </c>
      <c r="V168" s="20" t="s">
        <v>465</v>
      </c>
      <c r="W168" s="20">
        <v>69</v>
      </c>
      <c r="X168" t="str">
        <f>VLOOKUP(C168,VN_ICT!B:W,22,TRUE)</f>
        <v>Vũ Văn Thiệu</v>
      </c>
    </row>
    <row r="169" spans="1:24" hidden="1">
      <c r="A169" s="18">
        <v>190368</v>
      </c>
      <c r="B169" s="18">
        <v>161378</v>
      </c>
      <c r="C169" s="18">
        <v>161378</v>
      </c>
      <c r="D169" s="18" t="s">
        <v>663</v>
      </c>
      <c r="E169" s="19" t="s">
        <v>664</v>
      </c>
      <c r="F169" s="19" t="s">
        <v>460</v>
      </c>
      <c r="G169" s="20">
        <v>130</v>
      </c>
      <c r="H169" s="21" t="s">
        <v>193</v>
      </c>
      <c r="I169" s="21" t="s">
        <v>164</v>
      </c>
      <c r="J169" s="21" t="s">
        <v>238</v>
      </c>
      <c r="K169" s="22">
        <v>46052</v>
      </c>
      <c r="L169" s="21" t="s">
        <v>12</v>
      </c>
      <c r="M169" s="21" t="s">
        <v>446</v>
      </c>
      <c r="N169" s="20">
        <v>670</v>
      </c>
      <c r="O169" s="20">
        <v>47</v>
      </c>
      <c r="P169" s="20" t="s">
        <v>163</v>
      </c>
      <c r="Q169" s="20">
        <v>674</v>
      </c>
      <c r="R169" s="20" t="s">
        <v>360</v>
      </c>
      <c r="S169" s="20" t="s">
        <v>361</v>
      </c>
      <c r="T169" s="18" t="s">
        <v>362</v>
      </c>
      <c r="U169" s="18">
        <v>190368</v>
      </c>
      <c r="V169" s="20" t="s">
        <v>425</v>
      </c>
      <c r="W169" s="20">
        <v>69</v>
      </c>
      <c r="X169" t="str">
        <f>VLOOKUP(C169,VN_ICT!B:W,22,TRUE)</f>
        <v>Tạ Duy Hoàng</v>
      </c>
    </row>
    <row r="170" spans="1:24" hidden="1">
      <c r="A170" s="18">
        <v>190367</v>
      </c>
      <c r="B170" s="18">
        <v>161378</v>
      </c>
      <c r="C170" s="18">
        <v>161378</v>
      </c>
      <c r="D170" s="18" t="s">
        <v>663</v>
      </c>
      <c r="E170" s="19" t="s">
        <v>664</v>
      </c>
      <c r="F170" s="19" t="s">
        <v>460</v>
      </c>
      <c r="G170" s="20">
        <v>131</v>
      </c>
      <c r="H170" s="21" t="s">
        <v>196</v>
      </c>
      <c r="I170" s="21" t="s">
        <v>164</v>
      </c>
      <c r="J170" s="21" t="s">
        <v>238</v>
      </c>
      <c r="K170" s="22">
        <v>46052</v>
      </c>
      <c r="L170" s="21" t="s">
        <v>12</v>
      </c>
      <c r="M170" s="21" t="s">
        <v>577</v>
      </c>
      <c r="N170" s="20">
        <v>670</v>
      </c>
      <c r="O170" s="20">
        <v>47</v>
      </c>
      <c r="P170" s="20" t="s">
        <v>163</v>
      </c>
      <c r="Q170" s="20">
        <v>674</v>
      </c>
      <c r="R170" s="20" t="s">
        <v>360</v>
      </c>
      <c r="S170" s="20" t="s">
        <v>361</v>
      </c>
      <c r="T170" s="18" t="s">
        <v>362</v>
      </c>
      <c r="U170" s="18">
        <v>190367</v>
      </c>
      <c r="V170" s="20" t="s">
        <v>425</v>
      </c>
      <c r="W170" s="20">
        <v>69</v>
      </c>
      <c r="X170" t="str">
        <f>VLOOKUP(C170,VN_ICT!B:W,22,TRUE)</f>
        <v>Tạ Duy Hoàng</v>
      </c>
    </row>
    <row r="171" spans="1:24" hidden="1">
      <c r="A171" s="18">
        <v>190369</v>
      </c>
      <c r="B171" s="18">
        <v>161379</v>
      </c>
      <c r="C171" s="18">
        <v>161379</v>
      </c>
      <c r="D171" s="18" t="s">
        <v>663</v>
      </c>
      <c r="E171" s="19" t="s">
        <v>664</v>
      </c>
      <c r="F171" s="19" t="s">
        <v>462</v>
      </c>
      <c r="G171" s="20">
        <v>131</v>
      </c>
      <c r="H171" s="21" t="s">
        <v>196</v>
      </c>
      <c r="I171" s="21" t="s">
        <v>164</v>
      </c>
      <c r="J171" s="21" t="s">
        <v>238</v>
      </c>
      <c r="K171" s="22">
        <v>46052</v>
      </c>
      <c r="L171" s="21" t="s">
        <v>12</v>
      </c>
      <c r="M171" s="21" t="s">
        <v>363</v>
      </c>
      <c r="N171" s="20">
        <v>670</v>
      </c>
      <c r="O171" s="20">
        <v>60</v>
      </c>
      <c r="P171" s="20" t="s">
        <v>163</v>
      </c>
      <c r="Q171" s="20">
        <v>674</v>
      </c>
      <c r="R171" s="20" t="s">
        <v>360</v>
      </c>
      <c r="S171" s="20" t="s">
        <v>361</v>
      </c>
      <c r="T171" s="18" t="s">
        <v>362</v>
      </c>
      <c r="U171" s="18">
        <v>190369</v>
      </c>
      <c r="V171" s="20" t="s">
        <v>597</v>
      </c>
      <c r="W171" s="20">
        <v>69</v>
      </c>
      <c r="X171" t="str">
        <f>VLOOKUP(C171,VN_ICT!B:W,22,TRUE)</f>
        <v>Ban Hà Bằng</v>
      </c>
    </row>
    <row r="172" spans="1:24" hidden="1">
      <c r="A172" s="18">
        <v>190370</v>
      </c>
      <c r="B172" s="18">
        <v>161379</v>
      </c>
      <c r="C172" s="18">
        <v>161379</v>
      </c>
      <c r="D172" s="18" t="s">
        <v>663</v>
      </c>
      <c r="E172" s="19" t="s">
        <v>664</v>
      </c>
      <c r="F172" s="19" t="s">
        <v>462</v>
      </c>
      <c r="G172" s="20">
        <v>130</v>
      </c>
      <c r="H172" s="21" t="s">
        <v>193</v>
      </c>
      <c r="I172" s="21" t="s">
        <v>164</v>
      </c>
      <c r="J172" s="21" t="s">
        <v>238</v>
      </c>
      <c r="K172" s="22">
        <v>46052</v>
      </c>
      <c r="L172" s="21" t="s">
        <v>12</v>
      </c>
      <c r="M172" s="21" t="s">
        <v>363</v>
      </c>
      <c r="N172" s="20">
        <v>670</v>
      </c>
      <c r="O172" s="20">
        <v>61</v>
      </c>
      <c r="P172" s="20" t="s">
        <v>163</v>
      </c>
      <c r="Q172" s="20">
        <v>674</v>
      </c>
      <c r="R172" s="20" t="s">
        <v>360</v>
      </c>
      <c r="S172" s="20" t="s">
        <v>361</v>
      </c>
      <c r="T172" s="18" t="s">
        <v>362</v>
      </c>
      <c r="U172" s="18">
        <v>190370</v>
      </c>
      <c r="V172" s="20" t="s">
        <v>597</v>
      </c>
      <c r="W172" s="20">
        <v>69</v>
      </c>
      <c r="X172" t="str">
        <f>VLOOKUP(C172,VN_ICT!B:W,22,TRUE)</f>
        <v>Ban Hà Bằng</v>
      </c>
    </row>
    <row r="173" spans="1:24">
      <c r="A173" s="18">
        <v>190379</v>
      </c>
      <c r="B173" s="18">
        <v>161380</v>
      </c>
      <c r="C173" s="18">
        <v>161380</v>
      </c>
      <c r="D173" s="18" t="s">
        <v>68</v>
      </c>
      <c r="E173" s="19" t="s">
        <v>287</v>
      </c>
      <c r="F173" s="19" t="s">
        <v>459</v>
      </c>
      <c r="G173" s="20">
        <v>131</v>
      </c>
      <c r="H173" s="21" t="s">
        <v>196</v>
      </c>
      <c r="I173" s="21" t="s">
        <v>228</v>
      </c>
      <c r="J173" s="21" t="s">
        <v>283</v>
      </c>
      <c r="K173" s="22">
        <v>46044</v>
      </c>
      <c r="L173" s="21" t="s">
        <v>13</v>
      </c>
      <c r="M173" s="21" t="s">
        <v>358</v>
      </c>
      <c r="N173" s="20">
        <v>670</v>
      </c>
      <c r="O173" s="20">
        <v>54</v>
      </c>
      <c r="P173" s="20" t="s">
        <v>163</v>
      </c>
      <c r="Q173" s="20">
        <v>674</v>
      </c>
      <c r="R173" s="20" t="s">
        <v>360</v>
      </c>
      <c r="S173" s="20" t="s">
        <v>361</v>
      </c>
      <c r="T173" s="18" t="s">
        <v>362</v>
      </c>
      <c r="U173" s="18">
        <v>190379</v>
      </c>
      <c r="V173" s="20" t="s">
        <v>465</v>
      </c>
      <c r="W173" s="20">
        <v>69</v>
      </c>
      <c r="X173" t="str">
        <f>VLOOKUP(C173,VN_ICT!B:W,22,TRUE)</f>
        <v>Nguyễn Hồng Quang</v>
      </c>
    </row>
    <row r="174" spans="1:24">
      <c r="A174" s="18">
        <v>190378</v>
      </c>
      <c r="B174" s="18">
        <v>161380</v>
      </c>
      <c r="C174" s="18">
        <v>161380</v>
      </c>
      <c r="D174" s="18" t="s">
        <v>68</v>
      </c>
      <c r="E174" s="19" t="s">
        <v>287</v>
      </c>
      <c r="F174" s="19" t="s">
        <v>459</v>
      </c>
      <c r="G174" s="20">
        <v>130</v>
      </c>
      <c r="H174" s="21" t="s">
        <v>193</v>
      </c>
      <c r="I174" s="21" t="s">
        <v>228</v>
      </c>
      <c r="J174" s="21" t="s">
        <v>283</v>
      </c>
      <c r="K174" s="22">
        <v>46044</v>
      </c>
      <c r="L174" s="21" t="s">
        <v>13</v>
      </c>
      <c r="M174" s="21" t="s">
        <v>358</v>
      </c>
      <c r="N174" s="20">
        <v>670</v>
      </c>
      <c r="O174" s="20">
        <v>55</v>
      </c>
      <c r="P174" s="20" t="s">
        <v>163</v>
      </c>
      <c r="Q174" s="20">
        <v>674</v>
      </c>
      <c r="R174" s="20" t="s">
        <v>360</v>
      </c>
      <c r="S174" s="20" t="s">
        <v>361</v>
      </c>
      <c r="T174" s="18" t="s">
        <v>362</v>
      </c>
      <c r="U174" s="18">
        <v>190378</v>
      </c>
      <c r="V174" s="20" t="s">
        <v>465</v>
      </c>
      <c r="W174" s="20">
        <v>69</v>
      </c>
      <c r="X174" t="str">
        <f>VLOOKUP(C174,VN_ICT!B:W,22,TRUE)</f>
        <v>Nguyễn Hồng Quang</v>
      </c>
    </row>
    <row r="175" spans="1:24">
      <c r="A175" s="18">
        <v>190381</v>
      </c>
      <c r="B175" s="18">
        <v>161381</v>
      </c>
      <c r="C175" s="18">
        <v>161381</v>
      </c>
      <c r="D175" s="18" t="s">
        <v>68</v>
      </c>
      <c r="E175" s="19" t="s">
        <v>287</v>
      </c>
      <c r="F175" s="19" t="s">
        <v>466</v>
      </c>
      <c r="G175" s="20">
        <v>130</v>
      </c>
      <c r="H175" s="21" t="s">
        <v>193</v>
      </c>
      <c r="I175" s="21" t="s">
        <v>228</v>
      </c>
      <c r="J175" s="21" t="s">
        <v>283</v>
      </c>
      <c r="K175" s="22">
        <v>46044</v>
      </c>
      <c r="L175" s="21" t="s">
        <v>13</v>
      </c>
      <c r="M175" s="21" t="s">
        <v>358</v>
      </c>
      <c r="N175" s="20">
        <v>670</v>
      </c>
      <c r="O175" s="20">
        <v>55</v>
      </c>
      <c r="P175" s="20" t="s">
        <v>163</v>
      </c>
      <c r="Q175" s="20">
        <v>674</v>
      </c>
      <c r="R175" s="20" t="s">
        <v>360</v>
      </c>
      <c r="S175" s="20" t="s">
        <v>361</v>
      </c>
      <c r="T175" s="18" t="s">
        <v>362</v>
      </c>
      <c r="U175" s="18">
        <v>190381</v>
      </c>
      <c r="V175" s="20" t="s">
        <v>425</v>
      </c>
      <c r="W175" s="20">
        <v>69</v>
      </c>
      <c r="X175" t="str">
        <f>VLOOKUP(C175,VN_ICT!B:W,22,TRUE)</f>
        <v>Đoàn Phong Tùng</v>
      </c>
    </row>
    <row r="176" spans="1:24">
      <c r="A176" s="18">
        <v>190380</v>
      </c>
      <c r="B176" s="18">
        <v>161381</v>
      </c>
      <c r="C176" s="18">
        <v>161381</v>
      </c>
      <c r="D176" s="18" t="s">
        <v>68</v>
      </c>
      <c r="E176" s="19" t="s">
        <v>287</v>
      </c>
      <c r="F176" s="19" t="s">
        <v>466</v>
      </c>
      <c r="G176" s="20">
        <v>131</v>
      </c>
      <c r="H176" s="21" t="s">
        <v>196</v>
      </c>
      <c r="I176" s="21" t="s">
        <v>228</v>
      </c>
      <c r="J176" s="21" t="s">
        <v>283</v>
      </c>
      <c r="K176" s="22">
        <v>46044</v>
      </c>
      <c r="L176" s="21" t="s">
        <v>13</v>
      </c>
      <c r="M176" s="21" t="s">
        <v>358</v>
      </c>
      <c r="N176" s="20">
        <v>670</v>
      </c>
      <c r="O176" s="20">
        <v>54</v>
      </c>
      <c r="P176" s="20" t="s">
        <v>163</v>
      </c>
      <c r="Q176" s="20">
        <v>674</v>
      </c>
      <c r="R176" s="20" t="s">
        <v>360</v>
      </c>
      <c r="S176" s="20" t="s">
        <v>361</v>
      </c>
      <c r="T176" s="18" t="s">
        <v>362</v>
      </c>
      <c r="U176" s="18">
        <v>190380</v>
      </c>
      <c r="V176" s="20" t="s">
        <v>425</v>
      </c>
      <c r="W176" s="20">
        <v>69</v>
      </c>
      <c r="X176" t="str">
        <f>VLOOKUP(C176,VN_ICT!B:W,22,TRUE)</f>
        <v>Đoàn Phong Tùng</v>
      </c>
    </row>
    <row r="177" spans="1:24">
      <c r="A177" s="18">
        <v>190383</v>
      </c>
      <c r="B177" s="18">
        <v>161382</v>
      </c>
      <c r="C177" s="18">
        <v>161382</v>
      </c>
      <c r="D177" s="18" t="s">
        <v>68</v>
      </c>
      <c r="E177" s="19" t="s">
        <v>287</v>
      </c>
      <c r="F177" s="19" t="s">
        <v>462</v>
      </c>
      <c r="G177" s="20">
        <v>130</v>
      </c>
      <c r="H177" s="21" t="s">
        <v>193</v>
      </c>
      <c r="I177" s="21" t="s">
        <v>228</v>
      </c>
      <c r="J177" s="21" t="s">
        <v>283</v>
      </c>
      <c r="K177" s="22">
        <v>46044</v>
      </c>
      <c r="L177" s="21" t="s">
        <v>13</v>
      </c>
      <c r="M177" s="21" t="s">
        <v>358</v>
      </c>
      <c r="N177" s="20">
        <v>670</v>
      </c>
      <c r="O177" s="20">
        <v>56</v>
      </c>
      <c r="P177" s="20" t="s">
        <v>163</v>
      </c>
      <c r="Q177" s="20">
        <v>674</v>
      </c>
      <c r="R177" s="20" t="s">
        <v>360</v>
      </c>
      <c r="S177" s="20" t="s">
        <v>361</v>
      </c>
      <c r="T177" s="18" t="s">
        <v>362</v>
      </c>
      <c r="U177" s="18">
        <v>190383</v>
      </c>
      <c r="V177" s="20" t="s">
        <v>465</v>
      </c>
      <c r="W177" s="20">
        <v>69</v>
      </c>
      <c r="X177" t="str">
        <f>VLOOKUP(C177,VN_ICT!B:W,22,TRUE)</f>
        <v>Nguyễn Đình Thuận</v>
      </c>
    </row>
    <row r="178" spans="1:24">
      <c r="A178" s="18">
        <v>190382</v>
      </c>
      <c r="B178" s="18">
        <v>161382</v>
      </c>
      <c r="C178" s="18">
        <v>161382</v>
      </c>
      <c r="D178" s="18" t="s">
        <v>68</v>
      </c>
      <c r="E178" s="19" t="s">
        <v>287</v>
      </c>
      <c r="F178" s="19" t="s">
        <v>462</v>
      </c>
      <c r="G178" s="20">
        <v>131</v>
      </c>
      <c r="H178" s="21" t="s">
        <v>196</v>
      </c>
      <c r="I178" s="21" t="s">
        <v>228</v>
      </c>
      <c r="J178" s="21" t="s">
        <v>283</v>
      </c>
      <c r="K178" s="22">
        <v>46044</v>
      </c>
      <c r="L178" s="21" t="s">
        <v>13</v>
      </c>
      <c r="M178" s="21" t="s">
        <v>358</v>
      </c>
      <c r="N178" s="20">
        <v>670</v>
      </c>
      <c r="O178" s="20">
        <v>55</v>
      </c>
      <c r="P178" s="20" t="s">
        <v>163</v>
      </c>
      <c r="Q178" s="20">
        <v>674</v>
      </c>
      <c r="R178" s="20" t="s">
        <v>360</v>
      </c>
      <c r="S178" s="20" t="s">
        <v>361</v>
      </c>
      <c r="T178" s="18" t="s">
        <v>362</v>
      </c>
      <c r="U178" s="18">
        <v>190382</v>
      </c>
      <c r="V178" s="20" t="s">
        <v>465</v>
      </c>
      <c r="W178" s="20">
        <v>69</v>
      </c>
      <c r="X178" t="str">
        <f>VLOOKUP(C178,VN_ICT!B:W,22,TRUE)</f>
        <v>Nguyễn Đình Thuận</v>
      </c>
    </row>
    <row r="179" spans="1:24">
      <c r="A179" s="18">
        <v>190068</v>
      </c>
      <c r="B179" s="18">
        <v>161383</v>
      </c>
      <c r="C179" s="18">
        <v>161383</v>
      </c>
      <c r="D179" s="18" t="s">
        <v>216</v>
      </c>
      <c r="E179" s="19" t="s">
        <v>217</v>
      </c>
      <c r="F179" s="19" t="s">
        <v>459</v>
      </c>
      <c r="G179" s="20">
        <v>131</v>
      </c>
      <c r="H179" s="21" t="s">
        <v>196</v>
      </c>
      <c r="I179" s="21" t="s">
        <v>194</v>
      </c>
      <c r="J179" s="21" t="s">
        <v>215</v>
      </c>
      <c r="K179" s="22">
        <v>46057</v>
      </c>
      <c r="L179" s="21" t="s">
        <v>15</v>
      </c>
      <c r="M179" s="21" t="s">
        <v>358</v>
      </c>
      <c r="N179" s="20">
        <v>670</v>
      </c>
      <c r="O179" s="20">
        <v>55</v>
      </c>
      <c r="P179" s="20" t="s">
        <v>163</v>
      </c>
      <c r="Q179" s="20">
        <v>674</v>
      </c>
      <c r="R179" s="20" t="s">
        <v>360</v>
      </c>
      <c r="S179" s="20" t="s">
        <v>361</v>
      </c>
      <c r="T179" s="18" t="s">
        <v>362</v>
      </c>
      <c r="U179" s="18">
        <v>190068</v>
      </c>
      <c r="V179" s="20" t="s">
        <v>425</v>
      </c>
      <c r="W179" s="20">
        <v>69</v>
      </c>
      <c r="X179" t="str">
        <f>VLOOKUP(C179,VN_ICT!B:W,22,TRUE)</f>
        <v>Nguyễn Tuấn Dũng</v>
      </c>
    </row>
    <row r="180" spans="1:24">
      <c r="A180" s="18">
        <v>190067</v>
      </c>
      <c r="B180" s="18">
        <v>161383</v>
      </c>
      <c r="C180" s="18">
        <v>161383</v>
      </c>
      <c r="D180" s="18" t="s">
        <v>216</v>
      </c>
      <c r="E180" s="19" t="s">
        <v>217</v>
      </c>
      <c r="F180" s="19" t="s">
        <v>459</v>
      </c>
      <c r="G180" s="20">
        <v>130</v>
      </c>
      <c r="H180" s="21" t="s">
        <v>193</v>
      </c>
      <c r="I180" s="21" t="s">
        <v>194</v>
      </c>
      <c r="J180" s="21" t="s">
        <v>215</v>
      </c>
      <c r="K180" s="22">
        <v>46057</v>
      </c>
      <c r="L180" s="21" t="s">
        <v>15</v>
      </c>
      <c r="M180" s="21" t="s">
        <v>358</v>
      </c>
      <c r="N180" s="20">
        <v>670</v>
      </c>
      <c r="O180" s="20">
        <v>55</v>
      </c>
      <c r="P180" s="20" t="s">
        <v>163</v>
      </c>
      <c r="Q180" s="20">
        <v>674</v>
      </c>
      <c r="R180" s="20" t="s">
        <v>360</v>
      </c>
      <c r="S180" s="20" t="s">
        <v>361</v>
      </c>
      <c r="T180" s="18" t="s">
        <v>362</v>
      </c>
      <c r="U180" s="18">
        <v>190067</v>
      </c>
      <c r="V180" s="20" t="s">
        <v>425</v>
      </c>
      <c r="W180" s="20">
        <v>69</v>
      </c>
      <c r="X180" t="str">
        <f>VLOOKUP(C180,VN_ICT!B:W,22,TRUE)</f>
        <v>Nguyễn Tuấn Dũng</v>
      </c>
    </row>
    <row r="181" spans="1:24">
      <c r="A181" s="18">
        <v>190069</v>
      </c>
      <c r="B181" s="18">
        <v>161384</v>
      </c>
      <c r="C181" s="18">
        <v>161384</v>
      </c>
      <c r="D181" s="18" t="s">
        <v>216</v>
      </c>
      <c r="E181" s="19" t="s">
        <v>217</v>
      </c>
      <c r="F181" s="19" t="s">
        <v>469</v>
      </c>
      <c r="G181" s="20">
        <v>131</v>
      </c>
      <c r="H181" s="21" t="s">
        <v>196</v>
      </c>
      <c r="I181" s="21" t="s">
        <v>194</v>
      </c>
      <c r="J181" s="21" t="s">
        <v>215</v>
      </c>
      <c r="K181" s="22">
        <v>46057</v>
      </c>
      <c r="L181" s="21" t="s">
        <v>15</v>
      </c>
      <c r="M181" s="21" t="s">
        <v>358</v>
      </c>
      <c r="N181" s="20">
        <v>670</v>
      </c>
      <c r="O181" s="20">
        <v>53</v>
      </c>
      <c r="P181" s="20" t="s">
        <v>163</v>
      </c>
      <c r="Q181" s="20">
        <v>674</v>
      </c>
      <c r="R181" s="20" t="s">
        <v>360</v>
      </c>
      <c r="S181" s="20" t="s">
        <v>361</v>
      </c>
      <c r="T181" s="18" t="s">
        <v>362</v>
      </c>
      <c r="U181" s="18">
        <v>190069</v>
      </c>
      <c r="V181" s="20" t="s">
        <v>425</v>
      </c>
      <c r="W181" s="20">
        <v>69</v>
      </c>
      <c r="X181" t="str">
        <f>VLOOKUP(C181,VN_ICT!B:W,22,TRUE)</f>
        <v>Bùi Quốc Trung</v>
      </c>
    </row>
    <row r="182" spans="1:24">
      <c r="A182" s="18">
        <v>190070</v>
      </c>
      <c r="B182" s="18">
        <v>161384</v>
      </c>
      <c r="C182" s="18">
        <v>161384</v>
      </c>
      <c r="D182" s="18" t="s">
        <v>216</v>
      </c>
      <c r="E182" s="19" t="s">
        <v>217</v>
      </c>
      <c r="F182" s="19" t="s">
        <v>469</v>
      </c>
      <c r="G182" s="20">
        <v>130</v>
      </c>
      <c r="H182" s="21" t="s">
        <v>193</v>
      </c>
      <c r="I182" s="21" t="s">
        <v>194</v>
      </c>
      <c r="J182" s="21" t="s">
        <v>215</v>
      </c>
      <c r="K182" s="22">
        <v>46057</v>
      </c>
      <c r="L182" s="21" t="s">
        <v>15</v>
      </c>
      <c r="M182" s="21" t="s">
        <v>358</v>
      </c>
      <c r="N182" s="20">
        <v>670</v>
      </c>
      <c r="O182" s="20">
        <v>53</v>
      </c>
      <c r="P182" s="20" t="s">
        <v>163</v>
      </c>
      <c r="Q182" s="20">
        <v>674</v>
      </c>
      <c r="R182" s="20" t="s">
        <v>360</v>
      </c>
      <c r="S182" s="20" t="s">
        <v>361</v>
      </c>
      <c r="T182" s="18" t="s">
        <v>362</v>
      </c>
      <c r="U182" s="18">
        <v>190070</v>
      </c>
      <c r="V182" s="20" t="s">
        <v>425</v>
      </c>
      <c r="W182" s="20">
        <v>69</v>
      </c>
      <c r="X182" t="str">
        <f>VLOOKUP(C182,VN_ICT!B:W,22,TRUE)</f>
        <v>Bùi Quốc Trung</v>
      </c>
    </row>
    <row r="183" spans="1:24">
      <c r="A183" s="18">
        <v>190071</v>
      </c>
      <c r="B183" s="18">
        <v>161385</v>
      </c>
      <c r="C183" s="18">
        <v>161385</v>
      </c>
      <c r="D183" s="18" t="s">
        <v>216</v>
      </c>
      <c r="E183" s="19" t="s">
        <v>217</v>
      </c>
      <c r="F183" s="19" t="s">
        <v>471</v>
      </c>
      <c r="G183" s="20">
        <v>130</v>
      </c>
      <c r="H183" s="21" t="s">
        <v>193</v>
      </c>
      <c r="I183" s="21" t="s">
        <v>194</v>
      </c>
      <c r="J183" s="21" t="s">
        <v>215</v>
      </c>
      <c r="K183" s="22">
        <v>46057</v>
      </c>
      <c r="L183" s="21" t="s">
        <v>15</v>
      </c>
      <c r="M183" s="21" t="s">
        <v>358</v>
      </c>
      <c r="N183" s="20">
        <v>670</v>
      </c>
      <c r="O183" s="20">
        <v>54</v>
      </c>
      <c r="P183" s="20" t="s">
        <v>163</v>
      </c>
      <c r="Q183" s="20">
        <v>674</v>
      </c>
      <c r="R183" s="20" t="s">
        <v>360</v>
      </c>
      <c r="S183" s="20" t="s">
        <v>361</v>
      </c>
      <c r="T183" s="18" t="s">
        <v>362</v>
      </c>
      <c r="U183" s="18">
        <v>190071</v>
      </c>
      <c r="V183" s="20" t="s">
        <v>363</v>
      </c>
      <c r="W183" s="20">
        <v>69</v>
      </c>
      <c r="X183" t="str">
        <f>VLOOKUP(C183,VN_ICT!B:W,22,TRUE)</f>
        <v>Đỗ Quốc Huy</v>
      </c>
    </row>
    <row r="184" spans="1:24">
      <c r="A184" s="18">
        <v>190072</v>
      </c>
      <c r="B184" s="18">
        <v>161385</v>
      </c>
      <c r="C184" s="18">
        <v>161385</v>
      </c>
      <c r="D184" s="18" t="s">
        <v>216</v>
      </c>
      <c r="E184" s="19" t="s">
        <v>217</v>
      </c>
      <c r="F184" s="19" t="s">
        <v>471</v>
      </c>
      <c r="G184" s="20">
        <v>131</v>
      </c>
      <c r="H184" s="21" t="s">
        <v>196</v>
      </c>
      <c r="I184" s="21" t="s">
        <v>194</v>
      </c>
      <c r="J184" s="21" t="s">
        <v>215</v>
      </c>
      <c r="K184" s="22">
        <v>46057</v>
      </c>
      <c r="L184" s="21" t="s">
        <v>15</v>
      </c>
      <c r="M184" s="21" t="s">
        <v>358</v>
      </c>
      <c r="N184" s="20">
        <v>670</v>
      </c>
      <c r="O184" s="20">
        <v>53</v>
      </c>
      <c r="P184" s="20" t="s">
        <v>163</v>
      </c>
      <c r="Q184" s="20">
        <v>674</v>
      </c>
      <c r="R184" s="20" t="s">
        <v>360</v>
      </c>
      <c r="S184" s="20" t="s">
        <v>361</v>
      </c>
      <c r="T184" s="18" t="s">
        <v>362</v>
      </c>
      <c r="U184" s="18">
        <v>190072</v>
      </c>
      <c r="V184" s="20" t="s">
        <v>363</v>
      </c>
      <c r="W184" s="20">
        <v>69</v>
      </c>
      <c r="X184" t="str">
        <f>VLOOKUP(C184,VN_ICT!B:W,22,TRUE)</f>
        <v>Đỗ Quốc Huy</v>
      </c>
    </row>
    <row r="185" spans="1:24">
      <c r="A185" s="18">
        <v>190250</v>
      </c>
      <c r="B185" s="18">
        <v>161386</v>
      </c>
      <c r="C185" s="18">
        <v>161386</v>
      </c>
      <c r="D185" s="18" t="s">
        <v>63</v>
      </c>
      <c r="E185" s="19" t="s">
        <v>473</v>
      </c>
      <c r="F185" s="19" t="s">
        <v>474</v>
      </c>
      <c r="G185" s="20">
        <v>365</v>
      </c>
      <c r="H185" s="21" t="s">
        <v>169</v>
      </c>
      <c r="I185" s="21" t="s">
        <v>228</v>
      </c>
      <c r="J185" s="21" t="s">
        <v>417</v>
      </c>
      <c r="K185" s="22">
        <v>46046</v>
      </c>
      <c r="L185" s="21" t="s">
        <v>475</v>
      </c>
      <c r="M185" s="21" t="s">
        <v>358</v>
      </c>
      <c r="N185" s="20">
        <v>670</v>
      </c>
      <c r="O185" s="20">
        <v>40</v>
      </c>
      <c r="P185" s="20" t="s">
        <v>163</v>
      </c>
      <c r="Q185" s="20">
        <v>674</v>
      </c>
      <c r="R185" s="20" t="s">
        <v>360</v>
      </c>
      <c r="S185" s="20" t="s">
        <v>361</v>
      </c>
      <c r="T185" s="18" t="s">
        <v>362</v>
      </c>
      <c r="U185" s="18">
        <v>190250</v>
      </c>
      <c r="V185" s="20" t="s">
        <v>477</v>
      </c>
      <c r="W185" s="20">
        <v>69</v>
      </c>
      <c r="X185" t="str">
        <f>VLOOKUP(C185,VN_ICT!B:W,22,TRUE)</f>
        <v>Lã Thế Vinh</v>
      </c>
    </row>
    <row r="186" spans="1:24">
      <c r="A186" s="18">
        <v>190251</v>
      </c>
      <c r="B186" s="18">
        <v>161387</v>
      </c>
      <c r="C186" s="18">
        <v>161387</v>
      </c>
      <c r="D186" s="18" t="s">
        <v>63</v>
      </c>
      <c r="E186" s="19" t="s">
        <v>473</v>
      </c>
      <c r="F186" s="19" t="s">
        <v>460</v>
      </c>
      <c r="G186" s="20">
        <v>365</v>
      </c>
      <c r="H186" s="21" t="s">
        <v>169</v>
      </c>
      <c r="I186" s="21" t="s">
        <v>228</v>
      </c>
      <c r="J186" s="21" t="s">
        <v>417</v>
      </c>
      <c r="K186" s="22">
        <v>46046</v>
      </c>
      <c r="L186" s="21" t="s">
        <v>475</v>
      </c>
      <c r="M186" s="21" t="s">
        <v>358</v>
      </c>
      <c r="N186" s="20">
        <v>670</v>
      </c>
      <c r="O186" s="20">
        <v>40</v>
      </c>
      <c r="P186" s="20" t="s">
        <v>163</v>
      </c>
      <c r="Q186" s="20">
        <v>674</v>
      </c>
      <c r="R186" s="20" t="s">
        <v>360</v>
      </c>
      <c r="S186" s="20" t="s">
        <v>361</v>
      </c>
      <c r="T186" s="18" t="s">
        <v>362</v>
      </c>
      <c r="U186" s="18">
        <v>190251</v>
      </c>
      <c r="V186" s="20" t="s">
        <v>477</v>
      </c>
      <c r="W186" s="20">
        <v>69</v>
      </c>
      <c r="X186" t="str">
        <f>VLOOKUP(C186,VN_ICT!B:W,22,TRUE)</f>
        <v>Dương Quang Huy</v>
      </c>
    </row>
    <row r="187" spans="1:24">
      <c r="A187" s="18">
        <v>190252</v>
      </c>
      <c r="B187" s="18">
        <v>161388</v>
      </c>
      <c r="C187" s="18">
        <v>161388</v>
      </c>
      <c r="D187" s="18" t="s">
        <v>63</v>
      </c>
      <c r="E187" s="19" t="s">
        <v>473</v>
      </c>
      <c r="F187" s="19" t="s">
        <v>478</v>
      </c>
      <c r="G187" s="20">
        <v>365</v>
      </c>
      <c r="H187" s="21" t="s">
        <v>169</v>
      </c>
      <c r="I187" s="21" t="s">
        <v>228</v>
      </c>
      <c r="J187" s="21" t="s">
        <v>417</v>
      </c>
      <c r="K187" s="22">
        <v>46046</v>
      </c>
      <c r="L187" s="21" t="s">
        <v>475</v>
      </c>
      <c r="M187" s="21" t="s">
        <v>358</v>
      </c>
      <c r="N187" s="20">
        <v>670</v>
      </c>
      <c r="O187" s="20">
        <v>39</v>
      </c>
      <c r="P187" s="20" t="s">
        <v>163</v>
      </c>
      <c r="Q187" s="20">
        <v>674</v>
      </c>
      <c r="R187" s="20" t="s">
        <v>360</v>
      </c>
      <c r="S187" s="20" t="s">
        <v>361</v>
      </c>
      <c r="T187" s="18" t="s">
        <v>362</v>
      </c>
      <c r="U187" s="18">
        <v>190252</v>
      </c>
      <c r="V187" s="20" t="s">
        <v>480</v>
      </c>
      <c r="W187" s="20">
        <v>69</v>
      </c>
      <c r="X187" t="str">
        <f>VLOOKUP(C187,VN_ICT!B:W,22,TRUE)</f>
        <v>Nguyễn Tiến Thành</v>
      </c>
    </row>
    <row r="188" spans="1:24">
      <c r="A188" s="18">
        <v>190253</v>
      </c>
      <c r="B188" s="18">
        <v>161389</v>
      </c>
      <c r="C188" s="18">
        <v>161389</v>
      </c>
      <c r="D188" s="18" t="s">
        <v>63</v>
      </c>
      <c r="E188" s="19" t="s">
        <v>473</v>
      </c>
      <c r="F188" s="19" t="s">
        <v>481</v>
      </c>
      <c r="G188" s="20">
        <v>365</v>
      </c>
      <c r="H188" s="21" t="s">
        <v>169</v>
      </c>
      <c r="I188" s="21" t="s">
        <v>228</v>
      </c>
      <c r="J188" s="21" t="s">
        <v>417</v>
      </c>
      <c r="K188" s="22">
        <v>46046</v>
      </c>
      <c r="L188" s="21" t="s">
        <v>475</v>
      </c>
      <c r="M188" s="21" t="s">
        <v>358</v>
      </c>
      <c r="N188" s="20">
        <v>670</v>
      </c>
      <c r="O188" s="20">
        <v>40</v>
      </c>
      <c r="P188" s="20" t="s">
        <v>163</v>
      </c>
      <c r="Q188" s="20">
        <v>674</v>
      </c>
      <c r="R188" s="20" t="s">
        <v>360</v>
      </c>
      <c r="S188" s="20" t="s">
        <v>361</v>
      </c>
      <c r="T188" s="18" t="s">
        <v>362</v>
      </c>
      <c r="U188" s="18">
        <v>190253</v>
      </c>
      <c r="V188" s="20" t="s">
        <v>483</v>
      </c>
      <c r="W188" s="20">
        <v>69</v>
      </c>
      <c r="X188" t="str">
        <f>VLOOKUP(C188,VN_ICT!B:W,22,TRUE)</f>
        <v>Nguyễn Quốc Tuấn</v>
      </c>
    </row>
    <row r="189" spans="1:24">
      <c r="A189" s="18">
        <v>190254</v>
      </c>
      <c r="B189" s="18">
        <v>161390</v>
      </c>
      <c r="C189" s="18">
        <v>161390</v>
      </c>
      <c r="D189" s="18" t="s">
        <v>63</v>
      </c>
      <c r="E189" s="19" t="s">
        <v>473</v>
      </c>
      <c r="F189" s="19" t="s">
        <v>484</v>
      </c>
      <c r="G189" s="20">
        <v>365</v>
      </c>
      <c r="H189" s="21" t="s">
        <v>169</v>
      </c>
      <c r="I189" s="21" t="s">
        <v>228</v>
      </c>
      <c r="J189" s="21" t="s">
        <v>417</v>
      </c>
      <c r="K189" s="22">
        <v>46046</v>
      </c>
      <c r="L189" s="21" t="s">
        <v>475</v>
      </c>
      <c r="M189" s="21" t="s">
        <v>358</v>
      </c>
      <c r="N189" s="20">
        <v>670</v>
      </c>
      <c r="O189" s="20">
        <v>40</v>
      </c>
      <c r="P189" s="20" t="s">
        <v>163</v>
      </c>
      <c r="Q189" s="20">
        <v>674</v>
      </c>
      <c r="R189" s="20" t="s">
        <v>360</v>
      </c>
      <c r="S189" s="20" t="s">
        <v>361</v>
      </c>
      <c r="T189" s="18" t="s">
        <v>362</v>
      </c>
      <c r="U189" s="18">
        <v>190254</v>
      </c>
      <c r="V189" s="20" t="s">
        <v>25</v>
      </c>
      <c r="W189" s="20">
        <v>69</v>
      </c>
      <c r="X189" t="str">
        <f>VLOOKUP(C189,VN_ICT!B:W,22,TRUE)</f>
        <v>Ngô Thành Trung</v>
      </c>
    </row>
    <row r="190" spans="1:24">
      <c r="A190" s="18">
        <v>190255</v>
      </c>
      <c r="B190" s="18">
        <v>161391</v>
      </c>
      <c r="C190" s="18">
        <v>161391</v>
      </c>
      <c r="D190" s="18" t="s">
        <v>63</v>
      </c>
      <c r="E190" s="19" t="s">
        <v>473</v>
      </c>
      <c r="F190" s="19" t="s">
        <v>486</v>
      </c>
      <c r="G190" s="20">
        <v>365</v>
      </c>
      <c r="H190" s="21" t="s">
        <v>169</v>
      </c>
      <c r="I190" s="21" t="s">
        <v>228</v>
      </c>
      <c r="J190" s="21" t="s">
        <v>417</v>
      </c>
      <c r="K190" s="22">
        <v>46046</v>
      </c>
      <c r="L190" s="21" t="s">
        <v>475</v>
      </c>
      <c r="M190" s="21" t="s">
        <v>358</v>
      </c>
      <c r="N190" s="20">
        <v>670</v>
      </c>
      <c r="O190" s="20">
        <v>40</v>
      </c>
      <c r="P190" s="20" t="s">
        <v>163</v>
      </c>
      <c r="Q190" s="20">
        <v>674</v>
      </c>
      <c r="R190" s="20" t="s">
        <v>360</v>
      </c>
      <c r="S190" s="20" t="s">
        <v>361</v>
      </c>
      <c r="T190" s="18" t="s">
        <v>362</v>
      </c>
      <c r="U190" s="18">
        <v>190255</v>
      </c>
      <c r="V190" s="20" t="s">
        <v>23</v>
      </c>
      <c r="W190" s="20">
        <v>69</v>
      </c>
      <c r="X190" t="str">
        <f>VLOOKUP(C190,VN_ICT!B:W,22,TRUE)</f>
        <v>Nguyễn Hồng Phương</v>
      </c>
    </row>
    <row r="191" spans="1:24">
      <c r="A191" s="18">
        <v>190256</v>
      </c>
      <c r="B191" s="18">
        <v>161392</v>
      </c>
      <c r="C191" s="18">
        <v>161392</v>
      </c>
      <c r="D191" s="18" t="s">
        <v>63</v>
      </c>
      <c r="E191" s="19" t="s">
        <v>473</v>
      </c>
      <c r="F191" s="19" t="s">
        <v>488</v>
      </c>
      <c r="G191" s="20">
        <v>365</v>
      </c>
      <c r="H191" s="21" t="s">
        <v>169</v>
      </c>
      <c r="I191" s="21" t="s">
        <v>228</v>
      </c>
      <c r="J191" s="21" t="s">
        <v>417</v>
      </c>
      <c r="K191" s="22">
        <v>46046</v>
      </c>
      <c r="L191" s="21" t="s">
        <v>475</v>
      </c>
      <c r="M191" s="21" t="s">
        <v>358</v>
      </c>
      <c r="N191" s="20">
        <v>670</v>
      </c>
      <c r="O191" s="20">
        <v>40</v>
      </c>
      <c r="P191" s="20" t="s">
        <v>163</v>
      </c>
      <c r="Q191" s="20">
        <v>674</v>
      </c>
      <c r="R191" s="20" t="s">
        <v>360</v>
      </c>
      <c r="S191" s="20" t="s">
        <v>361</v>
      </c>
      <c r="T191" s="18" t="s">
        <v>362</v>
      </c>
      <c r="U191" s="18">
        <v>190256</v>
      </c>
      <c r="V191" s="20" t="s">
        <v>23</v>
      </c>
      <c r="W191" s="20">
        <v>69</v>
      </c>
      <c r="X191" t="str">
        <f>VLOOKUP(C191,VN_ICT!B:W,22,TRUE)</f>
        <v>Vũ Đức Vượng</v>
      </c>
    </row>
    <row r="192" spans="1:24">
      <c r="A192" s="18">
        <v>190257</v>
      </c>
      <c r="B192" s="18">
        <v>161393</v>
      </c>
      <c r="C192" s="18">
        <v>161393</v>
      </c>
      <c r="D192" s="18" t="s">
        <v>63</v>
      </c>
      <c r="E192" s="19" t="s">
        <v>473</v>
      </c>
      <c r="F192" s="19" t="s">
        <v>490</v>
      </c>
      <c r="G192" s="20">
        <v>365</v>
      </c>
      <c r="H192" s="21" t="s">
        <v>169</v>
      </c>
      <c r="I192" s="21" t="s">
        <v>228</v>
      </c>
      <c r="J192" s="21" t="s">
        <v>417</v>
      </c>
      <c r="K192" s="22">
        <v>46046</v>
      </c>
      <c r="L192" s="21" t="s">
        <v>475</v>
      </c>
      <c r="M192" s="21" t="s">
        <v>358</v>
      </c>
      <c r="N192" s="20">
        <v>670</v>
      </c>
      <c r="O192" s="20">
        <v>40</v>
      </c>
      <c r="P192" s="20" t="s">
        <v>163</v>
      </c>
      <c r="Q192" s="20">
        <v>674</v>
      </c>
      <c r="R192" s="20" t="s">
        <v>360</v>
      </c>
      <c r="S192" s="20" t="s">
        <v>361</v>
      </c>
      <c r="T192" s="18" t="s">
        <v>362</v>
      </c>
      <c r="U192" s="18">
        <v>190257</v>
      </c>
      <c r="V192" s="20" t="s">
        <v>26</v>
      </c>
      <c r="W192" s="20">
        <v>69</v>
      </c>
      <c r="X192" t="str">
        <f>VLOOKUP(C192,VN_ICT!B:W,22,TRUE)</f>
        <v>Tạ Duy Hoàng</v>
      </c>
    </row>
    <row r="193" spans="1:24">
      <c r="A193" s="18">
        <v>190258</v>
      </c>
      <c r="B193" s="18">
        <v>161394</v>
      </c>
      <c r="C193" s="18">
        <v>161394</v>
      </c>
      <c r="D193" s="18" t="s">
        <v>63</v>
      </c>
      <c r="E193" s="19" t="s">
        <v>473</v>
      </c>
      <c r="F193" s="19" t="s">
        <v>492</v>
      </c>
      <c r="G193" s="20">
        <v>365</v>
      </c>
      <c r="H193" s="21" t="s">
        <v>169</v>
      </c>
      <c r="I193" s="21" t="s">
        <v>228</v>
      </c>
      <c r="J193" s="21" t="s">
        <v>417</v>
      </c>
      <c r="K193" s="22">
        <v>46046</v>
      </c>
      <c r="L193" s="21" t="s">
        <v>475</v>
      </c>
      <c r="M193" s="21" t="s">
        <v>358</v>
      </c>
      <c r="N193" s="20">
        <v>670</v>
      </c>
      <c r="O193" s="20">
        <v>40</v>
      </c>
      <c r="P193" s="20" t="s">
        <v>163</v>
      </c>
      <c r="Q193" s="20">
        <v>674</v>
      </c>
      <c r="R193" s="20" t="s">
        <v>360</v>
      </c>
      <c r="S193" s="20" t="s">
        <v>361</v>
      </c>
      <c r="T193" s="18" t="s">
        <v>362</v>
      </c>
      <c r="U193" s="18">
        <v>190258</v>
      </c>
      <c r="V193" s="20" t="s">
        <v>480</v>
      </c>
      <c r="W193" s="20">
        <v>69</v>
      </c>
      <c r="X193" t="str">
        <f>VLOOKUP(C193,VN_ICT!B:W,22,TRUE)</f>
        <v>Nguyễn Hồng Quang</v>
      </c>
    </row>
    <row r="194" spans="1:24">
      <c r="A194" s="18">
        <v>190259</v>
      </c>
      <c r="B194" s="18">
        <v>161395</v>
      </c>
      <c r="C194" s="18">
        <v>161395</v>
      </c>
      <c r="D194" s="18" t="s">
        <v>63</v>
      </c>
      <c r="E194" s="19" t="s">
        <v>473</v>
      </c>
      <c r="F194" s="19" t="s">
        <v>493</v>
      </c>
      <c r="G194" s="20">
        <v>365</v>
      </c>
      <c r="H194" s="21" t="s">
        <v>169</v>
      </c>
      <c r="I194" s="21" t="s">
        <v>228</v>
      </c>
      <c r="J194" s="21" t="s">
        <v>417</v>
      </c>
      <c r="K194" s="22">
        <v>46046</v>
      </c>
      <c r="L194" s="21" t="s">
        <v>475</v>
      </c>
      <c r="M194" s="21" t="s">
        <v>358</v>
      </c>
      <c r="N194" s="20">
        <v>670</v>
      </c>
      <c r="O194" s="20">
        <v>40</v>
      </c>
      <c r="P194" s="20" t="s">
        <v>163</v>
      </c>
      <c r="Q194" s="20">
        <v>674</v>
      </c>
      <c r="R194" s="20" t="s">
        <v>360</v>
      </c>
      <c r="S194" s="20" t="s">
        <v>361</v>
      </c>
      <c r="T194" s="18" t="s">
        <v>362</v>
      </c>
      <c r="U194" s="18">
        <v>190259</v>
      </c>
      <c r="V194" s="20" t="s">
        <v>25</v>
      </c>
      <c r="W194" s="20">
        <v>69</v>
      </c>
      <c r="X194" t="str">
        <f>VLOOKUP(C194,VN_ICT!B:W,22,TRUE)</f>
        <v>Nguyễn Quốc Tuấn</v>
      </c>
    </row>
    <row r="195" spans="1:24" hidden="1">
      <c r="A195" s="18">
        <v>190048</v>
      </c>
      <c r="B195" s="18">
        <v>161396</v>
      </c>
      <c r="C195" s="18">
        <v>161396</v>
      </c>
      <c r="D195" s="18" t="s">
        <v>632</v>
      </c>
      <c r="E195" s="19" t="s">
        <v>633</v>
      </c>
      <c r="F195" s="19" t="s">
        <v>666</v>
      </c>
      <c r="G195" s="20">
        <v>365</v>
      </c>
      <c r="H195" s="21" t="s">
        <v>169</v>
      </c>
      <c r="I195" s="21" t="s">
        <v>164</v>
      </c>
      <c r="J195" s="21" t="s">
        <v>278</v>
      </c>
      <c r="K195" s="22">
        <v>46049</v>
      </c>
      <c r="L195" s="21" t="s">
        <v>13</v>
      </c>
      <c r="M195" s="101" t="s">
        <v>667</v>
      </c>
      <c r="N195" s="20">
        <v>670</v>
      </c>
      <c r="O195" s="20">
        <v>61</v>
      </c>
      <c r="P195" s="20" t="s">
        <v>163</v>
      </c>
      <c r="Q195" s="20">
        <v>674</v>
      </c>
      <c r="R195" s="20" t="s">
        <v>360</v>
      </c>
      <c r="S195" s="20" t="s">
        <v>361</v>
      </c>
      <c r="T195" s="18" t="s">
        <v>362</v>
      </c>
      <c r="U195" s="18">
        <v>190048</v>
      </c>
      <c r="V195" s="20" t="s">
        <v>579</v>
      </c>
      <c r="W195" s="20">
        <v>69</v>
      </c>
      <c r="X195" t="str">
        <f>VLOOKUP(C195,VN_ICT!B:W,22,TRUE)</f>
        <v>Nguyễn Thị Thu Hương</v>
      </c>
    </row>
    <row r="196" spans="1:24" hidden="1">
      <c r="A196" s="18">
        <v>190049</v>
      </c>
      <c r="B196" s="18">
        <v>161397</v>
      </c>
      <c r="C196" s="18">
        <v>161397</v>
      </c>
      <c r="D196" s="18" t="s">
        <v>632</v>
      </c>
      <c r="E196" s="19" t="s">
        <v>633</v>
      </c>
      <c r="F196" s="19" t="s">
        <v>668</v>
      </c>
      <c r="G196" s="20">
        <v>365</v>
      </c>
      <c r="H196" s="21" t="s">
        <v>169</v>
      </c>
      <c r="I196" s="21" t="s">
        <v>164</v>
      </c>
      <c r="J196" s="21" t="s">
        <v>278</v>
      </c>
      <c r="K196" s="22">
        <v>46049</v>
      </c>
      <c r="L196" s="21" t="s">
        <v>13</v>
      </c>
      <c r="M196" s="21" t="s">
        <v>363</v>
      </c>
      <c r="N196" s="20">
        <v>670</v>
      </c>
      <c r="O196" s="20">
        <v>60</v>
      </c>
      <c r="P196" s="20" t="s">
        <v>163</v>
      </c>
      <c r="Q196" s="20">
        <v>674</v>
      </c>
      <c r="R196" s="20" t="s">
        <v>360</v>
      </c>
      <c r="S196" s="20" t="s">
        <v>361</v>
      </c>
      <c r="T196" s="18" t="s">
        <v>362</v>
      </c>
      <c r="U196" s="18">
        <v>190049</v>
      </c>
      <c r="V196" s="20" t="s">
        <v>406</v>
      </c>
      <c r="W196" s="20">
        <v>69</v>
      </c>
      <c r="X196" t="str">
        <f>VLOOKUP(C196,VN_ICT!B:W,22,TRUE)</f>
        <v>Đào Xuân Việt</v>
      </c>
    </row>
    <row r="197" spans="1:24" hidden="1">
      <c r="A197" s="18">
        <v>190050</v>
      </c>
      <c r="B197" s="18">
        <v>161398</v>
      </c>
      <c r="C197" s="18">
        <v>161398</v>
      </c>
      <c r="D197" s="18" t="s">
        <v>632</v>
      </c>
      <c r="E197" s="19" t="s">
        <v>633</v>
      </c>
      <c r="F197" s="19" t="s">
        <v>669</v>
      </c>
      <c r="G197" s="20">
        <v>365</v>
      </c>
      <c r="H197" s="21" t="s">
        <v>169</v>
      </c>
      <c r="I197" s="21" t="s">
        <v>164</v>
      </c>
      <c r="J197" s="21" t="s">
        <v>278</v>
      </c>
      <c r="K197" s="22">
        <v>46049</v>
      </c>
      <c r="L197" s="21" t="s">
        <v>13</v>
      </c>
      <c r="M197" s="21" t="s">
        <v>363</v>
      </c>
      <c r="N197" s="20">
        <v>670</v>
      </c>
      <c r="O197" s="20">
        <v>59</v>
      </c>
      <c r="P197" s="20" t="s">
        <v>163</v>
      </c>
      <c r="Q197" s="20">
        <v>674</v>
      </c>
      <c r="R197" s="20" t="s">
        <v>360</v>
      </c>
      <c r="S197" s="20" t="s">
        <v>361</v>
      </c>
      <c r="T197" s="18" t="s">
        <v>362</v>
      </c>
      <c r="U197" s="18">
        <v>190050</v>
      </c>
      <c r="V197" s="20" t="s">
        <v>577</v>
      </c>
      <c r="W197" s="20">
        <v>69</v>
      </c>
      <c r="X197" t="str">
        <f>VLOOKUP(C197,VN_ICT!B:W,22,TRUE)</f>
        <v>Nguyễn Thị Lan</v>
      </c>
    </row>
    <row r="198" spans="1:24" hidden="1">
      <c r="A198" s="18">
        <v>190051</v>
      </c>
      <c r="B198" s="18">
        <v>161399</v>
      </c>
      <c r="C198" s="18">
        <v>161399</v>
      </c>
      <c r="D198" s="18" t="s">
        <v>632</v>
      </c>
      <c r="E198" s="19" t="s">
        <v>633</v>
      </c>
      <c r="F198" s="19" t="s">
        <v>670</v>
      </c>
      <c r="G198" s="20">
        <v>365</v>
      </c>
      <c r="H198" s="21" t="s">
        <v>169</v>
      </c>
      <c r="I198" s="21" t="s">
        <v>164</v>
      </c>
      <c r="J198" s="21" t="s">
        <v>278</v>
      </c>
      <c r="K198" s="22">
        <v>46049</v>
      </c>
      <c r="L198" s="21" t="s">
        <v>13</v>
      </c>
      <c r="M198" s="21" t="s">
        <v>579</v>
      </c>
      <c r="N198" s="20">
        <v>670</v>
      </c>
      <c r="O198" s="20">
        <v>36</v>
      </c>
      <c r="P198" s="20" t="s">
        <v>163</v>
      </c>
      <c r="Q198" s="20">
        <v>674</v>
      </c>
      <c r="R198" s="20" t="s">
        <v>360</v>
      </c>
      <c r="S198" s="20" t="s">
        <v>361</v>
      </c>
      <c r="T198" s="18" t="s">
        <v>362</v>
      </c>
      <c r="U198" s="18">
        <v>190051</v>
      </c>
      <c r="V198" s="20" t="s">
        <v>579</v>
      </c>
      <c r="W198" s="20">
        <v>69</v>
      </c>
      <c r="X198" t="str">
        <f>VLOOKUP(C198,VN_ICT!B:W,22,TRUE)</f>
        <v>Dương Thanh Tùng</v>
      </c>
    </row>
    <row r="199" spans="1:24" hidden="1">
      <c r="A199" s="18">
        <v>187488</v>
      </c>
      <c r="B199" s="18">
        <v>161401</v>
      </c>
      <c r="C199" s="18">
        <v>161400</v>
      </c>
      <c r="D199" s="18" t="s">
        <v>671</v>
      </c>
      <c r="E199" s="19" t="s">
        <v>672</v>
      </c>
      <c r="F199" s="19" t="s">
        <v>673</v>
      </c>
      <c r="G199" s="20">
        <v>365</v>
      </c>
      <c r="H199" s="21" t="s">
        <v>169</v>
      </c>
      <c r="I199" s="21" t="s">
        <v>164</v>
      </c>
      <c r="J199" s="21" t="s">
        <v>283</v>
      </c>
      <c r="K199" s="22">
        <v>46051</v>
      </c>
      <c r="L199" s="21" t="s">
        <v>12</v>
      </c>
      <c r="M199" s="21" t="s">
        <v>674</v>
      </c>
      <c r="N199" s="20">
        <v>670</v>
      </c>
      <c r="O199" s="20">
        <v>67</v>
      </c>
      <c r="P199" s="20" t="s">
        <v>163</v>
      </c>
      <c r="Q199" s="20">
        <v>674</v>
      </c>
      <c r="R199" s="20" t="s">
        <v>360</v>
      </c>
      <c r="S199" s="20" t="s">
        <v>624</v>
      </c>
      <c r="T199" s="18" t="s">
        <v>625</v>
      </c>
      <c r="U199" s="18">
        <v>187488</v>
      </c>
      <c r="V199" s="20"/>
      <c r="W199" s="20">
        <v>69</v>
      </c>
      <c r="X199">
        <f>VLOOKUP(C199,VN_ICT!B:W,22,TRUE)</f>
        <v>0</v>
      </c>
    </row>
    <row r="200" spans="1:24" hidden="1">
      <c r="A200" s="18">
        <v>187489</v>
      </c>
      <c r="B200" s="18">
        <v>161402</v>
      </c>
      <c r="C200" s="18">
        <v>161400</v>
      </c>
      <c r="D200" s="18" t="s">
        <v>671</v>
      </c>
      <c r="E200" s="19" t="s">
        <v>672</v>
      </c>
      <c r="F200" s="19" t="s">
        <v>675</v>
      </c>
      <c r="G200" s="20">
        <v>365</v>
      </c>
      <c r="H200" s="21" t="s">
        <v>169</v>
      </c>
      <c r="I200" s="21" t="s">
        <v>164</v>
      </c>
      <c r="J200" s="21" t="s">
        <v>283</v>
      </c>
      <c r="K200" s="22">
        <v>46051</v>
      </c>
      <c r="L200" s="21" t="s">
        <v>12</v>
      </c>
      <c r="M200" s="21" t="s">
        <v>676</v>
      </c>
      <c r="N200" s="20">
        <v>670</v>
      </c>
      <c r="O200" s="20">
        <v>65</v>
      </c>
      <c r="P200" s="20" t="s">
        <v>163</v>
      </c>
      <c r="Q200" s="20">
        <v>674</v>
      </c>
      <c r="R200" s="20" t="s">
        <v>360</v>
      </c>
      <c r="S200" s="20" t="s">
        <v>624</v>
      </c>
      <c r="T200" s="18" t="s">
        <v>625</v>
      </c>
      <c r="U200" s="18">
        <v>187489</v>
      </c>
      <c r="V200" s="20"/>
      <c r="W200" s="20">
        <v>69</v>
      </c>
      <c r="X200">
        <f>VLOOKUP(C200,VN_ICT!B:W,22,TRUE)</f>
        <v>0</v>
      </c>
    </row>
    <row r="201" spans="1:24" hidden="1">
      <c r="A201" s="18">
        <v>189278</v>
      </c>
      <c r="B201" s="18">
        <v>161404</v>
      </c>
      <c r="C201" s="18">
        <v>161403</v>
      </c>
      <c r="D201" s="18" t="s">
        <v>677</v>
      </c>
      <c r="E201" s="19" t="s">
        <v>678</v>
      </c>
      <c r="F201" s="19" t="s">
        <v>673</v>
      </c>
      <c r="G201" s="20">
        <v>365</v>
      </c>
      <c r="H201" s="21" t="s">
        <v>169</v>
      </c>
      <c r="I201" s="21" t="s">
        <v>194</v>
      </c>
      <c r="J201" s="21" t="s">
        <v>278</v>
      </c>
      <c r="K201" s="22">
        <v>46056</v>
      </c>
      <c r="L201" s="21" t="s">
        <v>11</v>
      </c>
      <c r="M201" s="21" t="s">
        <v>378</v>
      </c>
      <c r="N201" s="20">
        <v>670</v>
      </c>
      <c r="O201" s="20">
        <v>56</v>
      </c>
      <c r="P201" s="20" t="s">
        <v>163</v>
      </c>
      <c r="Q201" s="20">
        <v>674</v>
      </c>
      <c r="R201" s="20" t="s">
        <v>360</v>
      </c>
      <c r="S201" s="20" t="s">
        <v>679</v>
      </c>
      <c r="T201" s="18" t="s">
        <v>680</v>
      </c>
      <c r="U201" s="18">
        <v>189278</v>
      </c>
      <c r="V201" s="20"/>
      <c r="W201" s="20">
        <v>69</v>
      </c>
      <c r="X201">
        <f>VLOOKUP(C201,VN_ICT!B:W,22,TRUE)</f>
        <v>0</v>
      </c>
    </row>
    <row r="202" spans="1:24" hidden="1">
      <c r="A202" s="18">
        <v>189279</v>
      </c>
      <c r="B202" s="18">
        <v>161405</v>
      </c>
      <c r="C202" s="18">
        <v>161403</v>
      </c>
      <c r="D202" s="18" t="s">
        <v>677</v>
      </c>
      <c r="E202" s="19" t="s">
        <v>678</v>
      </c>
      <c r="F202" s="19" t="s">
        <v>675</v>
      </c>
      <c r="G202" s="20">
        <v>365</v>
      </c>
      <c r="H202" s="21" t="s">
        <v>169</v>
      </c>
      <c r="I202" s="21" t="s">
        <v>194</v>
      </c>
      <c r="J202" s="21" t="s">
        <v>278</v>
      </c>
      <c r="K202" s="22">
        <v>46056</v>
      </c>
      <c r="L202" s="21" t="s">
        <v>11</v>
      </c>
      <c r="M202" s="21" t="s">
        <v>378</v>
      </c>
      <c r="N202" s="20">
        <v>670</v>
      </c>
      <c r="O202" s="20">
        <v>59</v>
      </c>
      <c r="P202" s="20" t="s">
        <v>163</v>
      </c>
      <c r="Q202" s="20">
        <v>674</v>
      </c>
      <c r="R202" s="20" t="s">
        <v>360</v>
      </c>
      <c r="S202" s="20" t="s">
        <v>679</v>
      </c>
      <c r="T202" s="18" t="s">
        <v>680</v>
      </c>
      <c r="U202" s="18">
        <v>189279</v>
      </c>
      <c r="V202" s="20"/>
      <c r="W202" s="20">
        <v>69</v>
      </c>
      <c r="X202">
        <f>VLOOKUP(C202,VN_ICT!B:W,22,TRUE)</f>
        <v>0</v>
      </c>
    </row>
    <row r="203" spans="1:24" hidden="1">
      <c r="A203" s="18">
        <v>189281</v>
      </c>
      <c r="B203" s="18">
        <v>161407</v>
      </c>
      <c r="C203" s="18">
        <v>161406</v>
      </c>
      <c r="D203" s="18" t="s">
        <v>677</v>
      </c>
      <c r="E203" s="19" t="s">
        <v>678</v>
      </c>
      <c r="F203" s="19" t="s">
        <v>681</v>
      </c>
      <c r="G203" s="20">
        <v>130</v>
      </c>
      <c r="H203" s="21" t="s">
        <v>193</v>
      </c>
      <c r="I203" s="21" t="s">
        <v>194</v>
      </c>
      <c r="J203" s="21" t="s">
        <v>278</v>
      </c>
      <c r="K203" s="22">
        <v>46056</v>
      </c>
      <c r="L203" s="21" t="s">
        <v>11</v>
      </c>
      <c r="M203" s="21" t="s">
        <v>363</v>
      </c>
      <c r="N203" s="20">
        <v>670</v>
      </c>
      <c r="O203" s="20">
        <v>42</v>
      </c>
      <c r="P203" s="20" t="s">
        <v>163</v>
      </c>
      <c r="Q203" s="20">
        <v>674</v>
      </c>
      <c r="R203" s="20" t="s">
        <v>360</v>
      </c>
      <c r="S203" s="20" t="s">
        <v>679</v>
      </c>
      <c r="T203" s="18" t="s">
        <v>680</v>
      </c>
      <c r="U203" s="18">
        <v>189281</v>
      </c>
      <c r="V203" s="20"/>
      <c r="W203" s="20">
        <v>69</v>
      </c>
      <c r="X203">
        <f>VLOOKUP(C203,VN_ICT!B:W,22,TRUE)</f>
        <v>0</v>
      </c>
    </row>
    <row r="204" spans="1:24" hidden="1">
      <c r="A204" s="18">
        <v>189280</v>
      </c>
      <c r="B204" s="18">
        <v>161407</v>
      </c>
      <c r="C204" s="18">
        <v>161406</v>
      </c>
      <c r="D204" s="18" t="s">
        <v>677</v>
      </c>
      <c r="E204" s="19" t="s">
        <v>678</v>
      </c>
      <c r="F204" s="19" t="s">
        <v>681</v>
      </c>
      <c r="G204" s="20">
        <v>131</v>
      </c>
      <c r="H204" s="21" t="s">
        <v>196</v>
      </c>
      <c r="I204" s="21" t="s">
        <v>194</v>
      </c>
      <c r="J204" s="21" t="s">
        <v>278</v>
      </c>
      <c r="K204" s="22">
        <v>46056</v>
      </c>
      <c r="L204" s="21" t="s">
        <v>11</v>
      </c>
      <c r="M204" s="21" t="s">
        <v>363</v>
      </c>
      <c r="N204" s="20">
        <v>670</v>
      </c>
      <c r="O204" s="20">
        <v>42</v>
      </c>
      <c r="P204" s="20" t="s">
        <v>163</v>
      </c>
      <c r="Q204" s="20">
        <v>674</v>
      </c>
      <c r="R204" s="20" t="s">
        <v>360</v>
      </c>
      <c r="S204" s="20" t="s">
        <v>679</v>
      </c>
      <c r="T204" s="18" t="s">
        <v>680</v>
      </c>
      <c r="U204" s="18">
        <v>189280</v>
      </c>
      <c r="V204" s="20"/>
      <c r="W204" s="20">
        <v>69</v>
      </c>
      <c r="X204">
        <f>VLOOKUP(C204,VN_ICT!B:W,22,TRUE)</f>
        <v>0</v>
      </c>
    </row>
    <row r="205" spans="1:24" hidden="1">
      <c r="A205" s="18">
        <v>189693</v>
      </c>
      <c r="B205" s="18">
        <v>161409</v>
      </c>
      <c r="C205" s="18">
        <v>161408</v>
      </c>
      <c r="D205" s="18" t="s">
        <v>682</v>
      </c>
      <c r="E205" s="19" t="s">
        <v>683</v>
      </c>
      <c r="F205" s="19" t="s">
        <v>673</v>
      </c>
      <c r="G205" s="20">
        <v>365</v>
      </c>
      <c r="H205" s="21" t="s">
        <v>169</v>
      </c>
      <c r="I205" s="21" t="s">
        <v>228</v>
      </c>
      <c r="J205" s="21" t="s">
        <v>283</v>
      </c>
      <c r="K205" s="22">
        <v>46044</v>
      </c>
      <c r="L205" s="21" t="s">
        <v>11</v>
      </c>
      <c r="M205" s="21" t="s">
        <v>378</v>
      </c>
      <c r="N205" s="20">
        <v>670</v>
      </c>
      <c r="O205" s="20">
        <v>60</v>
      </c>
      <c r="P205" s="20" t="s">
        <v>163</v>
      </c>
      <c r="Q205" s="20">
        <v>674</v>
      </c>
      <c r="R205" s="20" t="s">
        <v>360</v>
      </c>
      <c r="S205" s="20" t="s">
        <v>684</v>
      </c>
      <c r="T205" s="18" t="s">
        <v>685</v>
      </c>
      <c r="U205" s="18">
        <v>189693</v>
      </c>
      <c r="V205" s="20"/>
      <c r="W205" s="20">
        <v>69</v>
      </c>
      <c r="X205">
        <f>VLOOKUP(C205,VN_ICT!B:W,22,TRUE)</f>
        <v>0</v>
      </c>
    </row>
    <row r="206" spans="1:24" hidden="1">
      <c r="A206" s="18">
        <v>189694</v>
      </c>
      <c r="B206" s="18">
        <v>161410</v>
      </c>
      <c r="C206" s="18">
        <v>161408</v>
      </c>
      <c r="D206" s="18" t="s">
        <v>682</v>
      </c>
      <c r="E206" s="19" t="s">
        <v>683</v>
      </c>
      <c r="F206" s="19" t="s">
        <v>675</v>
      </c>
      <c r="G206" s="20">
        <v>365</v>
      </c>
      <c r="H206" s="21" t="s">
        <v>169</v>
      </c>
      <c r="I206" s="21" t="s">
        <v>228</v>
      </c>
      <c r="J206" s="21" t="s">
        <v>283</v>
      </c>
      <c r="K206" s="22">
        <v>46044</v>
      </c>
      <c r="L206" s="21" t="s">
        <v>11</v>
      </c>
      <c r="M206" s="21" t="s">
        <v>378</v>
      </c>
      <c r="N206" s="20">
        <v>670</v>
      </c>
      <c r="O206" s="20">
        <v>58</v>
      </c>
      <c r="P206" s="20" t="s">
        <v>163</v>
      </c>
      <c r="Q206" s="20">
        <v>674</v>
      </c>
      <c r="R206" s="20" t="s">
        <v>360</v>
      </c>
      <c r="S206" s="20" t="s">
        <v>684</v>
      </c>
      <c r="T206" s="18" t="s">
        <v>685</v>
      </c>
      <c r="U206" s="18">
        <v>189694</v>
      </c>
      <c r="V206" s="20"/>
      <c r="W206" s="20">
        <v>69</v>
      </c>
      <c r="X206">
        <f>VLOOKUP(C206,VN_ICT!B:W,22,TRUE)</f>
        <v>0</v>
      </c>
    </row>
    <row r="207" spans="1:24">
      <c r="A207" s="18">
        <v>190089</v>
      </c>
      <c r="B207" s="18">
        <v>161411</v>
      </c>
      <c r="C207" s="18">
        <v>161411</v>
      </c>
      <c r="D207" s="18" t="s">
        <v>494</v>
      </c>
      <c r="E207" s="19" t="s">
        <v>495</v>
      </c>
      <c r="F207" s="19" t="s">
        <v>496</v>
      </c>
      <c r="G207" s="20">
        <v>131</v>
      </c>
      <c r="H207" s="21" t="s">
        <v>196</v>
      </c>
      <c r="I207" s="21" t="s">
        <v>194</v>
      </c>
      <c r="J207" s="21" t="s">
        <v>283</v>
      </c>
      <c r="K207" s="22">
        <v>46058</v>
      </c>
      <c r="L207" s="21" t="s">
        <v>12</v>
      </c>
      <c r="M207" s="21" t="s">
        <v>358</v>
      </c>
      <c r="N207" s="20">
        <v>670</v>
      </c>
      <c r="O207" s="20">
        <v>43</v>
      </c>
      <c r="P207" s="20" t="s">
        <v>163</v>
      </c>
      <c r="Q207" s="20">
        <v>674</v>
      </c>
      <c r="R207" s="20" t="s">
        <v>360</v>
      </c>
      <c r="S207" s="20" t="s">
        <v>361</v>
      </c>
      <c r="T207" s="18" t="s">
        <v>362</v>
      </c>
      <c r="U207" s="18">
        <v>190089</v>
      </c>
      <c r="V207" s="20" t="s">
        <v>406</v>
      </c>
      <c r="W207" s="20">
        <v>69</v>
      </c>
      <c r="X207" t="str">
        <f>VLOOKUP(C207,VN_ICT!B:W,22,TRUE)</f>
        <v>Nguyễn Khánh Phương</v>
      </c>
    </row>
    <row r="208" spans="1:24">
      <c r="A208" s="18">
        <v>190090</v>
      </c>
      <c r="B208" s="18">
        <v>161411</v>
      </c>
      <c r="C208" s="18">
        <v>161411</v>
      </c>
      <c r="D208" s="18" t="s">
        <v>494</v>
      </c>
      <c r="E208" s="19" t="s">
        <v>495</v>
      </c>
      <c r="F208" s="19" t="s">
        <v>496</v>
      </c>
      <c r="G208" s="20">
        <v>130</v>
      </c>
      <c r="H208" s="21" t="s">
        <v>193</v>
      </c>
      <c r="I208" s="21" t="s">
        <v>194</v>
      </c>
      <c r="J208" s="21" t="s">
        <v>283</v>
      </c>
      <c r="K208" s="22">
        <v>46058</v>
      </c>
      <c r="L208" s="21" t="s">
        <v>12</v>
      </c>
      <c r="M208" s="21" t="s">
        <v>358</v>
      </c>
      <c r="N208" s="20">
        <v>670</v>
      </c>
      <c r="O208" s="20">
        <v>45</v>
      </c>
      <c r="P208" s="20" t="s">
        <v>163</v>
      </c>
      <c r="Q208" s="20">
        <v>674</v>
      </c>
      <c r="R208" s="20" t="s">
        <v>360</v>
      </c>
      <c r="S208" s="20" t="s">
        <v>361</v>
      </c>
      <c r="T208" s="18" t="s">
        <v>362</v>
      </c>
      <c r="U208" s="18">
        <v>190090</v>
      </c>
      <c r="V208" s="20" t="s">
        <v>406</v>
      </c>
      <c r="W208" s="20">
        <v>69</v>
      </c>
      <c r="X208" t="str">
        <f>VLOOKUP(C208,VN_ICT!B:W,22,TRUE)</f>
        <v>Nguyễn Khánh Phương</v>
      </c>
    </row>
    <row r="209" spans="1:24">
      <c r="A209" s="18">
        <v>190091</v>
      </c>
      <c r="B209" s="18">
        <v>161412</v>
      </c>
      <c r="C209" s="18">
        <v>161412</v>
      </c>
      <c r="D209" s="18" t="s">
        <v>494</v>
      </c>
      <c r="E209" s="19" t="s">
        <v>495</v>
      </c>
      <c r="F209" s="19" t="s">
        <v>497</v>
      </c>
      <c r="G209" s="20">
        <v>130</v>
      </c>
      <c r="H209" s="21" t="s">
        <v>193</v>
      </c>
      <c r="I209" s="21" t="s">
        <v>194</v>
      </c>
      <c r="J209" s="21" t="s">
        <v>283</v>
      </c>
      <c r="K209" s="22">
        <v>46058</v>
      </c>
      <c r="L209" s="21" t="s">
        <v>12</v>
      </c>
      <c r="M209" s="21" t="s">
        <v>358</v>
      </c>
      <c r="N209" s="20">
        <v>670</v>
      </c>
      <c r="O209" s="20">
        <v>38</v>
      </c>
      <c r="P209" s="20" t="s">
        <v>163</v>
      </c>
      <c r="Q209" s="20">
        <v>674</v>
      </c>
      <c r="R209" s="20" t="s">
        <v>360</v>
      </c>
      <c r="S209" s="20" t="s">
        <v>361</v>
      </c>
      <c r="T209" s="18" t="s">
        <v>362</v>
      </c>
      <c r="U209" s="18">
        <v>190091</v>
      </c>
      <c r="V209" s="20" t="s">
        <v>498</v>
      </c>
      <c r="W209" s="20">
        <v>69</v>
      </c>
      <c r="X209" t="str">
        <f>VLOOKUP(C209,VN_ICT!B:W,22,TRUE)</f>
        <v>Phạm Quang Dũng</v>
      </c>
    </row>
    <row r="210" spans="1:24">
      <c r="A210" s="18">
        <v>190092</v>
      </c>
      <c r="B210" s="18">
        <v>161412</v>
      </c>
      <c r="C210" s="18">
        <v>161412</v>
      </c>
      <c r="D210" s="18" t="s">
        <v>494</v>
      </c>
      <c r="E210" s="19" t="s">
        <v>495</v>
      </c>
      <c r="F210" s="19" t="s">
        <v>497</v>
      </c>
      <c r="G210" s="20">
        <v>131</v>
      </c>
      <c r="H210" s="21" t="s">
        <v>196</v>
      </c>
      <c r="I210" s="21" t="s">
        <v>194</v>
      </c>
      <c r="J210" s="21" t="s">
        <v>283</v>
      </c>
      <c r="K210" s="22">
        <v>46058</v>
      </c>
      <c r="L210" s="21" t="s">
        <v>12</v>
      </c>
      <c r="M210" s="21" t="s">
        <v>358</v>
      </c>
      <c r="N210" s="20">
        <v>670</v>
      </c>
      <c r="O210" s="20">
        <v>38</v>
      </c>
      <c r="P210" s="20" t="s">
        <v>163</v>
      </c>
      <c r="Q210" s="20">
        <v>674</v>
      </c>
      <c r="R210" s="20" t="s">
        <v>360</v>
      </c>
      <c r="S210" s="20" t="s">
        <v>361</v>
      </c>
      <c r="T210" s="18" t="s">
        <v>362</v>
      </c>
      <c r="U210" s="18">
        <v>190092</v>
      </c>
      <c r="V210" s="20" t="s">
        <v>498</v>
      </c>
      <c r="W210" s="20">
        <v>69</v>
      </c>
      <c r="X210" t="str">
        <f>VLOOKUP(C210,VN_ICT!B:W,22,TRUE)</f>
        <v>Phạm Quang Dũng</v>
      </c>
    </row>
    <row r="211" spans="1:24">
      <c r="A211" s="18">
        <v>190220</v>
      </c>
      <c r="B211" s="18">
        <v>161413</v>
      </c>
      <c r="C211" s="18">
        <v>161413</v>
      </c>
      <c r="D211" s="18" t="s">
        <v>499</v>
      </c>
      <c r="E211" s="19" t="s">
        <v>500</v>
      </c>
      <c r="F211" s="19" t="s">
        <v>496</v>
      </c>
      <c r="G211" s="20">
        <v>131</v>
      </c>
      <c r="H211" s="21" t="s">
        <v>196</v>
      </c>
      <c r="I211" s="21" t="s">
        <v>164</v>
      </c>
      <c r="J211" s="21" t="s">
        <v>215</v>
      </c>
      <c r="K211" s="22">
        <v>46050</v>
      </c>
      <c r="L211" s="21" t="s">
        <v>14</v>
      </c>
      <c r="M211" s="21" t="s">
        <v>358</v>
      </c>
      <c r="N211" s="20">
        <v>670</v>
      </c>
      <c r="O211" s="20">
        <v>54</v>
      </c>
      <c r="P211" s="20" t="s">
        <v>163</v>
      </c>
      <c r="Q211" s="20">
        <v>674</v>
      </c>
      <c r="R211" s="20" t="s">
        <v>360</v>
      </c>
      <c r="S211" s="20" t="s">
        <v>361</v>
      </c>
      <c r="T211" s="18" t="s">
        <v>362</v>
      </c>
      <c r="U211" s="18">
        <v>190220</v>
      </c>
      <c r="V211" s="20" t="s">
        <v>363</v>
      </c>
      <c r="W211" s="20">
        <v>69</v>
      </c>
      <c r="X211" t="str">
        <f>VLOOKUP(C211,VN_ICT!B:W,22,TRUE)</f>
        <v>Phạm Quang Dũng</v>
      </c>
    </row>
    <row r="212" spans="1:24">
      <c r="A212" s="18">
        <v>190221</v>
      </c>
      <c r="B212" s="18">
        <v>161413</v>
      </c>
      <c r="C212" s="18">
        <v>161413</v>
      </c>
      <c r="D212" s="18" t="s">
        <v>499</v>
      </c>
      <c r="E212" s="19" t="s">
        <v>500</v>
      </c>
      <c r="F212" s="19" t="s">
        <v>496</v>
      </c>
      <c r="G212" s="20">
        <v>130</v>
      </c>
      <c r="H212" s="21" t="s">
        <v>193</v>
      </c>
      <c r="I212" s="21" t="s">
        <v>164</v>
      </c>
      <c r="J212" s="21" t="s">
        <v>215</v>
      </c>
      <c r="K212" s="22">
        <v>46050</v>
      </c>
      <c r="L212" s="21" t="s">
        <v>14</v>
      </c>
      <c r="M212" s="21" t="s">
        <v>358</v>
      </c>
      <c r="N212" s="20">
        <v>670</v>
      </c>
      <c r="O212" s="20">
        <v>55</v>
      </c>
      <c r="P212" s="20" t="s">
        <v>163</v>
      </c>
      <c r="Q212" s="20">
        <v>674</v>
      </c>
      <c r="R212" s="20" t="s">
        <v>360</v>
      </c>
      <c r="S212" s="20" t="s">
        <v>361</v>
      </c>
      <c r="T212" s="18" t="s">
        <v>362</v>
      </c>
      <c r="U212" s="18">
        <v>190221</v>
      </c>
      <c r="V212" s="20" t="s">
        <v>363</v>
      </c>
      <c r="W212" s="20">
        <v>69</v>
      </c>
      <c r="X212" t="str">
        <f>VLOOKUP(C212,VN_ICT!B:W,22,TRUE)</f>
        <v>Phạm Quang Dũng</v>
      </c>
    </row>
    <row r="213" spans="1:24">
      <c r="A213" s="18">
        <v>190223</v>
      </c>
      <c r="B213" s="18">
        <v>161414</v>
      </c>
      <c r="C213" s="18">
        <v>161414</v>
      </c>
      <c r="D213" s="18" t="s">
        <v>499</v>
      </c>
      <c r="E213" s="19" t="s">
        <v>500</v>
      </c>
      <c r="F213" s="19" t="s">
        <v>497</v>
      </c>
      <c r="G213" s="20">
        <v>131</v>
      </c>
      <c r="H213" s="21" t="s">
        <v>196</v>
      </c>
      <c r="I213" s="21" t="s">
        <v>164</v>
      </c>
      <c r="J213" s="21" t="s">
        <v>215</v>
      </c>
      <c r="K213" s="22">
        <v>46050</v>
      </c>
      <c r="L213" s="21" t="s">
        <v>14</v>
      </c>
      <c r="M213" s="21" t="s">
        <v>358</v>
      </c>
      <c r="N213" s="20">
        <v>670</v>
      </c>
      <c r="O213" s="20">
        <v>38</v>
      </c>
      <c r="P213" s="20" t="s">
        <v>163</v>
      </c>
      <c r="Q213" s="20">
        <v>674</v>
      </c>
      <c r="R213" s="20" t="s">
        <v>360</v>
      </c>
      <c r="S213" s="20" t="s">
        <v>361</v>
      </c>
      <c r="T213" s="18" t="s">
        <v>362</v>
      </c>
      <c r="U213" s="18">
        <v>190223</v>
      </c>
      <c r="V213" s="20" t="s">
        <v>406</v>
      </c>
      <c r="W213" s="20">
        <v>69</v>
      </c>
      <c r="X213" t="str">
        <f>VLOOKUP(C213,VN_ICT!B:W,22,TRUE)</f>
        <v>Nguyễn Khánh Phương</v>
      </c>
    </row>
    <row r="214" spans="1:24">
      <c r="A214" s="18">
        <v>190222</v>
      </c>
      <c r="B214" s="18">
        <v>161414</v>
      </c>
      <c r="C214" s="18">
        <v>161414</v>
      </c>
      <c r="D214" s="18" t="s">
        <v>499</v>
      </c>
      <c r="E214" s="19" t="s">
        <v>500</v>
      </c>
      <c r="F214" s="19" t="s">
        <v>497</v>
      </c>
      <c r="G214" s="20">
        <v>130</v>
      </c>
      <c r="H214" s="21" t="s">
        <v>193</v>
      </c>
      <c r="I214" s="21" t="s">
        <v>164</v>
      </c>
      <c r="J214" s="21" t="s">
        <v>215</v>
      </c>
      <c r="K214" s="22">
        <v>46050</v>
      </c>
      <c r="L214" s="21" t="s">
        <v>14</v>
      </c>
      <c r="M214" s="21" t="s">
        <v>358</v>
      </c>
      <c r="N214" s="20">
        <v>670</v>
      </c>
      <c r="O214" s="20">
        <v>38</v>
      </c>
      <c r="P214" s="20" t="s">
        <v>163</v>
      </c>
      <c r="Q214" s="20">
        <v>674</v>
      </c>
      <c r="R214" s="20" t="s">
        <v>360</v>
      </c>
      <c r="S214" s="20" t="s">
        <v>361</v>
      </c>
      <c r="T214" s="18" t="s">
        <v>362</v>
      </c>
      <c r="U214" s="18">
        <v>190222</v>
      </c>
      <c r="V214" s="20" t="s">
        <v>406</v>
      </c>
      <c r="W214" s="20">
        <v>69</v>
      </c>
      <c r="X214" t="str">
        <f>VLOOKUP(C214,VN_ICT!B:W,22,TRUE)</f>
        <v>Nguyễn Khánh Phương</v>
      </c>
    </row>
    <row r="215" spans="1:24">
      <c r="A215" s="18">
        <v>190264</v>
      </c>
      <c r="B215" s="18">
        <v>161415</v>
      </c>
      <c r="C215" s="18">
        <v>161415</v>
      </c>
      <c r="D215" s="18" t="s">
        <v>501</v>
      </c>
      <c r="E215" s="19" t="s">
        <v>502</v>
      </c>
      <c r="F215" s="19" t="s">
        <v>503</v>
      </c>
      <c r="G215" s="20">
        <v>130</v>
      </c>
      <c r="H215" s="21" t="s">
        <v>193</v>
      </c>
      <c r="I215" s="21" t="s">
        <v>228</v>
      </c>
      <c r="J215" s="21" t="s">
        <v>215</v>
      </c>
      <c r="K215" s="22">
        <v>46043</v>
      </c>
      <c r="L215" s="21" t="s">
        <v>14</v>
      </c>
      <c r="M215" s="21" t="s">
        <v>358</v>
      </c>
      <c r="N215" s="20">
        <v>670</v>
      </c>
      <c r="O215" s="20">
        <v>40</v>
      </c>
      <c r="P215" s="20" t="s">
        <v>163</v>
      </c>
      <c r="Q215" s="20">
        <v>674</v>
      </c>
      <c r="R215" s="20" t="s">
        <v>360</v>
      </c>
      <c r="S215" s="20" t="s">
        <v>361</v>
      </c>
      <c r="T215" s="18" t="s">
        <v>362</v>
      </c>
      <c r="U215" s="18">
        <v>190264</v>
      </c>
      <c r="V215" s="20" t="s">
        <v>403</v>
      </c>
      <c r="W215" s="20">
        <v>69</v>
      </c>
      <c r="X215" t="str">
        <f>VLOOKUP(C215,VN_ICT!B:W,22,TRUE)</f>
        <v>Phạm Ngọc Hưng</v>
      </c>
    </row>
    <row r="216" spans="1:24">
      <c r="A216" s="18">
        <v>190263</v>
      </c>
      <c r="B216" s="18">
        <v>161415</v>
      </c>
      <c r="C216" s="18">
        <v>161415</v>
      </c>
      <c r="D216" s="18" t="s">
        <v>501</v>
      </c>
      <c r="E216" s="19" t="s">
        <v>502</v>
      </c>
      <c r="F216" s="19" t="s">
        <v>503</v>
      </c>
      <c r="G216" s="20">
        <v>131</v>
      </c>
      <c r="H216" s="21" t="s">
        <v>196</v>
      </c>
      <c r="I216" s="21" t="s">
        <v>228</v>
      </c>
      <c r="J216" s="21" t="s">
        <v>215</v>
      </c>
      <c r="K216" s="22">
        <v>46043</v>
      </c>
      <c r="L216" s="21" t="s">
        <v>14</v>
      </c>
      <c r="M216" s="21" t="s">
        <v>358</v>
      </c>
      <c r="N216" s="20">
        <v>670</v>
      </c>
      <c r="O216" s="20">
        <v>40</v>
      </c>
      <c r="P216" s="20" t="s">
        <v>163</v>
      </c>
      <c r="Q216" s="20">
        <v>674</v>
      </c>
      <c r="R216" s="20" t="s">
        <v>360</v>
      </c>
      <c r="S216" s="20" t="s">
        <v>361</v>
      </c>
      <c r="T216" s="18" t="s">
        <v>362</v>
      </c>
      <c r="U216" s="18">
        <v>190263</v>
      </c>
      <c r="V216" s="20" t="s">
        <v>403</v>
      </c>
      <c r="W216" s="20">
        <v>69</v>
      </c>
      <c r="X216" t="str">
        <f>VLOOKUP(C216,VN_ICT!B:W,22,TRUE)</f>
        <v>Phạm Ngọc Hưng</v>
      </c>
    </row>
    <row r="217" spans="1:24">
      <c r="A217" s="18">
        <v>190266</v>
      </c>
      <c r="B217" s="18">
        <v>161416</v>
      </c>
      <c r="C217" s="18">
        <v>161416</v>
      </c>
      <c r="D217" s="18" t="s">
        <v>501</v>
      </c>
      <c r="E217" s="19" t="s">
        <v>502</v>
      </c>
      <c r="F217" s="19" t="s">
        <v>503</v>
      </c>
      <c r="G217" s="20">
        <v>131</v>
      </c>
      <c r="H217" s="21" t="s">
        <v>196</v>
      </c>
      <c r="I217" s="21" t="s">
        <v>228</v>
      </c>
      <c r="J217" s="21" t="s">
        <v>215</v>
      </c>
      <c r="K217" s="22">
        <v>46043</v>
      </c>
      <c r="L217" s="21" t="s">
        <v>14</v>
      </c>
      <c r="M217" s="21" t="s">
        <v>358</v>
      </c>
      <c r="N217" s="20">
        <v>670</v>
      </c>
      <c r="O217" s="20">
        <v>37</v>
      </c>
      <c r="P217" s="20" t="s">
        <v>163</v>
      </c>
      <c r="Q217" s="20">
        <v>674</v>
      </c>
      <c r="R217" s="20" t="s">
        <v>360</v>
      </c>
      <c r="S217" s="20" t="s">
        <v>361</v>
      </c>
      <c r="T217" s="18" t="s">
        <v>362</v>
      </c>
      <c r="U217" s="18">
        <v>190266</v>
      </c>
      <c r="V217" s="20" t="s">
        <v>446</v>
      </c>
      <c r="W217" s="20">
        <v>69</v>
      </c>
      <c r="X217" t="str">
        <f>VLOOKUP(C217,VN_ICT!B:W,22,TRUE)</f>
        <v>Hoàng Văn Hiệp</v>
      </c>
    </row>
    <row r="218" spans="1:24">
      <c r="A218" s="18">
        <v>190265</v>
      </c>
      <c r="B218" s="18">
        <v>161416</v>
      </c>
      <c r="C218" s="18">
        <v>161416</v>
      </c>
      <c r="D218" s="18" t="s">
        <v>501</v>
      </c>
      <c r="E218" s="19" t="s">
        <v>502</v>
      </c>
      <c r="F218" s="19" t="s">
        <v>503</v>
      </c>
      <c r="G218" s="20">
        <v>130</v>
      </c>
      <c r="H218" s="21" t="s">
        <v>193</v>
      </c>
      <c r="I218" s="21" t="s">
        <v>228</v>
      </c>
      <c r="J218" s="21" t="s">
        <v>215</v>
      </c>
      <c r="K218" s="22">
        <v>46043</v>
      </c>
      <c r="L218" s="21" t="s">
        <v>14</v>
      </c>
      <c r="M218" s="21" t="s">
        <v>358</v>
      </c>
      <c r="N218" s="20">
        <v>670</v>
      </c>
      <c r="O218" s="20">
        <v>37</v>
      </c>
      <c r="P218" s="20" t="s">
        <v>163</v>
      </c>
      <c r="Q218" s="20">
        <v>674</v>
      </c>
      <c r="R218" s="20" t="s">
        <v>360</v>
      </c>
      <c r="S218" s="20" t="s">
        <v>361</v>
      </c>
      <c r="T218" s="18" t="s">
        <v>362</v>
      </c>
      <c r="U218" s="18">
        <v>190265</v>
      </c>
      <c r="V218" s="20" t="s">
        <v>446</v>
      </c>
      <c r="W218" s="20">
        <v>69</v>
      </c>
      <c r="X218" t="str">
        <f>VLOOKUP(C218,VN_ICT!B:W,22,TRUE)</f>
        <v>Hoàng Văn Hiệp</v>
      </c>
    </row>
    <row r="219" spans="1:24">
      <c r="A219" s="18">
        <v>190260</v>
      </c>
      <c r="B219" s="18">
        <v>161417</v>
      </c>
      <c r="C219" s="18">
        <v>161417</v>
      </c>
      <c r="D219" s="18" t="s">
        <v>505</v>
      </c>
      <c r="E219" s="19" t="s">
        <v>506</v>
      </c>
      <c r="F219" s="19" t="s">
        <v>496</v>
      </c>
      <c r="G219" s="20">
        <v>365</v>
      </c>
      <c r="H219" s="21" t="s">
        <v>169</v>
      </c>
      <c r="I219" s="21" t="s">
        <v>164</v>
      </c>
      <c r="J219" s="21" t="s">
        <v>238</v>
      </c>
      <c r="K219" s="22">
        <v>46052</v>
      </c>
      <c r="L219" s="21" t="s">
        <v>11</v>
      </c>
      <c r="M219" s="21" t="s">
        <v>358</v>
      </c>
      <c r="N219" s="20">
        <v>670</v>
      </c>
      <c r="O219" s="20">
        <v>40</v>
      </c>
      <c r="P219" s="20" t="s">
        <v>163</v>
      </c>
      <c r="Q219" s="20">
        <v>674</v>
      </c>
      <c r="R219" s="20" t="s">
        <v>360</v>
      </c>
      <c r="S219" s="20" t="s">
        <v>361</v>
      </c>
      <c r="T219" s="18" t="s">
        <v>362</v>
      </c>
      <c r="U219" s="18">
        <v>190260</v>
      </c>
      <c r="V219" s="20" t="s">
        <v>26</v>
      </c>
      <c r="W219" s="20">
        <v>69</v>
      </c>
      <c r="X219" t="str">
        <f>VLOOKUP(C219,VN_ICT!B:W,22,TRUE)</f>
        <v>Lê Bá Vui (0.5) - Nguyễn Đình Thuận (0.5)</v>
      </c>
    </row>
    <row r="220" spans="1:24">
      <c r="A220" s="18">
        <v>190261</v>
      </c>
      <c r="B220" s="18">
        <v>161418</v>
      </c>
      <c r="C220" s="18">
        <v>161418</v>
      </c>
      <c r="D220" s="18" t="s">
        <v>505</v>
      </c>
      <c r="E220" s="19" t="s">
        <v>506</v>
      </c>
      <c r="F220" s="19" t="s">
        <v>508</v>
      </c>
      <c r="G220" s="20">
        <v>365</v>
      </c>
      <c r="H220" s="21" t="s">
        <v>169</v>
      </c>
      <c r="I220" s="21" t="s">
        <v>164</v>
      </c>
      <c r="J220" s="21" t="s">
        <v>238</v>
      </c>
      <c r="K220" s="22">
        <v>46052</v>
      </c>
      <c r="L220" s="21" t="s">
        <v>11</v>
      </c>
      <c r="M220" s="21" t="s">
        <v>358</v>
      </c>
      <c r="N220" s="20">
        <v>670</v>
      </c>
      <c r="O220" s="20">
        <v>40</v>
      </c>
      <c r="P220" s="20" t="s">
        <v>163</v>
      </c>
      <c r="Q220" s="20">
        <v>674</v>
      </c>
      <c r="R220" s="20" t="s">
        <v>360</v>
      </c>
      <c r="S220" s="20" t="s">
        <v>361</v>
      </c>
      <c r="T220" s="18" t="s">
        <v>362</v>
      </c>
      <c r="U220" s="18">
        <v>190261</v>
      </c>
      <c r="V220" s="20" t="s">
        <v>477</v>
      </c>
      <c r="W220" s="20">
        <v>69</v>
      </c>
      <c r="X220" t="str">
        <f>VLOOKUP(C220,VN_ICT!B:W,22,TRUE)</f>
        <v>Nguyễn Đức Tiến</v>
      </c>
    </row>
    <row r="221" spans="1:24">
      <c r="A221" s="18">
        <v>190262</v>
      </c>
      <c r="B221" s="18">
        <v>161419</v>
      </c>
      <c r="C221" s="18">
        <v>161419</v>
      </c>
      <c r="D221" s="18" t="s">
        <v>505</v>
      </c>
      <c r="E221" s="19" t="s">
        <v>506</v>
      </c>
      <c r="F221" s="19" t="s">
        <v>510</v>
      </c>
      <c r="G221" s="20">
        <v>365</v>
      </c>
      <c r="H221" s="21" t="s">
        <v>169</v>
      </c>
      <c r="I221" s="21" t="s">
        <v>164</v>
      </c>
      <c r="J221" s="21" t="s">
        <v>238</v>
      </c>
      <c r="K221" s="22">
        <v>46052</v>
      </c>
      <c r="L221" s="21" t="s">
        <v>11</v>
      </c>
      <c r="M221" s="21" t="s">
        <v>358</v>
      </c>
      <c r="N221" s="20">
        <v>670</v>
      </c>
      <c r="O221" s="20">
        <v>40</v>
      </c>
      <c r="P221" s="20" t="s">
        <v>163</v>
      </c>
      <c r="Q221" s="20">
        <v>674</v>
      </c>
      <c r="R221" s="20" t="s">
        <v>360</v>
      </c>
      <c r="S221" s="20" t="s">
        <v>361</v>
      </c>
      <c r="T221" s="18" t="s">
        <v>362</v>
      </c>
      <c r="U221" s="18">
        <v>190262</v>
      </c>
      <c r="V221" s="20" t="s">
        <v>26</v>
      </c>
      <c r="W221" s="20">
        <v>69</v>
      </c>
      <c r="X221" t="str">
        <f>VLOOKUP(C221,VN_ICT!B:W,22,TRUE)</f>
        <v>Lê Bá Vui</v>
      </c>
    </row>
    <row r="222" spans="1:24" hidden="1">
      <c r="A222" s="18">
        <v>187490</v>
      </c>
      <c r="B222" s="18">
        <v>161421</v>
      </c>
      <c r="C222" s="18">
        <v>161420</v>
      </c>
      <c r="D222" s="18" t="s">
        <v>671</v>
      </c>
      <c r="E222" s="19" t="s">
        <v>672</v>
      </c>
      <c r="F222" s="19" t="s">
        <v>686</v>
      </c>
      <c r="G222" s="20">
        <v>3723</v>
      </c>
      <c r="H222" s="21" t="s">
        <v>516</v>
      </c>
      <c r="I222" s="21" t="s">
        <v>164</v>
      </c>
      <c r="J222" s="21" t="s">
        <v>283</v>
      </c>
      <c r="K222" s="22">
        <v>46051</v>
      </c>
      <c r="L222" s="21" t="s">
        <v>12</v>
      </c>
      <c r="M222" s="21" t="s">
        <v>363</v>
      </c>
      <c r="N222" s="20">
        <v>670</v>
      </c>
      <c r="O222" s="20">
        <v>67</v>
      </c>
      <c r="P222" s="20" t="s">
        <v>163</v>
      </c>
      <c r="Q222" s="20">
        <v>674</v>
      </c>
      <c r="R222" s="20" t="s">
        <v>360</v>
      </c>
      <c r="S222" s="20" t="s">
        <v>624</v>
      </c>
      <c r="T222" s="18" t="s">
        <v>625</v>
      </c>
      <c r="U222" s="18">
        <v>187490</v>
      </c>
      <c r="V222" s="20"/>
      <c r="W222" s="20">
        <v>70</v>
      </c>
      <c r="X222">
        <f>VLOOKUP(C222,VN_ICT!B:W,22,TRUE)</f>
        <v>0</v>
      </c>
    </row>
    <row r="223" spans="1:24" hidden="1">
      <c r="A223" s="18">
        <v>187491</v>
      </c>
      <c r="B223" s="18">
        <v>161422</v>
      </c>
      <c r="C223" s="18">
        <v>161420</v>
      </c>
      <c r="D223" s="18" t="s">
        <v>671</v>
      </c>
      <c r="E223" s="19" t="s">
        <v>672</v>
      </c>
      <c r="F223" s="19" t="s">
        <v>687</v>
      </c>
      <c r="G223" s="20">
        <v>3724</v>
      </c>
      <c r="H223" s="21" t="s">
        <v>517</v>
      </c>
      <c r="I223" s="21" t="s">
        <v>164</v>
      </c>
      <c r="J223" s="21" t="s">
        <v>283</v>
      </c>
      <c r="K223" s="22">
        <v>46051</v>
      </c>
      <c r="L223" s="21" t="s">
        <v>12</v>
      </c>
      <c r="M223" s="21" t="s">
        <v>363</v>
      </c>
      <c r="N223" s="20">
        <v>670</v>
      </c>
      <c r="O223" s="20">
        <v>65</v>
      </c>
      <c r="P223" s="20" t="s">
        <v>163</v>
      </c>
      <c r="Q223" s="20">
        <v>674</v>
      </c>
      <c r="R223" s="20" t="s">
        <v>360</v>
      </c>
      <c r="S223" s="20" t="s">
        <v>624</v>
      </c>
      <c r="T223" s="18" t="s">
        <v>625</v>
      </c>
      <c r="U223" s="18">
        <v>187491</v>
      </c>
      <c r="V223" s="20"/>
      <c r="W223" s="20">
        <v>70</v>
      </c>
      <c r="X223">
        <f>VLOOKUP(C223,VN_ICT!B:W,22,TRUE)</f>
        <v>0</v>
      </c>
    </row>
    <row r="224" spans="1:24" hidden="1">
      <c r="A224" s="18">
        <v>187492</v>
      </c>
      <c r="B224" s="18">
        <v>161424</v>
      </c>
      <c r="C224" s="18">
        <v>161423</v>
      </c>
      <c r="D224" s="18" t="s">
        <v>671</v>
      </c>
      <c r="E224" s="19" t="s">
        <v>672</v>
      </c>
      <c r="F224" s="19" t="s">
        <v>688</v>
      </c>
      <c r="G224" s="20">
        <v>3726</v>
      </c>
      <c r="H224" s="21" t="s">
        <v>512</v>
      </c>
      <c r="I224" s="21" t="s">
        <v>164</v>
      </c>
      <c r="J224" s="21" t="s">
        <v>283</v>
      </c>
      <c r="K224" s="22">
        <v>46051</v>
      </c>
      <c r="L224" s="21" t="s">
        <v>12</v>
      </c>
      <c r="M224" s="21" t="s">
        <v>378</v>
      </c>
      <c r="N224" s="20">
        <v>670</v>
      </c>
      <c r="O224" s="20">
        <v>64</v>
      </c>
      <c r="P224" s="20" t="s">
        <v>163</v>
      </c>
      <c r="Q224" s="20">
        <v>674</v>
      </c>
      <c r="R224" s="20" t="s">
        <v>360</v>
      </c>
      <c r="S224" s="20" t="s">
        <v>624</v>
      </c>
      <c r="T224" s="18" t="s">
        <v>625</v>
      </c>
      <c r="U224" s="18">
        <v>187492</v>
      </c>
      <c r="V224" s="20"/>
      <c r="W224" s="20">
        <v>70</v>
      </c>
      <c r="X224">
        <f>VLOOKUP(C224,VN_ICT!B:W,22,TRUE)</f>
        <v>0</v>
      </c>
    </row>
    <row r="225" spans="1:24" hidden="1">
      <c r="A225" s="18">
        <v>187493</v>
      </c>
      <c r="B225" s="18">
        <v>161425</v>
      </c>
      <c r="C225" s="18">
        <v>161423</v>
      </c>
      <c r="D225" s="18" t="s">
        <v>671</v>
      </c>
      <c r="E225" s="19" t="s">
        <v>672</v>
      </c>
      <c r="F225" s="19" t="s">
        <v>689</v>
      </c>
      <c r="G225" s="20">
        <v>3725</v>
      </c>
      <c r="H225" s="21" t="s">
        <v>519</v>
      </c>
      <c r="I225" s="21" t="s">
        <v>164</v>
      </c>
      <c r="J225" s="21" t="s">
        <v>283</v>
      </c>
      <c r="K225" s="22">
        <v>46051</v>
      </c>
      <c r="L225" s="21" t="s">
        <v>12</v>
      </c>
      <c r="M225" s="21" t="s">
        <v>378</v>
      </c>
      <c r="N225" s="20">
        <v>670</v>
      </c>
      <c r="O225" s="20">
        <v>65</v>
      </c>
      <c r="P225" s="20" t="s">
        <v>163</v>
      </c>
      <c r="Q225" s="20">
        <v>674</v>
      </c>
      <c r="R225" s="20" t="s">
        <v>360</v>
      </c>
      <c r="S225" s="20" t="s">
        <v>624</v>
      </c>
      <c r="T225" s="18" t="s">
        <v>625</v>
      </c>
      <c r="U225" s="18">
        <v>187493</v>
      </c>
      <c r="V225" s="20"/>
      <c r="W225" s="20">
        <v>70</v>
      </c>
      <c r="X225">
        <f>VLOOKUP(C225,VN_ICT!B:W,22,TRUE)</f>
        <v>0</v>
      </c>
    </row>
    <row r="226" spans="1:24" hidden="1">
      <c r="A226" s="18">
        <v>190603</v>
      </c>
      <c r="B226" s="18">
        <v>161427</v>
      </c>
      <c r="C226" s="18">
        <v>161427</v>
      </c>
      <c r="D226" s="18" t="s">
        <v>690</v>
      </c>
      <c r="E226" s="19" t="s">
        <v>691</v>
      </c>
      <c r="F226" s="19" t="s">
        <v>692</v>
      </c>
      <c r="G226" s="20">
        <v>365</v>
      </c>
      <c r="H226" s="21" t="s">
        <v>169</v>
      </c>
      <c r="I226" s="20" t="s">
        <v>164</v>
      </c>
      <c r="J226" s="21" t="s">
        <v>165</v>
      </c>
      <c r="K226" s="22">
        <v>46048</v>
      </c>
      <c r="L226" s="21" t="s">
        <v>13</v>
      </c>
      <c r="M226" s="21" t="s">
        <v>446</v>
      </c>
      <c r="N226" s="20">
        <v>670</v>
      </c>
      <c r="O226" s="20">
        <v>28</v>
      </c>
      <c r="P226" s="20" t="s">
        <v>163</v>
      </c>
      <c r="Q226" s="20">
        <v>674</v>
      </c>
      <c r="R226" s="20" t="s">
        <v>360</v>
      </c>
      <c r="S226" s="20" t="s">
        <v>361</v>
      </c>
      <c r="T226" s="18" t="s">
        <v>362</v>
      </c>
      <c r="U226" s="18">
        <v>190603</v>
      </c>
      <c r="V226" s="20" t="s">
        <v>693</v>
      </c>
      <c r="W226" s="20">
        <v>70</v>
      </c>
      <c r="X226" t="str">
        <f>VLOOKUP(C226,VN_ICT!B:W,22,TRUE)</f>
        <v>Lương Thị Phương Liên</v>
      </c>
    </row>
    <row r="227" spans="1:24" hidden="1">
      <c r="A227" s="18">
        <v>190604</v>
      </c>
      <c r="B227" s="18">
        <v>161428</v>
      </c>
      <c r="C227" s="18">
        <v>161428</v>
      </c>
      <c r="D227" s="18" t="s">
        <v>690</v>
      </c>
      <c r="E227" s="19" t="s">
        <v>691</v>
      </c>
      <c r="F227" s="19" t="s">
        <v>694</v>
      </c>
      <c r="G227" s="20">
        <v>365</v>
      </c>
      <c r="H227" s="21" t="s">
        <v>169</v>
      </c>
      <c r="I227" s="20" t="s">
        <v>164</v>
      </c>
      <c r="J227" s="21" t="s">
        <v>165</v>
      </c>
      <c r="K227" s="22">
        <v>46048</v>
      </c>
      <c r="L227" s="21" t="s">
        <v>13</v>
      </c>
      <c r="M227" s="21" t="s">
        <v>577</v>
      </c>
      <c r="N227" s="20">
        <v>670</v>
      </c>
      <c r="O227" s="20">
        <v>26</v>
      </c>
      <c r="P227" s="20" t="s">
        <v>163</v>
      </c>
      <c r="Q227" s="20">
        <v>674</v>
      </c>
      <c r="R227" s="20" t="s">
        <v>360</v>
      </c>
      <c r="S227" s="20" t="s">
        <v>361</v>
      </c>
      <c r="T227" s="18" t="s">
        <v>362</v>
      </c>
      <c r="U227" s="18">
        <v>190604</v>
      </c>
      <c r="V227" s="20" t="s">
        <v>695</v>
      </c>
      <c r="W227" s="20">
        <v>70</v>
      </c>
      <c r="X227" t="str">
        <f>VLOOKUP(C227,VN_ICT!B:W,22,TRUE)</f>
        <v>Nguyễn Thị Bích Diệp</v>
      </c>
    </row>
    <row r="228" spans="1:24" hidden="1">
      <c r="A228" s="18">
        <v>190605</v>
      </c>
      <c r="B228" s="18">
        <v>161429</v>
      </c>
      <c r="C228" s="18">
        <v>161429</v>
      </c>
      <c r="D228" s="18" t="s">
        <v>690</v>
      </c>
      <c r="E228" s="19" t="s">
        <v>691</v>
      </c>
      <c r="F228" s="19" t="s">
        <v>696</v>
      </c>
      <c r="G228" s="20">
        <v>365</v>
      </c>
      <c r="H228" s="21" t="s">
        <v>169</v>
      </c>
      <c r="I228" s="20" t="s">
        <v>164</v>
      </c>
      <c r="J228" s="21" t="s">
        <v>165</v>
      </c>
      <c r="K228" s="22">
        <v>46048</v>
      </c>
      <c r="L228" s="21" t="s">
        <v>13</v>
      </c>
      <c r="M228" s="21" t="s">
        <v>579</v>
      </c>
      <c r="N228" s="20">
        <v>670</v>
      </c>
      <c r="O228" s="20">
        <v>27</v>
      </c>
      <c r="P228" s="20" t="s">
        <v>163</v>
      </c>
      <c r="Q228" s="20">
        <v>674</v>
      </c>
      <c r="R228" s="20" t="s">
        <v>360</v>
      </c>
      <c r="S228" s="20" t="s">
        <v>361</v>
      </c>
      <c r="T228" s="18" t="s">
        <v>362</v>
      </c>
      <c r="U228" s="18">
        <v>190605</v>
      </c>
      <c r="V228" s="20" t="s">
        <v>697</v>
      </c>
      <c r="W228" s="20">
        <v>70</v>
      </c>
      <c r="X228" t="str">
        <f>VLOOKUP(C228,VN_ICT!B:W,22,TRUE)</f>
        <v>Terachi Maiko</v>
      </c>
    </row>
    <row r="229" spans="1:24" hidden="1">
      <c r="A229" s="18">
        <v>190606</v>
      </c>
      <c r="B229" s="18">
        <v>161430</v>
      </c>
      <c r="C229" s="18">
        <v>161430</v>
      </c>
      <c r="D229" s="18" t="s">
        <v>690</v>
      </c>
      <c r="E229" s="19" t="s">
        <v>691</v>
      </c>
      <c r="F229" s="19" t="s">
        <v>698</v>
      </c>
      <c r="G229" s="20">
        <v>365</v>
      </c>
      <c r="H229" s="21" t="s">
        <v>169</v>
      </c>
      <c r="I229" s="20" t="s">
        <v>164</v>
      </c>
      <c r="J229" s="21" t="s">
        <v>165</v>
      </c>
      <c r="K229" s="22">
        <v>46048</v>
      </c>
      <c r="L229" s="21" t="s">
        <v>13</v>
      </c>
      <c r="M229" s="21" t="s">
        <v>406</v>
      </c>
      <c r="N229" s="20">
        <v>670</v>
      </c>
      <c r="O229" s="20">
        <v>25</v>
      </c>
      <c r="P229" s="20" t="s">
        <v>163</v>
      </c>
      <c r="Q229" s="20">
        <v>674</v>
      </c>
      <c r="R229" s="20" t="s">
        <v>360</v>
      </c>
      <c r="S229" s="20" t="s">
        <v>361</v>
      </c>
      <c r="T229" s="18" t="s">
        <v>362</v>
      </c>
      <c r="U229" s="18">
        <v>190606</v>
      </c>
      <c r="V229" s="20" t="s">
        <v>699</v>
      </c>
      <c r="W229" s="20">
        <v>70</v>
      </c>
      <c r="X229" t="str">
        <f>VLOOKUP(C229,VN_ICT!B:W,22,TRUE)</f>
        <v>Ngô Tú Quyên</v>
      </c>
    </row>
    <row r="230" spans="1:24" hidden="1">
      <c r="A230" s="18">
        <v>190607</v>
      </c>
      <c r="B230" s="18">
        <v>161431</v>
      </c>
      <c r="C230" s="18">
        <v>161431</v>
      </c>
      <c r="D230" s="18" t="s">
        <v>690</v>
      </c>
      <c r="E230" s="19" t="s">
        <v>691</v>
      </c>
      <c r="F230" s="19" t="s">
        <v>700</v>
      </c>
      <c r="G230" s="20">
        <v>365</v>
      </c>
      <c r="H230" s="21" t="s">
        <v>169</v>
      </c>
      <c r="I230" s="20" t="s">
        <v>164</v>
      </c>
      <c r="J230" s="21" t="s">
        <v>165</v>
      </c>
      <c r="K230" s="22">
        <v>46048</v>
      </c>
      <c r="L230" s="21" t="s">
        <v>13</v>
      </c>
      <c r="M230" s="21" t="s">
        <v>582</v>
      </c>
      <c r="N230" s="20">
        <v>670</v>
      </c>
      <c r="O230" s="20">
        <v>26</v>
      </c>
      <c r="P230" s="20" t="s">
        <v>163</v>
      </c>
      <c r="Q230" s="20">
        <v>674</v>
      </c>
      <c r="R230" s="20" t="s">
        <v>360</v>
      </c>
      <c r="S230" s="20" t="s">
        <v>361</v>
      </c>
      <c r="T230" s="18" t="s">
        <v>362</v>
      </c>
      <c r="U230" s="18">
        <v>190607</v>
      </c>
      <c r="V230" s="20" t="s">
        <v>701</v>
      </c>
      <c r="W230" s="20">
        <v>70</v>
      </c>
      <c r="X230" t="str">
        <f>VLOOKUP(C230,VN_ICT!B:W,22,TRUE)</f>
        <v>Nobuyuki Tagashira</v>
      </c>
    </row>
    <row r="231" spans="1:24" hidden="1">
      <c r="A231" s="18">
        <v>190608</v>
      </c>
      <c r="B231" s="18">
        <v>161432</v>
      </c>
      <c r="C231" s="18">
        <v>161432</v>
      </c>
      <c r="D231" s="18" t="s">
        <v>690</v>
      </c>
      <c r="E231" s="19" t="s">
        <v>691</v>
      </c>
      <c r="F231" s="19" t="s">
        <v>702</v>
      </c>
      <c r="G231" s="20">
        <v>365</v>
      </c>
      <c r="H231" s="21" t="s">
        <v>169</v>
      </c>
      <c r="I231" s="20" t="s">
        <v>164</v>
      </c>
      <c r="J231" s="21" t="s">
        <v>165</v>
      </c>
      <c r="K231" s="22">
        <v>46048</v>
      </c>
      <c r="L231" s="21" t="s">
        <v>13</v>
      </c>
      <c r="M231" s="21" t="s">
        <v>498</v>
      </c>
      <c r="N231" s="20">
        <v>670</v>
      </c>
      <c r="O231" s="20">
        <v>26</v>
      </c>
      <c r="P231" s="20" t="s">
        <v>163</v>
      </c>
      <c r="Q231" s="20">
        <v>674</v>
      </c>
      <c r="R231" s="20" t="s">
        <v>360</v>
      </c>
      <c r="S231" s="20" t="s">
        <v>361</v>
      </c>
      <c r="T231" s="18" t="s">
        <v>362</v>
      </c>
      <c r="U231" s="18">
        <v>190608</v>
      </c>
      <c r="V231" s="20" t="s">
        <v>693</v>
      </c>
      <c r="W231" s="20">
        <v>70</v>
      </c>
      <c r="X231" t="str">
        <f>VLOOKUP(C231,VN_ICT!B:W,22,TRUE)</f>
        <v>Lương Thị Phương Liên</v>
      </c>
    </row>
    <row r="232" spans="1:24" hidden="1">
      <c r="A232" s="18">
        <v>190609</v>
      </c>
      <c r="B232" s="18">
        <v>161433</v>
      </c>
      <c r="C232" s="18">
        <v>161433</v>
      </c>
      <c r="D232" s="18" t="s">
        <v>690</v>
      </c>
      <c r="E232" s="19" t="s">
        <v>691</v>
      </c>
      <c r="F232" s="19" t="s">
        <v>703</v>
      </c>
      <c r="G232" s="20">
        <v>365</v>
      </c>
      <c r="H232" s="21" t="s">
        <v>169</v>
      </c>
      <c r="I232" s="20" t="s">
        <v>164</v>
      </c>
      <c r="J232" s="21" t="s">
        <v>165</v>
      </c>
      <c r="K232" s="22">
        <v>46048</v>
      </c>
      <c r="L232" s="21" t="s">
        <v>13</v>
      </c>
      <c r="M232" s="21" t="s">
        <v>403</v>
      </c>
      <c r="N232" s="20">
        <v>670</v>
      </c>
      <c r="O232" s="20">
        <v>25</v>
      </c>
      <c r="P232" s="20" t="s">
        <v>163</v>
      </c>
      <c r="Q232" s="20">
        <v>674</v>
      </c>
      <c r="R232" s="20" t="s">
        <v>360</v>
      </c>
      <c r="S232" s="20" t="s">
        <v>361</v>
      </c>
      <c r="T232" s="18" t="s">
        <v>362</v>
      </c>
      <c r="U232" s="18">
        <v>190609</v>
      </c>
      <c r="V232" s="20" t="s">
        <v>695</v>
      </c>
      <c r="W232" s="20">
        <v>70</v>
      </c>
      <c r="X232" t="str">
        <f>VLOOKUP(C232,VN_ICT!B:W,22,TRUE)</f>
        <v>Nguyễn Thị Bích Diệp</v>
      </c>
    </row>
    <row r="233" spans="1:24" hidden="1">
      <c r="A233" s="18">
        <v>190610</v>
      </c>
      <c r="B233" s="18">
        <v>161434</v>
      </c>
      <c r="C233" s="18">
        <v>161434</v>
      </c>
      <c r="D233" s="18" t="s">
        <v>690</v>
      </c>
      <c r="E233" s="19" t="s">
        <v>691</v>
      </c>
      <c r="F233" s="19" t="s">
        <v>704</v>
      </c>
      <c r="G233" s="20">
        <v>365</v>
      </c>
      <c r="H233" s="21" t="s">
        <v>169</v>
      </c>
      <c r="I233" s="20" t="s">
        <v>164</v>
      </c>
      <c r="J233" s="21" t="s">
        <v>165</v>
      </c>
      <c r="K233" s="22">
        <v>46048</v>
      </c>
      <c r="L233" s="21" t="s">
        <v>13</v>
      </c>
      <c r="M233" s="21" t="s">
        <v>585</v>
      </c>
      <c r="N233" s="20">
        <v>670</v>
      </c>
      <c r="O233" s="20">
        <v>26</v>
      </c>
      <c r="P233" s="20" t="s">
        <v>163</v>
      </c>
      <c r="Q233" s="20">
        <v>674</v>
      </c>
      <c r="R233" s="20" t="s">
        <v>360</v>
      </c>
      <c r="S233" s="20" t="s">
        <v>361</v>
      </c>
      <c r="T233" s="18" t="s">
        <v>362</v>
      </c>
      <c r="U233" s="18">
        <v>190610</v>
      </c>
      <c r="V233" s="20" t="s">
        <v>697</v>
      </c>
      <c r="W233" s="20">
        <v>70</v>
      </c>
      <c r="X233" t="str">
        <f>VLOOKUP(C233,VN_ICT!B:W,22,TRUE)</f>
        <v>Terachi Maiko</v>
      </c>
    </row>
    <row r="234" spans="1:24" hidden="1">
      <c r="A234" s="18">
        <v>190611</v>
      </c>
      <c r="B234" s="18">
        <v>161435</v>
      </c>
      <c r="C234" s="18">
        <v>161435</v>
      </c>
      <c r="D234" s="18" t="s">
        <v>690</v>
      </c>
      <c r="E234" s="19" t="s">
        <v>691</v>
      </c>
      <c r="F234" s="19" t="s">
        <v>705</v>
      </c>
      <c r="G234" s="20">
        <v>365</v>
      </c>
      <c r="H234" s="21" t="s">
        <v>169</v>
      </c>
      <c r="I234" s="20" t="s">
        <v>164</v>
      </c>
      <c r="J234" s="21" t="s">
        <v>165</v>
      </c>
      <c r="K234" s="22">
        <v>46048</v>
      </c>
      <c r="L234" s="21" t="s">
        <v>13</v>
      </c>
      <c r="M234" s="21" t="s">
        <v>586</v>
      </c>
      <c r="N234" s="20">
        <v>670</v>
      </c>
      <c r="O234" s="20">
        <v>26</v>
      </c>
      <c r="P234" s="20" t="s">
        <v>163</v>
      </c>
      <c r="Q234" s="20">
        <v>674</v>
      </c>
      <c r="R234" s="20" t="s">
        <v>360</v>
      </c>
      <c r="S234" s="20" t="s">
        <v>361</v>
      </c>
      <c r="T234" s="18" t="s">
        <v>362</v>
      </c>
      <c r="U234" s="18">
        <v>190611</v>
      </c>
      <c r="V234" s="20" t="s">
        <v>699</v>
      </c>
      <c r="W234" s="20">
        <v>70</v>
      </c>
      <c r="X234" t="str">
        <f>VLOOKUP(C234,VN_ICT!B:W,22,TRUE)</f>
        <v>Ngô Tú Quyên</v>
      </c>
    </row>
    <row r="235" spans="1:24" hidden="1">
      <c r="A235" s="18">
        <v>190612</v>
      </c>
      <c r="B235" s="18">
        <v>161436</v>
      </c>
      <c r="C235" s="18">
        <v>161436</v>
      </c>
      <c r="D235" s="18" t="s">
        <v>690</v>
      </c>
      <c r="E235" s="19" t="s">
        <v>691</v>
      </c>
      <c r="F235" s="19" t="s">
        <v>706</v>
      </c>
      <c r="G235" s="20">
        <v>365</v>
      </c>
      <c r="H235" s="21" t="s">
        <v>169</v>
      </c>
      <c r="I235" s="20" t="s">
        <v>164</v>
      </c>
      <c r="J235" s="21" t="s">
        <v>165</v>
      </c>
      <c r="K235" s="22">
        <v>46048</v>
      </c>
      <c r="L235" s="21" t="s">
        <v>13</v>
      </c>
      <c r="M235" s="21" t="s">
        <v>588</v>
      </c>
      <c r="N235" s="20">
        <v>670</v>
      </c>
      <c r="O235" s="20">
        <v>26</v>
      </c>
      <c r="P235" s="20" t="s">
        <v>163</v>
      </c>
      <c r="Q235" s="20">
        <v>674</v>
      </c>
      <c r="R235" s="20" t="s">
        <v>360</v>
      </c>
      <c r="S235" s="20" t="s">
        <v>361</v>
      </c>
      <c r="T235" s="18" t="s">
        <v>362</v>
      </c>
      <c r="U235" s="18">
        <v>190612</v>
      </c>
      <c r="V235" s="20" t="s">
        <v>701</v>
      </c>
      <c r="W235" s="20">
        <v>70</v>
      </c>
      <c r="X235" t="str">
        <f>VLOOKUP(C235,VN_ICT!B:W,22,TRUE)</f>
        <v>Nobuyuki Tagashira</v>
      </c>
    </row>
    <row r="236" spans="1:24" hidden="1">
      <c r="A236" s="18">
        <v>189161</v>
      </c>
      <c r="B236" s="18">
        <v>161438</v>
      </c>
      <c r="C236" s="18">
        <v>161437</v>
      </c>
      <c r="D236" s="18" t="s">
        <v>707</v>
      </c>
      <c r="E236" s="19" t="s">
        <v>708</v>
      </c>
      <c r="F236" s="19" t="s">
        <v>709</v>
      </c>
      <c r="G236" s="20">
        <v>3723</v>
      </c>
      <c r="H236" s="21" t="s">
        <v>516</v>
      </c>
      <c r="I236" s="21" t="s">
        <v>194</v>
      </c>
      <c r="J236" s="21" t="s">
        <v>283</v>
      </c>
      <c r="K236" s="22">
        <v>46058</v>
      </c>
      <c r="L236" s="21" t="s">
        <v>13</v>
      </c>
      <c r="M236" s="21" t="s">
        <v>363</v>
      </c>
      <c r="N236" s="20">
        <v>670</v>
      </c>
      <c r="O236" s="20">
        <v>44</v>
      </c>
      <c r="P236" s="20" t="s">
        <v>163</v>
      </c>
      <c r="Q236" s="20">
        <v>674</v>
      </c>
      <c r="R236" s="20" t="s">
        <v>360</v>
      </c>
      <c r="S236" s="20" t="s">
        <v>679</v>
      </c>
      <c r="T236" s="18" t="s">
        <v>680</v>
      </c>
      <c r="U236" s="18">
        <v>189161</v>
      </c>
      <c r="V236" s="20"/>
      <c r="W236" s="20">
        <v>70</v>
      </c>
      <c r="X236">
        <f>VLOOKUP(C236,VN_ICT!B:W,22,TRUE)</f>
        <v>0</v>
      </c>
    </row>
    <row r="237" spans="1:24" hidden="1">
      <c r="A237" s="18">
        <v>189162</v>
      </c>
      <c r="B237" s="18">
        <v>161438</v>
      </c>
      <c r="C237" s="18">
        <v>161437</v>
      </c>
      <c r="D237" s="18" t="s">
        <v>707</v>
      </c>
      <c r="E237" s="19" t="s">
        <v>708</v>
      </c>
      <c r="F237" s="19" t="s">
        <v>709</v>
      </c>
      <c r="G237" s="20">
        <v>365</v>
      </c>
      <c r="H237" s="21" t="s">
        <v>169</v>
      </c>
      <c r="I237" s="21" t="s">
        <v>194</v>
      </c>
      <c r="J237" s="21" t="s">
        <v>283</v>
      </c>
      <c r="K237" s="22">
        <v>46058</v>
      </c>
      <c r="L237" s="21" t="s">
        <v>13</v>
      </c>
      <c r="M237" s="21" t="s">
        <v>363</v>
      </c>
      <c r="N237" s="20">
        <v>670</v>
      </c>
      <c r="O237" s="20">
        <v>11</v>
      </c>
      <c r="P237" s="20" t="s">
        <v>163</v>
      </c>
      <c r="Q237" s="20">
        <v>674</v>
      </c>
      <c r="R237" s="20" t="s">
        <v>360</v>
      </c>
      <c r="S237" s="20" t="s">
        <v>679</v>
      </c>
      <c r="T237" s="18" t="s">
        <v>680</v>
      </c>
      <c r="U237" s="18">
        <v>189162</v>
      </c>
      <c r="V237" s="20"/>
      <c r="W237" s="20">
        <v>70</v>
      </c>
      <c r="X237">
        <f>VLOOKUP(C237,VN_ICT!B:W,22,TRUE)</f>
        <v>0</v>
      </c>
    </row>
    <row r="238" spans="1:24" hidden="1">
      <c r="A238" s="18">
        <v>189163</v>
      </c>
      <c r="B238" s="18">
        <v>161439</v>
      </c>
      <c r="C238" s="18">
        <v>161437</v>
      </c>
      <c r="D238" s="18" t="s">
        <v>707</v>
      </c>
      <c r="E238" s="19" t="s">
        <v>708</v>
      </c>
      <c r="F238" s="19" t="s">
        <v>710</v>
      </c>
      <c r="G238" s="20">
        <v>365</v>
      </c>
      <c r="H238" s="21" t="s">
        <v>169</v>
      </c>
      <c r="I238" s="21" t="s">
        <v>194</v>
      </c>
      <c r="J238" s="21" t="s">
        <v>283</v>
      </c>
      <c r="K238" s="22">
        <v>46058</v>
      </c>
      <c r="L238" s="21" t="s">
        <v>13</v>
      </c>
      <c r="M238" s="21" t="s">
        <v>363</v>
      </c>
      <c r="N238" s="20">
        <v>670</v>
      </c>
      <c r="O238" s="20">
        <v>46</v>
      </c>
      <c r="P238" s="20" t="s">
        <v>163</v>
      </c>
      <c r="Q238" s="20">
        <v>674</v>
      </c>
      <c r="R238" s="20" t="s">
        <v>360</v>
      </c>
      <c r="S238" s="20" t="s">
        <v>679</v>
      </c>
      <c r="T238" s="18" t="s">
        <v>680</v>
      </c>
      <c r="U238" s="18">
        <v>189163</v>
      </c>
      <c r="V238" s="20"/>
      <c r="W238" s="20">
        <v>70</v>
      </c>
      <c r="X238">
        <f>VLOOKUP(C238,VN_ICT!B:W,22,TRUE)</f>
        <v>0</v>
      </c>
    </row>
    <row r="239" spans="1:24" hidden="1">
      <c r="A239" s="18">
        <v>189164</v>
      </c>
      <c r="B239" s="18">
        <v>161441</v>
      </c>
      <c r="C239" s="18">
        <v>161440</v>
      </c>
      <c r="D239" s="18" t="s">
        <v>707</v>
      </c>
      <c r="E239" s="19" t="s">
        <v>708</v>
      </c>
      <c r="F239" s="19" t="s">
        <v>711</v>
      </c>
      <c r="G239" s="20">
        <v>365</v>
      </c>
      <c r="H239" s="21" t="s">
        <v>169</v>
      </c>
      <c r="I239" s="21" t="s">
        <v>194</v>
      </c>
      <c r="J239" s="21" t="s">
        <v>283</v>
      </c>
      <c r="K239" s="22">
        <v>46058</v>
      </c>
      <c r="L239" s="21" t="s">
        <v>13</v>
      </c>
      <c r="M239" s="21" t="s">
        <v>378</v>
      </c>
      <c r="N239" s="20">
        <v>670</v>
      </c>
      <c r="O239" s="20">
        <v>51</v>
      </c>
      <c r="P239" s="20" t="s">
        <v>163</v>
      </c>
      <c r="Q239" s="20">
        <v>674</v>
      </c>
      <c r="R239" s="20" t="s">
        <v>360</v>
      </c>
      <c r="S239" s="20" t="s">
        <v>679</v>
      </c>
      <c r="T239" s="18" t="s">
        <v>680</v>
      </c>
      <c r="U239" s="18">
        <v>189164</v>
      </c>
      <c r="V239" s="20"/>
      <c r="W239" s="20">
        <v>70</v>
      </c>
      <c r="X239">
        <f>VLOOKUP(C239,VN_ICT!B:W,22,TRUE)</f>
        <v>0</v>
      </c>
    </row>
    <row r="240" spans="1:24" hidden="1">
      <c r="A240" s="18">
        <v>189165</v>
      </c>
      <c r="B240" s="18">
        <v>161442</v>
      </c>
      <c r="C240" s="18">
        <v>161440</v>
      </c>
      <c r="D240" s="18" t="s">
        <v>707</v>
      </c>
      <c r="E240" s="19" t="s">
        <v>708</v>
      </c>
      <c r="F240" s="19" t="s">
        <v>712</v>
      </c>
      <c r="G240" s="20">
        <v>365</v>
      </c>
      <c r="H240" s="21" t="s">
        <v>169</v>
      </c>
      <c r="I240" s="21" t="s">
        <v>194</v>
      </c>
      <c r="J240" s="21" t="s">
        <v>283</v>
      </c>
      <c r="K240" s="22">
        <v>46058</v>
      </c>
      <c r="L240" s="21" t="s">
        <v>13</v>
      </c>
      <c r="M240" s="21" t="s">
        <v>378</v>
      </c>
      <c r="N240" s="20">
        <v>670</v>
      </c>
      <c r="O240" s="20">
        <v>49</v>
      </c>
      <c r="P240" s="20" t="s">
        <v>163</v>
      </c>
      <c r="Q240" s="20">
        <v>674</v>
      </c>
      <c r="R240" s="20" t="s">
        <v>360</v>
      </c>
      <c r="S240" s="20" t="s">
        <v>679</v>
      </c>
      <c r="T240" s="18" t="s">
        <v>680</v>
      </c>
      <c r="U240" s="18">
        <v>189165</v>
      </c>
      <c r="V240" s="20"/>
      <c r="W240" s="20">
        <v>70</v>
      </c>
      <c r="X240">
        <f>VLOOKUP(C240,VN_ICT!B:W,22,TRUE)</f>
        <v>0</v>
      </c>
    </row>
    <row r="241" spans="1:24" hidden="1">
      <c r="A241" s="18">
        <v>189166</v>
      </c>
      <c r="B241" s="18">
        <v>161444</v>
      </c>
      <c r="C241" s="18">
        <v>161443</v>
      </c>
      <c r="D241" s="18" t="s">
        <v>707</v>
      </c>
      <c r="E241" s="19" t="s">
        <v>708</v>
      </c>
      <c r="F241" s="19" t="s">
        <v>713</v>
      </c>
      <c r="G241" s="20">
        <v>3726</v>
      </c>
      <c r="H241" s="21" t="s">
        <v>512</v>
      </c>
      <c r="I241" s="21" t="s">
        <v>194</v>
      </c>
      <c r="J241" s="21" t="s">
        <v>283</v>
      </c>
      <c r="K241" s="22">
        <v>46058</v>
      </c>
      <c r="L241" s="21" t="s">
        <v>13</v>
      </c>
      <c r="M241" s="21" t="s">
        <v>446</v>
      </c>
      <c r="N241" s="20">
        <v>670</v>
      </c>
      <c r="O241" s="20">
        <v>21</v>
      </c>
      <c r="P241" s="20" t="s">
        <v>163</v>
      </c>
      <c r="Q241" s="20">
        <v>674</v>
      </c>
      <c r="R241" s="20" t="s">
        <v>360</v>
      </c>
      <c r="S241" s="20" t="s">
        <v>679</v>
      </c>
      <c r="T241" s="18" t="s">
        <v>680</v>
      </c>
      <c r="U241" s="18">
        <v>189166</v>
      </c>
      <c r="V241" s="20"/>
      <c r="W241" s="20">
        <v>70</v>
      </c>
      <c r="X241">
        <f>VLOOKUP(C241,VN_ICT!B:W,22,TRUE)</f>
        <v>0</v>
      </c>
    </row>
    <row r="242" spans="1:24" hidden="1">
      <c r="A242" s="18">
        <v>189168</v>
      </c>
      <c r="B242" s="18">
        <v>161444</v>
      </c>
      <c r="C242" s="18">
        <v>161443</v>
      </c>
      <c r="D242" s="18" t="s">
        <v>707</v>
      </c>
      <c r="E242" s="19" t="s">
        <v>708</v>
      </c>
      <c r="F242" s="19" t="s">
        <v>713</v>
      </c>
      <c r="G242" s="20">
        <v>365</v>
      </c>
      <c r="H242" s="21" t="s">
        <v>169</v>
      </c>
      <c r="I242" s="21" t="s">
        <v>194</v>
      </c>
      <c r="J242" s="21" t="s">
        <v>283</v>
      </c>
      <c r="K242" s="22">
        <v>46058</v>
      </c>
      <c r="L242" s="21" t="s">
        <v>13</v>
      </c>
      <c r="M242" s="21" t="s">
        <v>446</v>
      </c>
      <c r="N242" s="20">
        <v>670</v>
      </c>
      <c r="O242" s="20">
        <v>12</v>
      </c>
      <c r="P242" s="20" t="s">
        <v>163</v>
      </c>
      <c r="Q242" s="20">
        <v>674</v>
      </c>
      <c r="R242" s="20" t="s">
        <v>360</v>
      </c>
      <c r="S242" s="20" t="s">
        <v>679</v>
      </c>
      <c r="T242" s="18" t="s">
        <v>680</v>
      </c>
      <c r="U242" s="18">
        <v>189168</v>
      </c>
      <c r="V242" s="20"/>
      <c r="W242" s="20">
        <v>70</v>
      </c>
      <c r="X242">
        <f>VLOOKUP(C242,VN_ICT!B:W,22,TRUE)</f>
        <v>0</v>
      </c>
    </row>
    <row r="243" spans="1:24" hidden="1">
      <c r="A243" s="18">
        <v>189167</v>
      </c>
      <c r="B243" s="18">
        <v>161444</v>
      </c>
      <c r="C243" s="18">
        <v>161443</v>
      </c>
      <c r="D243" s="18" t="s">
        <v>707</v>
      </c>
      <c r="E243" s="19" t="s">
        <v>708</v>
      </c>
      <c r="F243" s="19" t="s">
        <v>713</v>
      </c>
      <c r="G243" s="20">
        <v>3725</v>
      </c>
      <c r="H243" s="21" t="s">
        <v>519</v>
      </c>
      <c r="I243" s="21" t="s">
        <v>194</v>
      </c>
      <c r="J243" s="21" t="s">
        <v>283</v>
      </c>
      <c r="K243" s="22">
        <v>46058</v>
      </c>
      <c r="L243" s="21" t="s">
        <v>13</v>
      </c>
      <c r="M243" s="21" t="s">
        <v>577</v>
      </c>
      <c r="N243" s="20">
        <v>670</v>
      </c>
      <c r="O243" s="20">
        <v>22</v>
      </c>
      <c r="P243" s="20" t="s">
        <v>163</v>
      </c>
      <c r="Q243" s="20">
        <v>674</v>
      </c>
      <c r="R243" s="20" t="s">
        <v>360</v>
      </c>
      <c r="S243" s="20" t="s">
        <v>679</v>
      </c>
      <c r="T243" s="18" t="s">
        <v>680</v>
      </c>
      <c r="U243" s="18">
        <v>189167</v>
      </c>
      <c r="V243" s="20"/>
      <c r="W243" s="20">
        <v>70</v>
      </c>
      <c r="X243">
        <f>VLOOKUP(C243,VN_ICT!B:W,22,TRUE)</f>
        <v>0</v>
      </c>
    </row>
    <row r="244" spans="1:24" hidden="1">
      <c r="A244" s="18">
        <v>189169</v>
      </c>
      <c r="B244" s="18">
        <v>161445</v>
      </c>
      <c r="C244" s="18">
        <v>161443</v>
      </c>
      <c r="D244" s="18" t="s">
        <v>707</v>
      </c>
      <c r="E244" s="19" t="s">
        <v>708</v>
      </c>
      <c r="F244" s="19" t="s">
        <v>714</v>
      </c>
      <c r="G244" s="20">
        <v>3725</v>
      </c>
      <c r="H244" s="21" t="s">
        <v>519</v>
      </c>
      <c r="I244" s="21" t="s">
        <v>194</v>
      </c>
      <c r="J244" s="21" t="s">
        <v>283</v>
      </c>
      <c r="K244" s="22">
        <v>46058</v>
      </c>
      <c r="L244" s="21" t="s">
        <v>13</v>
      </c>
      <c r="M244" s="21" t="s">
        <v>579</v>
      </c>
      <c r="N244" s="20">
        <v>670</v>
      </c>
      <c r="O244" s="20">
        <v>43</v>
      </c>
      <c r="P244" s="20" t="s">
        <v>163</v>
      </c>
      <c r="Q244" s="20">
        <v>674</v>
      </c>
      <c r="R244" s="20" t="s">
        <v>360</v>
      </c>
      <c r="S244" s="20" t="s">
        <v>679</v>
      </c>
      <c r="T244" s="18" t="s">
        <v>680</v>
      </c>
      <c r="U244" s="18">
        <v>189169</v>
      </c>
      <c r="V244" s="20"/>
      <c r="W244" s="20">
        <v>70</v>
      </c>
      <c r="X244">
        <f>VLOOKUP(C244,VN_ICT!B:W,22,TRUE)</f>
        <v>0</v>
      </c>
    </row>
    <row r="245" spans="1:24" hidden="1">
      <c r="A245" s="18">
        <v>189170</v>
      </c>
      <c r="B245" s="18">
        <v>161445</v>
      </c>
      <c r="C245" s="18">
        <v>161443</v>
      </c>
      <c r="D245" s="18" t="s">
        <v>707</v>
      </c>
      <c r="E245" s="19" t="s">
        <v>708</v>
      </c>
      <c r="F245" s="19" t="s">
        <v>714</v>
      </c>
      <c r="G245" s="20">
        <v>365</v>
      </c>
      <c r="H245" s="21" t="s">
        <v>169</v>
      </c>
      <c r="I245" s="21" t="s">
        <v>194</v>
      </c>
      <c r="J245" s="21" t="s">
        <v>283</v>
      </c>
      <c r="K245" s="22">
        <v>46058</v>
      </c>
      <c r="L245" s="21" t="s">
        <v>13</v>
      </c>
      <c r="M245" s="21" t="s">
        <v>577</v>
      </c>
      <c r="N245" s="20">
        <v>670</v>
      </c>
      <c r="O245" s="20">
        <v>13</v>
      </c>
      <c r="P245" s="20" t="s">
        <v>163</v>
      </c>
      <c r="Q245" s="20">
        <v>674</v>
      </c>
      <c r="R245" s="20" t="s">
        <v>360</v>
      </c>
      <c r="S245" s="20" t="s">
        <v>679</v>
      </c>
      <c r="T245" s="18" t="s">
        <v>680</v>
      </c>
      <c r="U245" s="18">
        <v>189170</v>
      </c>
      <c r="V245" s="20"/>
      <c r="W245" s="20">
        <v>70</v>
      </c>
      <c r="X245">
        <f>VLOOKUP(C245,VN_ICT!B:W,22,TRUE)</f>
        <v>0</v>
      </c>
    </row>
    <row r="246" spans="1:24" hidden="1">
      <c r="A246" s="18">
        <v>188790</v>
      </c>
      <c r="B246" s="18">
        <v>161447</v>
      </c>
      <c r="C246" s="18">
        <v>161446</v>
      </c>
      <c r="D246" s="18" t="s">
        <v>715</v>
      </c>
      <c r="E246" s="19" t="s">
        <v>716</v>
      </c>
      <c r="F246" s="19" t="s">
        <v>709</v>
      </c>
      <c r="G246" s="20">
        <v>365</v>
      </c>
      <c r="H246" s="21" t="s">
        <v>169</v>
      </c>
      <c r="I246" s="20" t="s">
        <v>164</v>
      </c>
      <c r="J246" s="20" t="s">
        <v>717</v>
      </c>
      <c r="K246" s="22">
        <v>46054</v>
      </c>
      <c r="L246" s="20" t="s">
        <v>14</v>
      </c>
      <c r="M246" s="21" t="s">
        <v>446</v>
      </c>
      <c r="N246" s="20">
        <v>670</v>
      </c>
      <c r="O246" s="20">
        <v>50</v>
      </c>
      <c r="P246" s="20" t="s">
        <v>163</v>
      </c>
      <c r="Q246" s="20">
        <v>674</v>
      </c>
      <c r="R246" s="20" t="s">
        <v>360</v>
      </c>
      <c r="S246" s="20" t="s">
        <v>679</v>
      </c>
      <c r="T246" s="18" t="s">
        <v>680</v>
      </c>
      <c r="U246" s="18">
        <v>188790</v>
      </c>
      <c r="V246" s="20"/>
      <c r="W246" s="20">
        <v>70</v>
      </c>
      <c r="X246">
        <f>VLOOKUP(C246,VN_ICT!B:W,22,TRUE)</f>
        <v>0</v>
      </c>
    </row>
    <row r="247" spans="1:24" hidden="1">
      <c r="A247" s="18">
        <v>188791</v>
      </c>
      <c r="B247" s="18">
        <v>161448</v>
      </c>
      <c r="C247" s="18">
        <v>161446</v>
      </c>
      <c r="D247" s="18" t="s">
        <v>715</v>
      </c>
      <c r="E247" s="19" t="s">
        <v>716</v>
      </c>
      <c r="F247" s="19" t="s">
        <v>710</v>
      </c>
      <c r="G247" s="20">
        <v>365</v>
      </c>
      <c r="H247" s="21" t="s">
        <v>169</v>
      </c>
      <c r="I247" s="20" t="s">
        <v>164</v>
      </c>
      <c r="J247" s="20" t="s">
        <v>717</v>
      </c>
      <c r="K247" s="22">
        <v>46054</v>
      </c>
      <c r="L247" s="20" t="s">
        <v>14</v>
      </c>
      <c r="M247" s="21" t="s">
        <v>577</v>
      </c>
      <c r="N247" s="20">
        <v>670</v>
      </c>
      <c r="O247" s="20">
        <v>50</v>
      </c>
      <c r="P247" s="20" t="s">
        <v>163</v>
      </c>
      <c r="Q247" s="20">
        <v>674</v>
      </c>
      <c r="R247" s="20" t="s">
        <v>360</v>
      </c>
      <c r="S247" s="20" t="s">
        <v>679</v>
      </c>
      <c r="T247" s="18" t="s">
        <v>680</v>
      </c>
      <c r="U247" s="18">
        <v>188791</v>
      </c>
      <c r="V247" s="20"/>
      <c r="W247" s="20">
        <v>70</v>
      </c>
      <c r="X247">
        <f>VLOOKUP(C247,VN_ICT!B:W,22,TRUE)</f>
        <v>0</v>
      </c>
    </row>
    <row r="248" spans="1:24" hidden="1">
      <c r="A248" s="18">
        <v>188792</v>
      </c>
      <c r="B248" s="18">
        <v>161450</v>
      </c>
      <c r="C248" s="18">
        <v>161449</v>
      </c>
      <c r="D248" s="18" t="s">
        <v>715</v>
      </c>
      <c r="E248" s="19" t="s">
        <v>716</v>
      </c>
      <c r="F248" s="19" t="s">
        <v>711</v>
      </c>
      <c r="G248" s="20">
        <v>365</v>
      </c>
      <c r="H248" s="21" t="s">
        <v>169</v>
      </c>
      <c r="I248" s="20" t="s">
        <v>164</v>
      </c>
      <c r="J248" s="20" t="s">
        <v>717</v>
      </c>
      <c r="K248" s="22">
        <v>46054</v>
      </c>
      <c r="L248" s="20" t="s">
        <v>14</v>
      </c>
      <c r="M248" s="21" t="s">
        <v>363</v>
      </c>
      <c r="N248" s="20">
        <v>670</v>
      </c>
      <c r="O248" s="20">
        <v>51</v>
      </c>
      <c r="P248" s="20" t="s">
        <v>163</v>
      </c>
      <c r="Q248" s="20">
        <v>674</v>
      </c>
      <c r="R248" s="20" t="s">
        <v>360</v>
      </c>
      <c r="S248" s="20" t="s">
        <v>679</v>
      </c>
      <c r="T248" s="18" t="s">
        <v>680</v>
      </c>
      <c r="U248" s="18">
        <v>188792</v>
      </c>
      <c r="V248" s="20"/>
      <c r="W248" s="20">
        <v>70</v>
      </c>
      <c r="X248">
        <f>VLOOKUP(C248,VN_ICT!B:W,22,TRUE)</f>
        <v>0</v>
      </c>
    </row>
    <row r="249" spans="1:24" hidden="1">
      <c r="A249" s="18">
        <v>188793</v>
      </c>
      <c r="B249" s="18">
        <v>161451</v>
      </c>
      <c r="C249" s="18">
        <v>161449</v>
      </c>
      <c r="D249" s="18" t="s">
        <v>715</v>
      </c>
      <c r="E249" s="19" t="s">
        <v>716</v>
      </c>
      <c r="F249" s="19" t="s">
        <v>712</v>
      </c>
      <c r="G249" s="20">
        <v>365</v>
      </c>
      <c r="H249" s="21" t="s">
        <v>169</v>
      </c>
      <c r="I249" s="20" t="s">
        <v>164</v>
      </c>
      <c r="J249" s="20" t="s">
        <v>717</v>
      </c>
      <c r="K249" s="22">
        <v>46054</v>
      </c>
      <c r="L249" s="20" t="s">
        <v>14</v>
      </c>
      <c r="M249" s="21" t="s">
        <v>363</v>
      </c>
      <c r="N249" s="20">
        <v>670</v>
      </c>
      <c r="O249" s="20">
        <v>51</v>
      </c>
      <c r="P249" s="20" t="s">
        <v>163</v>
      </c>
      <c r="Q249" s="20">
        <v>674</v>
      </c>
      <c r="R249" s="20" t="s">
        <v>360</v>
      </c>
      <c r="S249" s="20" t="s">
        <v>679</v>
      </c>
      <c r="T249" s="18" t="s">
        <v>680</v>
      </c>
      <c r="U249" s="18">
        <v>188793</v>
      </c>
      <c r="V249" s="20"/>
      <c r="W249" s="20">
        <v>70</v>
      </c>
      <c r="X249">
        <f>VLOOKUP(C249,VN_ICT!B:W,22,TRUE)</f>
        <v>0</v>
      </c>
    </row>
    <row r="250" spans="1:24" hidden="1">
      <c r="A250" s="18">
        <v>188794</v>
      </c>
      <c r="B250" s="18">
        <v>161453</v>
      </c>
      <c r="C250" s="18">
        <v>161452</v>
      </c>
      <c r="D250" s="18" t="s">
        <v>715</v>
      </c>
      <c r="E250" s="19" t="s">
        <v>716</v>
      </c>
      <c r="F250" s="19" t="s">
        <v>713</v>
      </c>
      <c r="G250" s="20">
        <v>365</v>
      </c>
      <c r="H250" s="21" t="s">
        <v>169</v>
      </c>
      <c r="I250" s="20" t="s">
        <v>164</v>
      </c>
      <c r="J250" s="20" t="s">
        <v>717</v>
      </c>
      <c r="K250" s="22">
        <v>46054</v>
      </c>
      <c r="L250" s="20" t="s">
        <v>14</v>
      </c>
      <c r="M250" s="21" t="s">
        <v>378</v>
      </c>
      <c r="N250" s="20">
        <v>670</v>
      </c>
      <c r="O250" s="20">
        <v>50</v>
      </c>
      <c r="P250" s="20" t="s">
        <v>163</v>
      </c>
      <c r="Q250" s="20">
        <v>674</v>
      </c>
      <c r="R250" s="20" t="s">
        <v>360</v>
      </c>
      <c r="S250" s="20" t="s">
        <v>679</v>
      </c>
      <c r="T250" s="18" t="s">
        <v>680</v>
      </c>
      <c r="U250" s="18">
        <v>188794</v>
      </c>
      <c r="V250" s="20"/>
      <c r="W250" s="20">
        <v>70</v>
      </c>
      <c r="X250">
        <f>VLOOKUP(C250,VN_ICT!B:W,22,TRUE)</f>
        <v>0</v>
      </c>
    </row>
    <row r="251" spans="1:24" hidden="1">
      <c r="A251" s="18">
        <v>188795</v>
      </c>
      <c r="B251" s="18">
        <v>161454</v>
      </c>
      <c r="C251" s="18">
        <v>161452</v>
      </c>
      <c r="D251" s="18" t="s">
        <v>715</v>
      </c>
      <c r="E251" s="19" t="s">
        <v>716</v>
      </c>
      <c r="F251" s="19" t="s">
        <v>714</v>
      </c>
      <c r="G251" s="20">
        <v>365</v>
      </c>
      <c r="H251" s="21" t="s">
        <v>169</v>
      </c>
      <c r="I251" s="20" t="s">
        <v>164</v>
      </c>
      <c r="J251" s="20" t="s">
        <v>717</v>
      </c>
      <c r="K251" s="22">
        <v>46054</v>
      </c>
      <c r="L251" s="20" t="s">
        <v>14</v>
      </c>
      <c r="M251" s="21" t="s">
        <v>378</v>
      </c>
      <c r="N251" s="20">
        <v>670</v>
      </c>
      <c r="O251" s="20">
        <v>10</v>
      </c>
      <c r="P251" s="20" t="s">
        <v>163</v>
      </c>
      <c r="Q251" s="20">
        <v>674</v>
      </c>
      <c r="R251" s="20" t="s">
        <v>360</v>
      </c>
      <c r="S251" s="20" t="s">
        <v>679</v>
      </c>
      <c r="T251" s="18" t="s">
        <v>680</v>
      </c>
      <c r="U251" s="18">
        <v>188795</v>
      </c>
      <c r="V251" s="20"/>
      <c r="W251" s="20">
        <v>70</v>
      </c>
      <c r="X251">
        <f>VLOOKUP(C251,VN_ICT!B:W,22,TRUE)</f>
        <v>0</v>
      </c>
    </row>
    <row r="252" spans="1:24" hidden="1">
      <c r="A252" s="18">
        <v>188796</v>
      </c>
      <c r="B252" s="18">
        <v>161454</v>
      </c>
      <c r="C252" s="18">
        <v>161452</v>
      </c>
      <c r="D252" s="18" t="s">
        <v>715</v>
      </c>
      <c r="E252" s="19" t="s">
        <v>716</v>
      </c>
      <c r="F252" s="19" t="s">
        <v>714</v>
      </c>
      <c r="G252" s="20">
        <v>3725</v>
      </c>
      <c r="H252" s="21" t="s">
        <v>519</v>
      </c>
      <c r="I252" s="20" t="s">
        <v>164</v>
      </c>
      <c r="J252" s="20" t="s">
        <v>717</v>
      </c>
      <c r="K252" s="22">
        <v>46054</v>
      </c>
      <c r="L252" s="20" t="s">
        <v>14</v>
      </c>
      <c r="M252" s="21" t="s">
        <v>378</v>
      </c>
      <c r="N252" s="20">
        <v>670</v>
      </c>
      <c r="O252" s="20">
        <v>43</v>
      </c>
      <c r="P252" s="20" t="s">
        <v>163</v>
      </c>
      <c r="Q252" s="20">
        <v>674</v>
      </c>
      <c r="R252" s="20" t="s">
        <v>360</v>
      </c>
      <c r="S252" s="20" t="s">
        <v>679</v>
      </c>
      <c r="T252" s="18" t="s">
        <v>680</v>
      </c>
      <c r="U252" s="18">
        <v>188796</v>
      </c>
      <c r="V252" s="20"/>
      <c r="W252" s="20">
        <v>70</v>
      </c>
      <c r="X252">
        <f>VLOOKUP(C252,VN_ICT!B:W,22,TRUE)</f>
        <v>0</v>
      </c>
    </row>
    <row r="253" spans="1:24">
      <c r="A253" s="18">
        <v>190017</v>
      </c>
      <c r="B253" s="18">
        <v>161455</v>
      </c>
      <c r="C253" s="18">
        <v>161455</v>
      </c>
      <c r="D253" s="18" t="s">
        <v>212</v>
      </c>
      <c r="E253" s="19" t="s">
        <v>213</v>
      </c>
      <c r="F253" s="19" t="s">
        <v>511</v>
      </c>
      <c r="G253" s="20">
        <v>3726</v>
      </c>
      <c r="H253" s="21" t="s">
        <v>512</v>
      </c>
      <c r="I253" s="21" t="s">
        <v>194</v>
      </c>
      <c r="J253" s="21" t="s">
        <v>215</v>
      </c>
      <c r="K253" s="22">
        <v>46057</v>
      </c>
      <c r="L253" s="21" t="s">
        <v>718</v>
      </c>
      <c r="M253" s="21" t="s">
        <v>358</v>
      </c>
      <c r="N253" s="20">
        <v>670</v>
      </c>
      <c r="O253" s="20">
        <v>64</v>
      </c>
      <c r="P253" s="20" t="s">
        <v>163</v>
      </c>
      <c r="Q253" s="20">
        <v>674</v>
      </c>
      <c r="R253" s="20" t="s">
        <v>360</v>
      </c>
      <c r="S253" s="20" t="s">
        <v>361</v>
      </c>
      <c r="T253" s="18" t="s">
        <v>362</v>
      </c>
      <c r="U253" s="18">
        <v>190017</v>
      </c>
      <c r="V253" s="20" t="s">
        <v>513</v>
      </c>
      <c r="W253" s="20">
        <v>70</v>
      </c>
      <c r="X253" t="str">
        <f>VLOOKUP(C253,VN_ICT!B:W,22,TRUE)</f>
        <v>Nguyễn Đức Tiến</v>
      </c>
    </row>
    <row r="254" spans="1:24">
      <c r="A254" s="18">
        <v>190020</v>
      </c>
      <c r="B254" s="18">
        <v>161455</v>
      </c>
      <c r="C254" s="18">
        <v>161455</v>
      </c>
      <c r="D254" s="18" t="s">
        <v>212</v>
      </c>
      <c r="E254" s="19" t="s">
        <v>213</v>
      </c>
      <c r="F254" s="19" t="s">
        <v>511</v>
      </c>
      <c r="G254" s="20">
        <v>3723</v>
      </c>
      <c r="H254" s="21" t="s">
        <v>516</v>
      </c>
      <c r="I254" s="21" t="s">
        <v>194</v>
      </c>
      <c r="J254" s="21" t="s">
        <v>215</v>
      </c>
      <c r="K254" s="22">
        <v>46057</v>
      </c>
      <c r="L254" s="21" t="s">
        <v>718</v>
      </c>
      <c r="M254" s="21" t="s">
        <v>358</v>
      </c>
      <c r="N254" s="20">
        <v>670</v>
      </c>
      <c r="O254" s="20">
        <v>67</v>
      </c>
      <c r="P254" s="20" t="s">
        <v>163</v>
      </c>
      <c r="Q254" s="20">
        <v>674</v>
      </c>
      <c r="R254" s="20" t="s">
        <v>360</v>
      </c>
      <c r="S254" s="20" t="s">
        <v>361</v>
      </c>
      <c r="T254" s="18" t="s">
        <v>362</v>
      </c>
      <c r="U254" s="18">
        <v>190020</v>
      </c>
      <c r="V254" s="20" t="s">
        <v>513</v>
      </c>
      <c r="W254" s="20">
        <v>70</v>
      </c>
      <c r="X254" t="str">
        <f>VLOOKUP(C254,VN_ICT!B:W,22,TRUE)</f>
        <v>Nguyễn Đức Tiến</v>
      </c>
    </row>
    <row r="255" spans="1:24">
      <c r="A255" s="18">
        <v>190016</v>
      </c>
      <c r="B255" s="18">
        <v>161455</v>
      </c>
      <c r="C255" s="18">
        <v>161455</v>
      </c>
      <c r="D255" s="18" t="s">
        <v>212</v>
      </c>
      <c r="E255" s="19" t="s">
        <v>213</v>
      </c>
      <c r="F255" s="19" t="s">
        <v>511</v>
      </c>
      <c r="G255" s="20">
        <v>365</v>
      </c>
      <c r="H255" s="21" t="s">
        <v>169</v>
      </c>
      <c r="I255" s="21" t="s">
        <v>194</v>
      </c>
      <c r="J255" s="21" t="s">
        <v>215</v>
      </c>
      <c r="K255" s="22">
        <v>46057</v>
      </c>
      <c r="L255" s="21" t="s">
        <v>718</v>
      </c>
      <c r="M255" s="21" t="s">
        <v>358</v>
      </c>
      <c r="N255" s="20">
        <v>670</v>
      </c>
      <c r="O255" s="20">
        <v>1</v>
      </c>
      <c r="P255" s="20" t="s">
        <v>163</v>
      </c>
      <c r="Q255" s="20">
        <v>674</v>
      </c>
      <c r="R255" s="20" t="s">
        <v>360</v>
      </c>
      <c r="S255" s="20" t="s">
        <v>361</v>
      </c>
      <c r="T255" s="18" t="s">
        <v>362</v>
      </c>
      <c r="U255" s="18">
        <v>190016</v>
      </c>
      <c r="V255" s="20" t="s">
        <v>513</v>
      </c>
      <c r="W255" s="20">
        <v>70</v>
      </c>
      <c r="X255" t="str">
        <f>VLOOKUP(C255,VN_ICT!B:W,22,TRUE)</f>
        <v>Nguyễn Đức Tiến</v>
      </c>
    </row>
    <row r="256" spans="1:24">
      <c r="A256" s="18">
        <v>190019</v>
      </c>
      <c r="B256" s="18">
        <v>161455</v>
      </c>
      <c r="C256" s="18">
        <v>161455</v>
      </c>
      <c r="D256" s="18" t="s">
        <v>212</v>
      </c>
      <c r="E256" s="19" t="s">
        <v>213</v>
      </c>
      <c r="F256" s="19" t="s">
        <v>511</v>
      </c>
      <c r="G256" s="20">
        <v>3724</v>
      </c>
      <c r="H256" s="21" t="s">
        <v>517</v>
      </c>
      <c r="I256" s="21" t="s">
        <v>194</v>
      </c>
      <c r="J256" s="21" t="s">
        <v>215</v>
      </c>
      <c r="K256" s="22">
        <v>46057</v>
      </c>
      <c r="L256" s="21" t="s">
        <v>718</v>
      </c>
      <c r="M256" s="21" t="s">
        <v>358</v>
      </c>
      <c r="N256" s="20">
        <v>670</v>
      </c>
      <c r="O256" s="20">
        <v>65</v>
      </c>
      <c r="P256" s="20" t="s">
        <v>163</v>
      </c>
      <c r="Q256" s="20">
        <v>674</v>
      </c>
      <c r="R256" s="20" t="s">
        <v>360</v>
      </c>
      <c r="S256" s="20" t="s">
        <v>361</v>
      </c>
      <c r="T256" s="18" t="s">
        <v>362</v>
      </c>
      <c r="U256" s="18">
        <v>190019</v>
      </c>
      <c r="V256" s="20" t="s">
        <v>513</v>
      </c>
      <c r="W256" s="20">
        <v>70</v>
      </c>
      <c r="X256" t="str">
        <f>VLOOKUP(C256,VN_ICT!B:W,22,TRUE)</f>
        <v>Nguyễn Đức Tiến</v>
      </c>
    </row>
    <row r="257" spans="1:24">
      <c r="A257" s="18">
        <v>190021</v>
      </c>
      <c r="B257" s="18">
        <v>161455</v>
      </c>
      <c r="C257" s="18">
        <v>161455</v>
      </c>
      <c r="D257" s="18" t="s">
        <v>212</v>
      </c>
      <c r="E257" s="19" t="s">
        <v>213</v>
      </c>
      <c r="F257" s="19" t="s">
        <v>511</v>
      </c>
      <c r="G257" s="20">
        <v>3727</v>
      </c>
      <c r="H257" s="21" t="s">
        <v>518</v>
      </c>
      <c r="I257" s="21" t="s">
        <v>194</v>
      </c>
      <c r="J257" s="21" t="s">
        <v>215</v>
      </c>
      <c r="K257" s="22">
        <v>46057</v>
      </c>
      <c r="L257" s="21" t="s">
        <v>718</v>
      </c>
      <c r="M257" s="21" t="s">
        <v>358</v>
      </c>
      <c r="N257" s="20">
        <v>670</v>
      </c>
      <c r="O257" s="20">
        <v>43</v>
      </c>
      <c r="P257" s="20" t="s">
        <v>163</v>
      </c>
      <c r="Q257" s="20">
        <v>674</v>
      </c>
      <c r="R257" s="20" t="s">
        <v>360</v>
      </c>
      <c r="S257" s="20" t="s">
        <v>361</v>
      </c>
      <c r="T257" s="18" t="s">
        <v>362</v>
      </c>
      <c r="U257" s="18">
        <v>190021</v>
      </c>
      <c r="V257" s="20" t="s">
        <v>513</v>
      </c>
      <c r="W257" s="20">
        <v>70</v>
      </c>
      <c r="X257" t="str">
        <f>VLOOKUP(C257,VN_ICT!B:W,22,TRUE)</f>
        <v>Nguyễn Đức Tiến</v>
      </c>
    </row>
    <row r="258" spans="1:24">
      <c r="A258" s="18">
        <v>190018</v>
      </c>
      <c r="B258" s="18">
        <v>161455</v>
      </c>
      <c r="C258" s="18">
        <v>161455</v>
      </c>
      <c r="D258" s="18" t="s">
        <v>212</v>
      </c>
      <c r="E258" s="19" t="s">
        <v>213</v>
      </c>
      <c r="F258" s="19" t="s">
        <v>511</v>
      </c>
      <c r="G258" s="20">
        <v>3725</v>
      </c>
      <c r="H258" s="21" t="s">
        <v>519</v>
      </c>
      <c r="I258" s="21" t="s">
        <v>194</v>
      </c>
      <c r="J258" s="21" t="s">
        <v>215</v>
      </c>
      <c r="K258" s="22">
        <v>46057</v>
      </c>
      <c r="L258" s="21" t="s">
        <v>718</v>
      </c>
      <c r="M258" s="21" t="s">
        <v>358</v>
      </c>
      <c r="N258" s="20">
        <v>670</v>
      </c>
      <c r="O258" s="20">
        <v>65</v>
      </c>
      <c r="P258" s="20" t="s">
        <v>163</v>
      </c>
      <c r="Q258" s="20">
        <v>674</v>
      </c>
      <c r="R258" s="20" t="s">
        <v>360</v>
      </c>
      <c r="S258" s="20" t="s">
        <v>361</v>
      </c>
      <c r="T258" s="18" t="s">
        <v>362</v>
      </c>
      <c r="U258" s="18">
        <v>190018</v>
      </c>
      <c r="V258" s="20" t="s">
        <v>513</v>
      </c>
      <c r="W258" s="20">
        <v>70</v>
      </c>
      <c r="X258" t="str">
        <f>VLOOKUP(C258,VN_ICT!B:W,22,TRUE)</f>
        <v>Nguyễn Đức Tiến</v>
      </c>
    </row>
    <row r="259" spans="1:24" hidden="1">
      <c r="A259" s="18">
        <v>189173</v>
      </c>
      <c r="B259" s="18">
        <v>161457</v>
      </c>
      <c r="C259" s="18">
        <v>161456</v>
      </c>
      <c r="D259" s="18" t="s">
        <v>719</v>
      </c>
      <c r="E259" s="19" t="s">
        <v>720</v>
      </c>
      <c r="F259" s="19" t="s">
        <v>721</v>
      </c>
      <c r="G259" s="20">
        <v>365</v>
      </c>
      <c r="H259" s="21" t="s">
        <v>169</v>
      </c>
      <c r="I259" s="21" t="s">
        <v>194</v>
      </c>
      <c r="J259" s="21" t="s">
        <v>283</v>
      </c>
      <c r="K259" s="22">
        <v>46058</v>
      </c>
      <c r="L259" s="21" t="s">
        <v>13</v>
      </c>
      <c r="M259" s="21" t="s">
        <v>406</v>
      </c>
      <c r="N259" s="20">
        <v>670</v>
      </c>
      <c r="O259" s="20">
        <v>39</v>
      </c>
      <c r="P259" s="20" t="s">
        <v>163</v>
      </c>
      <c r="Q259" s="20">
        <v>674</v>
      </c>
      <c r="R259" s="20" t="s">
        <v>360</v>
      </c>
      <c r="S259" s="20" t="s">
        <v>679</v>
      </c>
      <c r="T259" s="18" t="s">
        <v>680</v>
      </c>
      <c r="U259" s="18">
        <v>189173</v>
      </c>
      <c r="V259" s="20"/>
      <c r="W259" s="20">
        <v>70</v>
      </c>
      <c r="X259">
        <f>VLOOKUP(C259,VN_ICT!B:W,22,TRUE)</f>
        <v>0</v>
      </c>
    </row>
    <row r="260" spans="1:24" hidden="1">
      <c r="A260" s="18">
        <v>189174</v>
      </c>
      <c r="B260" s="18">
        <v>161458</v>
      </c>
      <c r="C260" s="18">
        <v>161456</v>
      </c>
      <c r="D260" s="18" t="s">
        <v>719</v>
      </c>
      <c r="E260" s="19" t="s">
        <v>720</v>
      </c>
      <c r="F260" s="19" t="s">
        <v>722</v>
      </c>
      <c r="G260" s="20">
        <v>365</v>
      </c>
      <c r="H260" s="21" t="s">
        <v>169</v>
      </c>
      <c r="I260" s="21" t="s">
        <v>194</v>
      </c>
      <c r="J260" s="21" t="s">
        <v>283</v>
      </c>
      <c r="K260" s="22">
        <v>46058</v>
      </c>
      <c r="L260" s="21" t="s">
        <v>13</v>
      </c>
      <c r="M260" s="21" t="s">
        <v>582</v>
      </c>
      <c r="N260" s="20">
        <v>670</v>
      </c>
      <c r="O260" s="20">
        <v>33</v>
      </c>
      <c r="P260" s="20" t="s">
        <v>163</v>
      </c>
      <c r="Q260" s="20">
        <v>674</v>
      </c>
      <c r="R260" s="20" t="s">
        <v>360</v>
      </c>
      <c r="S260" s="20" t="s">
        <v>679</v>
      </c>
      <c r="T260" s="18" t="s">
        <v>680</v>
      </c>
      <c r="U260" s="18">
        <v>189174</v>
      </c>
      <c r="V260" s="20"/>
      <c r="W260" s="20">
        <v>70</v>
      </c>
      <c r="X260">
        <f>VLOOKUP(C260,VN_ICT!B:W,22,TRUE)</f>
        <v>0</v>
      </c>
    </row>
    <row r="261" spans="1:24" hidden="1">
      <c r="A261" s="18">
        <v>189175</v>
      </c>
      <c r="B261" s="18">
        <v>161460</v>
      </c>
      <c r="C261" s="18">
        <v>161459</v>
      </c>
      <c r="D261" s="18" t="s">
        <v>719</v>
      </c>
      <c r="E261" s="19" t="s">
        <v>720</v>
      </c>
      <c r="F261" s="19" t="s">
        <v>723</v>
      </c>
      <c r="G261" s="20">
        <v>365</v>
      </c>
      <c r="H261" s="21" t="s">
        <v>169</v>
      </c>
      <c r="I261" s="21" t="s">
        <v>194</v>
      </c>
      <c r="J261" s="21" t="s">
        <v>283</v>
      </c>
      <c r="K261" s="22">
        <v>46058</v>
      </c>
      <c r="L261" s="21" t="s">
        <v>13</v>
      </c>
      <c r="M261" s="21" t="s">
        <v>498</v>
      </c>
      <c r="N261" s="20">
        <v>670</v>
      </c>
      <c r="O261" s="20">
        <v>35</v>
      </c>
      <c r="P261" s="20" t="s">
        <v>163</v>
      </c>
      <c r="Q261" s="20">
        <v>674</v>
      </c>
      <c r="R261" s="20" t="s">
        <v>360</v>
      </c>
      <c r="S261" s="20" t="s">
        <v>679</v>
      </c>
      <c r="T261" s="18" t="s">
        <v>680</v>
      </c>
      <c r="U261" s="18">
        <v>189175</v>
      </c>
      <c r="V261" s="20"/>
      <c r="W261" s="20">
        <v>70</v>
      </c>
      <c r="X261">
        <f>VLOOKUP(C261,VN_ICT!B:W,22,TRUE)</f>
        <v>0</v>
      </c>
    </row>
    <row r="262" spans="1:24" hidden="1">
      <c r="A262" s="18">
        <v>189176</v>
      </c>
      <c r="B262" s="18">
        <v>161461</v>
      </c>
      <c r="C262" s="18">
        <v>161459</v>
      </c>
      <c r="D262" s="18" t="s">
        <v>719</v>
      </c>
      <c r="E262" s="19" t="s">
        <v>720</v>
      </c>
      <c r="F262" s="19" t="s">
        <v>724</v>
      </c>
      <c r="G262" s="20">
        <v>365</v>
      </c>
      <c r="H262" s="21" t="s">
        <v>169</v>
      </c>
      <c r="I262" s="21" t="s">
        <v>194</v>
      </c>
      <c r="J262" s="21" t="s">
        <v>283</v>
      </c>
      <c r="K262" s="22">
        <v>46058</v>
      </c>
      <c r="L262" s="21" t="s">
        <v>13</v>
      </c>
      <c r="M262" s="21" t="s">
        <v>403</v>
      </c>
      <c r="N262" s="20">
        <v>670</v>
      </c>
      <c r="O262" s="20">
        <v>42</v>
      </c>
      <c r="P262" s="20" t="s">
        <v>163</v>
      </c>
      <c r="Q262" s="20">
        <v>674</v>
      </c>
      <c r="R262" s="20" t="s">
        <v>360</v>
      </c>
      <c r="S262" s="20" t="s">
        <v>679</v>
      </c>
      <c r="T262" s="18" t="s">
        <v>680</v>
      </c>
      <c r="U262" s="18">
        <v>189176</v>
      </c>
      <c r="V262" s="20"/>
      <c r="W262" s="20">
        <v>70</v>
      </c>
      <c r="X262">
        <f>VLOOKUP(C262,VN_ICT!B:W,22,TRUE)</f>
        <v>0</v>
      </c>
    </row>
    <row r="263" spans="1:24" hidden="1">
      <c r="A263" s="18">
        <v>188799</v>
      </c>
      <c r="B263" s="18">
        <v>161463</v>
      </c>
      <c r="C263" s="18">
        <v>161462</v>
      </c>
      <c r="D263" s="18" t="s">
        <v>725</v>
      </c>
      <c r="E263" s="19" t="s">
        <v>726</v>
      </c>
      <c r="F263" s="19" t="s">
        <v>721</v>
      </c>
      <c r="G263" s="20">
        <v>365</v>
      </c>
      <c r="H263" s="21" t="s">
        <v>169</v>
      </c>
      <c r="I263" s="20" t="s">
        <v>164</v>
      </c>
      <c r="J263" s="20" t="s">
        <v>717</v>
      </c>
      <c r="K263" s="22">
        <v>46054</v>
      </c>
      <c r="L263" s="20" t="s">
        <v>14</v>
      </c>
      <c r="M263" s="21" t="s">
        <v>579</v>
      </c>
      <c r="N263" s="20">
        <v>670</v>
      </c>
      <c r="O263" s="20">
        <v>39</v>
      </c>
      <c r="P263" s="20" t="s">
        <v>163</v>
      </c>
      <c r="Q263" s="20">
        <v>674</v>
      </c>
      <c r="R263" s="20" t="s">
        <v>360</v>
      </c>
      <c r="S263" s="20" t="s">
        <v>679</v>
      </c>
      <c r="T263" s="18" t="s">
        <v>680</v>
      </c>
      <c r="U263" s="18">
        <v>188799</v>
      </c>
      <c r="V263" s="20"/>
      <c r="W263" s="20">
        <v>70</v>
      </c>
      <c r="X263">
        <f>VLOOKUP(C263,VN_ICT!B:W,22,TRUE)</f>
        <v>0</v>
      </c>
    </row>
    <row r="264" spans="1:24" hidden="1">
      <c r="A264" s="18">
        <v>188800</v>
      </c>
      <c r="B264" s="18">
        <v>161464</v>
      </c>
      <c r="C264" s="18">
        <v>161462</v>
      </c>
      <c r="D264" s="18" t="s">
        <v>725</v>
      </c>
      <c r="E264" s="19" t="s">
        <v>726</v>
      </c>
      <c r="F264" s="19" t="s">
        <v>722</v>
      </c>
      <c r="G264" s="20">
        <v>365</v>
      </c>
      <c r="H264" s="21" t="s">
        <v>169</v>
      </c>
      <c r="I264" s="20" t="s">
        <v>164</v>
      </c>
      <c r="J264" s="20" t="s">
        <v>717</v>
      </c>
      <c r="K264" s="22">
        <v>46054</v>
      </c>
      <c r="L264" s="20" t="s">
        <v>14</v>
      </c>
      <c r="M264" s="21" t="s">
        <v>406</v>
      </c>
      <c r="N264" s="20">
        <v>670</v>
      </c>
      <c r="O264" s="20">
        <v>34</v>
      </c>
      <c r="P264" s="20" t="s">
        <v>163</v>
      </c>
      <c r="Q264" s="20">
        <v>674</v>
      </c>
      <c r="R264" s="20" t="s">
        <v>360</v>
      </c>
      <c r="S264" s="20" t="s">
        <v>679</v>
      </c>
      <c r="T264" s="18" t="s">
        <v>680</v>
      </c>
      <c r="U264" s="18">
        <v>188800</v>
      </c>
      <c r="V264" s="20"/>
      <c r="W264" s="20">
        <v>70</v>
      </c>
      <c r="X264">
        <f>VLOOKUP(C264,VN_ICT!B:W,22,TRUE)</f>
        <v>0</v>
      </c>
    </row>
    <row r="265" spans="1:24" hidden="1">
      <c r="A265" s="18">
        <v>188801</v>
      </c>
      <c r="B265" s="18">
        <v>161466</v>
      </c>
      <c r="C265" s="18">
        <v>161465</v>
      </c>
      <c r="D265" s="18" t="s">
        <v>725</v>
      </c>
      <c r="E265" s="19" t="s">
        <v>726</v>
      </c>
      <c r="F265" s="19" t="s">
        <v>723</v>
      </c>
      <c r="G265" s="20">
        <v>365</v>
      </c>
      <c r="H265" s="21" t="s">
        <v>169</v>
      </c>
      <c r="I265" s="20" t="s">
        <v>164</v>
      </c>
      <c r="J265" s="20" t="s">
        <v>717</v>
      </c>
      <c r="K265" s="22">
        <v>46054</v>
      </c>
      <c r="L265" s="20" t="s">
        <v>14</v>
      </c>
      <c r="M265" s="21" t="s">
        <v>582</v>
      </c>
      <c r="N265" s="20">
        <v>670</v>
      </c>
      <c r="O265" s="20">
        <v>36</v>
      </c>
      <c r="P265" s="20" t="s">
        <v>163</v>
      </c>
      <c r="Q265" s="20">
        <v>674</v>
      </c>
      <c r="R265" s="20" t="s">
        <v>360</v>
      </c>
      <c r="S265" s="20" t="s">
        <v>679</v>
      </c>
      <c r="T265" s="18" t="s">
        <v>680</v>
      </c>
      <c r="U265" s="18">
        <v>188801</v>
      </c>
      <c r="V265" s="20"/>
      <c r="W265" s="20">
        <v>70</v>
      </c>
      <c r="X265">
        <f>VLOOKUP(C265,VN_ICT!B:W,22,TRUE)</f>
        <v>0</v>
      </c>
    </row>
    <row r="266" spans="1:24" hidden="1">
      <c r="A266" s="18">
        <v>188802</v>
      </c>
      <c r="B266" s="18">
        <v>161467</v>
      </c>
      <c r="C266" s="18">
        <v>161465</v>
      </c>
      <c r="D266" s="18" t="s">
        <v>725</v>
      </c>
      <c r="E266" s="19" t="s">
        <v>726</v>
      </c>
      <c r="F266" s="19" t="s">
        <v>724</v>
      </c>
      <c r="G266" s="20">
        <v>365</v>
      </c>
      <c r="H266" s="21" t="s">
        <v>169</v>
      </c>
      <c r="I266" s="20" t="s">
        <v>164</v>
      </c>
      <c r="J266" s="20" t="s">
        <v>717</v>
      </c>
      <c r="K266" s="22">
        <v>46054</v>
      </c>
      <c r="L266" s="20" t="s">
        <v>14</v>
      </c>
      <c r="M266" s="21" t="s">
        <v>498</v>
      </c>
      <c r="N266" s="20">
        <v>670</v>
      </c>
      <c r="O266" s="20">
        <v>39</v>
      </c>
      <c r="P266" s="20" t="s">
        <v>163</v>
      </c>
      <c r="Q266" s="20">
        <v>674</v>
      </c>
      <c r="R266" s="20" t="s">
        <v>360</v>
      </c>
      <c r="S266" s="20" t="s">
        <v>679</v>
      </c>
      <c r="T266" s="18" t="s">
        <v>680</v>
      </c>
      <c r="U266" s="18">
        <v>188802</v>
      </c>
      <c r="V266" s="20"/>
      <c r="W266" s="20">
        <v>70</v>
      </c>
      <c r="X266">
        <f>VLOOKUP(C266,VN_ICT!B:W,22,TRUE)</f>
        <v>0</v>
      </c>
    </row>
    <row r="267" spans="1:24">
      <c r="A267" s="18">
        <v>190026</v>
      </c>
      <c r="B267" s="18">
        <v>161468</v>
      </c>
      <c r="C267" s="18">
        <v>161468</v>
      </c>
      <c r="D267" s="18" t="s">
        <v>212</v>
      </c>
      <c r="E267" s="19" t="s">
        <v>213</v>
      </c>
      <c r="F267" s="19" t="s">
        <v>520</v>
      </c>
      <c r="G267" s="20">
        <v>3730</v>
      </c>
      <c r="H267" s="21" t="s">
        <v>188</v>
      </c>
      <c r="I267" s="21" t="s">
        <v>194</v>
      </c>
      <c r="J267" s="21" t="s">
        <v>215</v>
      </c>
      <c r="K267" s="22">
        <v>46057</v>
      </c>
      <c r="L267" s="21" t="s">
        <v>718</v>
      </c>
      <c r="M267" s="21" t="s">
        <v>358</v>
      </c>
      <c r="N267" s="20">
        <v>670</v>
      </c>
      <c r="O267" s="20">
        <v>45</v>
      </c>
      <c r="P267" s="20" t="s">
        <v>163</v>
      </c>
      <c r="Q267" s="20">
        <v>674</v>
      </c>
      <c r="R267" s="20" t="s">
        <v>360</v>
      </c>
      <c r="S267" s="20" t="s">
        <v>361</v>
      </c>
      <c r="T267" s="18" t="s">
        <v>362</v>
      </c>
      <c r="U267" s="18">
        <v>190026</v>
      </c>
      <c r="V267" s="20" t="s">
        <v>521</v>
      </c>
      <c r="W267" s="20">
        <v>70</v>
      </c>
      <c r="X267" t="str">
        <f>VLOOKUP(C267,VN_ICT!B:W,22,TRUE)</f>
        <v>Lê Thanh Hương</v>
      </c>
    </row>
    <row r="268" spans="1:24">
      <c r="A268" s="18">
        <v>190023</v>
      </c>
      <c r="B268" s="18">
        <v>161468</v>
      </c>
      <c r="C268" s="18">
        <v>161468</v>
      </c>
      <c r="D268" s="18" t="s">
        <v>212</v>
      </c>
      <c r="E268" s="19" t="s">
        <v>213</v>
      </c>
      <c r="F268" s="19" t="s">
        <v>520</v>
      </c>
      <c r="G268" s="20">
        <v>365</v>
      </c>
      <c r="H268" s="21" t="s">
        <v>169</v>
      </c>
      <c r="I268" s="21" t="s">
        <v>194</v>
      </c>
      <c r="J268" s="21" t="s">
        <v>215</v>
      </c>
      <c r="K268" s="22">
        <v>46057</v>
      </c>
      <c r="L268" s="21" t="s">
        <v>718</v>
      </c>
      <c r="M268" s="21" t="s">
        <v>358</v>
      </c>
      <c r="N268" s="20">
        <v>670</v>
      </c>
      <c r="O268" s="20">
        <v>1</v>
      </c>
      <c r="P268" s="20" t="s">
        <v>163</v>
      </c>
      <c r="Q268" s="20">
        <v>674</v>
      </c>
      <c r="R268" s="20" t="s">
        <v>360</v>
      </c>
      <c r="S268" s="20" t="s">
        <v>361</v>
      </c>
      <c r="T268" s="18" t="s">
        <v>362</v>
      </c>
      <c r="U268" s="18">
        <v>190023</v>
      </c>
      <c r="V268" s="20" t="s">
        <v>521</v>
      </c>
      <c r="W268" s="20">
        <v>70</v>
      </c>
      <c r="X268" t="str">
        <f>VLOOKUP(C268,VN_ICT!B:W,22,TRUE)</f>
        <v>Lê Thanh Hương</v>
      </c>
    </row>
    <row r="269" spans="1:24">
      <c r="A269" s="18">
        <v>190022</v>
      </c>
      <c r="B269" s="18">
        <v>161468</v>
      </c>
      <c r="C269" s="18">
        <v>161468</v>
      </c>
      <c r="D269" s="18" t="s">
        <v>212</v>
      </c>
      <c r="E269" s="19" t="s">
        <v>213</v>
      </c>
      <c r="F269" s="19" t="s">
        <v>520</v>
      </c>
      <c r="G269" s="20">
        <v>3729</v>
      </c>
      <c r="H269" s="21" t="s">
        <v>522</v>
      </c>
      <c r="I269" s="21" t="s">
        <v>194</v>
      </c>
      <c r="J269" s="21" t="s">
        <v>215</v>
      </c>
      <c r="K269" s="22">
        <v>46057</v>
      </c>
      <c r="L269" s="21" t="s">
        <v>718</v>
      </c>
      <c r="M269" s="21" t="s">
        <v>358</v>
      </c>
      <c r="N269" s="20">
        <v>670</v>
      </c>
      <c r="O269" s="20">
        <v>65</v>
      </c>
      <c r="P269" s="20" t="s">
        <v>163</v>
      </c>
      <c r="Q269" s="20">
        <v>674</v>
      </c>
      <c r="R269" s="20" t="s">
        <v>360</v>
      </c>
      <c r="S269" s="20" t="s">
        <v>361</v>
      </c>
      <c r="T269" s="18" t="s">
        <v>362</v>
      </c>
      <c r="U269" s="18">
        <v>190022</v>
      </c>
      <c r="V269" s="20" t="s">
        <v>521</v>
      </c>
      <c r="W269" s="20">
        <v>70</v>
      </c>
      <c r="X269" t="str">
        <f>VLOOKUP(C269,VN_ICT!B:W,22,TRUE)</f>
        <v>Lê Thanh Hương</v>
      </c>
    </row>
    <row r="270" spans="1:24">
      <c r="A270" s="18">
        <v>190025</v>
      </c>
      <c r="B270" s="18">
        <v>161468</v>
      </c>
      <c r="C270" s="18">
        <v>161468</v>
      </c>
      <c r="D270" s="18" t="s">
        <v>212</v>
      </c>
      <c r="E270" s="19" t="s">
        <v>213</v>
      </c>
      <c r="F270" s="19" t="s">
        <v>520</v>
      </c>
      <c r="G270" s="20">
        <v>3728</v>
      </c>
      <c r="H270" s="21" t="s">
        <v>523</v>
      </c>
      <c r="I270" s="21" t="s">
        <v>194</v>
      </c>
      <c r="J270" s="21" t="s">
        <v>215</v>
      </c>
      <c r="K270" s="22">
        <v>46057</v>
      </c>
      <c r="L270" s="21" t="s">
        <v>718</v>
      </c>
      <c r="M270" s="21" t="s">
        <v>358</v>
      </c>
      <c r="N270" s="20">
        <v>670</v>
      </c>
      <c r="O270" s="20">
        <v>65</v>
      </c>
      <c r="P270" s="20" t="s">
        <v>163</v>
      </c>
      <c r="Q270" s="20">
        <v>674</v>
      </c>
      <c r="R270" s="20" t="s">
        <v>360</v>
      </c>
      <c r="S270" s="20" t="s">
        <v>361</v>
      </c>
      <c r="T270" s="18" t="s">
        <v>362</v>
      </c>
      <c r="U270" s="18">
        <v>190025</v>
      </c>
      <c r="V270" s="20" t="s">
        <v>521</v>
      </c>
      <c r="W270" s="20">
        <v>70</v>
      </c>
      <c r="X270" t="str">
        <f>VLOOKUP(C270,VN_ICT!B:W,22,TRUE)</f>
        <v>Lê Thanh Hương</v>
      </c>
    </row>
    <row r="271" spans="1:24">
      <c r="A271" s="18">
        <v>190027</v>
      </c>
      <c r="B271" s="18">
        <v>161468</v>
      </c>
      <c r="C271" s="18">
        <v>161468</v>
      </c>
      <c r="D271" s="18" t="s">
        <v>212</v>
      </c>
      <c r="E271" s="19" t="s">
        <v>213</v>
      </c>
      <c r="F271" s="19" t="s">
        <v>520</v>
      </c>
      <c r="G271" s="20">
        <v>3731</v>
      </c>
      <c r="H271" s="21" t="s">
        <v>185</v>
      </c>
      <c r="I271" s="21" t="s">
        <v>194</v>
      </c>
      <c r="J271" s="21" t="s">
        <v>215</v>
      </c>
      <c r="K271" s="22">
        <v>46057</v>
      </c>
      <c r="L271" s="21" t="s">
        <v>718</v>
      </c>
      <c r="M271" s="21" t="s">
        <v>358</v>
      </c>
      <c r="N271" s="20">
        <v>670</v>
      </c>
      <c r="O271" s="20">
        <v>40</v>
      </c>
      <c r="P271" s="20" t="s">
        <v>163</v>
      </c>
      <c r="Q271" s="20">
        <v>674</v>
      </c>
      <c r="R271" s="20" t="s">
        <v>360</v>
      </c>
      <c r="S271" s="20" t="s">
        <v>361</v>
      </c>
      <c r="T271" s="18" t="s">
        <v>362</v>
      </c>
      <c r="U271" s="18">
        <v>190027</v>
      </c>
      <c r="V271" s="20" t="s">
        <v>521</v>
      </c>
      <c r="W271" s="20">
        <v>70</v>
      </c>
      <c r="X271" t="str">
        <f>VLOOKUP(C271,VN_ICT!B:W,22,TRUE)</f>
        <v>Lê Thanh Hương</v>
      </c>
    </row>
    <row r="272" spans="1:24">
      <c r="A272" s="18">
        <v>190028</v>
      </c>
      <c r="B272" s="18">
        <v>161468</v>
      </c>
      <c r="C272" s="18">
        <v>161468</v>
      </c>
      <c r="D272" s="18" t="s">
        <v>212</v>
      </c>
      <c r="E272" s="19" t="s">
        <v>213</v>
      </c>
      <c r="F272" s="19" t="s">
        <v>520</v>
      </c>
      <c r="G272" s="20">
        <v>3733</v>
      </c>
      <c r="H272" s="21" t="s">
        <v>186</v>
      </c>
      <c r="I272" s="21" t="s">
        <v>194</v>
      </c>
      <c r="J272" s="21" t="s">
        <v>215</v>
      </c>
      <c r="K272" s="22">
        <v>46057</v>
      </c>
      <c r="L272" s="21" t="s">
        <v>718</v>
      </c>
      <c r="M272" s="21" t="s">
        <v>358</v>
      </c>
      <c r="N272" s="20">
        <v>670</v>
      </c>
      <c r="O272" s="20">
        <v>38</v>
      </c>
      <c r="P272" s="20" t="s">
        <v>163</v>
      </c>
      <c r="Q272" s="20">
        <v>674</v>
      </c>
      <c r="R272" s="20" t="s">
        <v>360</v>
      </c>
      <c r="S272" s="20" t="s">
        <v>361</v>
      </c>
      <c r="T272" s="18" t="s">
        <v>362</v>
      </c>
      <c r="U272" s="18">
        <v>190028</v>
      </c>
      <c r="V272" s="20" t="s">
        <v>521</v>
      </c>
      <c r="W272" s="20">
        <v>70</v>
      </c>
      <c r="X272" t="str">
        <f>VLOOKUP(C272,VN_ICT!B:W,22,TRUE)</f>
        <v>Lê Thanh Hương</v>
      </c>
    </row>
    <row r="273" spans="1:24">
      <c r="A273" s="18">
        <v>190024</v>
      </c>
      <c r="B273" s="18">
        <v>161468</v>
      </c>
      <c r="C273" s="18">
        <v>161468</v>
      </c>
      <c r="D273" s="18" t="s">
        <v>212</v>
      </c>
      <c r="E273" s="19" t="s">
        <v>213</v>
      </c>
      <c r="F273" s="19" t="s">
        <v>520</v>
      </c>
      <c r="G273" s="20">
        <v>3732</v>
      </c>
      <c r="H273" s="21" t="s">
        <v>189</v>
      </c>
      <c r="I273" s="21" t="s">
        <v>194</v>
      </c>
      <c r="J273" s="21" t="s">
        <v>215</v>
      </c>
      <c r="K273" s="22">
        <v>46057</v>
      </c>
      <c r="L273" s="21" t="s">
        <v>718</v>
      </c>
      <c r="M273" s="21" t="s">
        <v>358</v>
      </c>
      <c r="N273" s="20">
        <v>670</v>
      </c>
      <c r="O273" s="20">
        <v>40</v>
      </c>
      <c r="P273" s="20" t="s">
        <v>163</v>
      </c>
      <c r="Q273" s="20">
        <v>674</v>
      </c>
      <c r="R273" s="20" t="s">
        <v>360</v>
      </c>
      <c r="S273" s="20" t="s">
        <v>361</v>
      </c>
      <c r="T273" s="18" t="s">
        <v>362</v>
      </c>
      <c r="U273" s="18">
        <v>190024</v>
      </c>
      <c r="V273" s="20" t="s">
        <v>521</v>
      </c>
      <c r="W273" s="20">
        <v>70</v>
      </c>
      <c r="X273" t="str">
        <f>VLOOKUP(C273,VN_ICT!B:W,22,TRUE)</f>
        <v>Lê Thanh Hương</v>
      </c>
    </row>
    <row r="274" spans="1:24">
      <c r="A274" s="18">
        <v>190243</v>
      </c>
      <c r="B274" s="18">
        <v>161469</v>
      </c>
      <c r="C274" s="18">
        <v>161469</v>
      </c>
      <c r="D274" s="18" t="s">
        <v>524</v>
      </c>
      <c r="E274" s="19" t="s">
        <v>525</v>
      </c>
      <c r="F274" s="19" t="s">
        <v>526</v>
      </c>
      <c r="G274" s="20">
        <v>3728</v>
      </c>
      <c r="H274" s="21" t="s">
        <v>523</v>
      </c>
      <c r="I274" s="21" t="s">
        <v>164</v>
      </c>
      <c r="J274" s="21" t="s">
        <v>238</v>
      </c>
      <c r="K274" s="22">
        <v>46052</v>
      </c>
      <c r="L274" s="21" t="s">
        <v>12</v>
      </c>
      <c r="M274" s="21" t="s">
        <v>358</v>
      </c>
      <c r="N274" s="20">
        <v>670</v>
      </c>
      <c r="O274" s="20">
        <v>65</v>
      </c>
      <c r="P274" s="20" t="s">
        <v>163</v>
      </c>
      <c r="Q274" s="20">
        <v>674</v>
      </c>
      <c r="R274" s="20" t="s">
        <v>360</v>
      </c>
      <c r="S274" s="20" t="s">
        <v>361</v>
      </c>
      <c r="T274" s="18" t="s">
        <v>362</v>
      </c>
      <c r="U274" s="18">
        <v>190243</v>
      </c>
      <c r="V274" s="20" t="s">
        <v>378</v>
      </c>
      <c r="W274" s="20">
        <v>70</v>
      </c>
      <c r="X274" t="str">
        <f>VLOOKUP(C274,VN_ICT!B:W,22,TRUE)</f>
        <v>Dương Quang Huy</v>
      </c>
    </row>
    <row r="275" spans="1:24">
      <c r="A275" s="18">
        <v>190245</v>
      </c>
      <c r="B275" s="18">
        <v>161469</v>
      </c>
      <c r="C275" s="18">
        <v>161469</v>
      </c>
      <c r="D275" s="18" t="s">
        <v>524</v>
      </c>
      <c r="E275" s="19" t="s">
        <v>525</v>
      </c>
      <c r="F275" s="19" t="s">
        <v>526</v>
      </c>
      <c r="G275" s="20">
        <v>365</v>
      </c>
      <c r="H275" s="21" t="s">
        <v>169</v>
      </c>
      <c r="I275" s="21" t="s">
        <v>164</v>
      </c>
      <c r="J275" s="21" t="s">
        <v>238</v>
      </c>
      <c r="K275" s="22">
        <v>46052</v>
      </c>
      <c r="L275" s="21" t="s">
        <v>12</v>
      </c>
      <c r="M275" s="21" t="s">
        <v>358</v>
      </c>
      <c r="N275" s="20">
        <v>670</v>
      </c>
      <c r="O275" s="20">
        <v>5</v>
      </c>
      <c r="P275" s="20" t="s">
        <v>163</v>
      </c>
      <c r="Q275" s="20">
        <v>674</v>
      </c>
      <c r="R275" s="20" t="s">
        <v>360</v>
      </c>
      <c r="S275" s="20" t="s">
        <v>361</v>
      </c>
      <c r="T275" s="18" t="s">
        <v>362</v>
      </c>
      <c r="U275" s="18">
        <v>190245</v>
      </c>
      <c r="V275" s="20" t="s">
        <v>378</v>
      </c>
      <c r="W275" s="20">
        <v>70</v>
      </c>
      <c r="X275" t="str">
        <f>VLOOKUP(C275,VN_ICT!B:W,22,TRUE)</f>
        <v>Dương Quang Huy</v>
      </c>
    </row>
    <row r="276" spans="1:24">
      <c r="A276" s="18">
        <v>190244</v>
      </c>
      <c r="B276" s="18">
        <v>161469</v>
      </c>
      <c r="C276" s="18">
        <v>161469</v>
      </c>
      <c r="D276" s="18" t="s">
        <v>524</v>
      </c>
      <c r="E276" s="19" t="s">
        <v>525</v>
      </c>
      <c r="F276" s="19" t="s">
        <v>526</v>
      </c>
      <c r="G276" s="20">
        <v>3729</v>
      </c>
      <c r="H276" s="21" t="s">
        <v>522</v>
      </c>
      <c r="I276" s="21" t="s">
        <v>164</v>
      </c>
      <c r="J276" s="21" t="s">
        <v>238</v>
      </c>
      <c r="K276" s="22">
        <v>46052</v>
      </c>
      <c r="L276" s="21" t="s">
        <v>12</v>
      </c>
      <c r="M276" s="21" t="s">
        <v>358</v>
      </c>
      <c r="N276" s="20">
        <v>670</v>
      </c>
      <c r="O276" s="20">
        <v>65</v>
      </c>
      <c r="P276" s="20" t="s">
        <v>163</v>
      </c>
      <c r="Q276" s="20">
        <v>674</v>
      </c>
      <c r="R276" s="20" t="s">
        <v>360</v>
      </c>
      <c r="S276" s="20" t="s">
        <v>361</v>
      </c>
      <c r="T276" s="18" t="s">
        <v>362</v>
      </c>
      <c r="U276" s="18">
        <v>190244</v>
      </c>
      <c r="V276" s="20" t="s">
        <v>378</v>
      </c>
      <c r="W276" s="20">
        <v>70</v>
      </c>
      <c r="X276" t="str">
        <f>VLOOKUP(C276,VN_ICT!B:W,22,TRUE)</f>
        <v>Dương Quang Huy</v>
      </c>
    </row>
    <row r="277" spans="1:24" hidden="1">
      <c r="A277" s="18">
        <v>190246</v>
      </c>
      <c r="B277" s="18">
        <v>161470</v>
      </c>
      <c r="C277" s="18">
        <v>161470</v>
      </c>
      <c r="D277" s="18" t="s">
        <v>527</v>
      </c>
      <c r="E277" s="19" t="s">
        <v>528</v>
      </c>
      <c r="F277" s="19" t="s">
        <v>529</v>
      </c>
      <c r="G277" s="20">
        <v>365</v>
      </c>
      <c r="H277" s="21" t="s">
        <v>169</v>
      </c>
      <c r="I277" s="21" t="s">
        <v>194</v>
      </c>
      <c r="J277" s="21" t="s">
        <v>417</v>
      </c>
      <c r="K277" s="22">
        <v>46060</v>
      </c>
      <c r="L277" s="21" t="s">
        <v>371</v>
      </c>
      <c r="M277" s="20" t="s">
        <v>24</v>
      </c>
      <c r="N277" s="20">
        <v>670</v>
      </c>
      <c r="O277" s="20">
        <v>35</v>
      </c>
      <c r="P277" s="20" t="s">
        <v>163</v>
      </c>
      <c r="Q277" s="20">
        <v>674</v>
      </c>
      <c r="R277" s="20" t="s">
        <v>360</v>
      </c>
      <c r="S277" s="20" t="s">
        <v>361</v>
      </c>
      <c r="T277" s="18" t="s">
        <v>362</v>
      </c>
      <c r="U277" s="18">
        <v>190246</v>
      </c>
      <c r="V277" s="20" t="s">
        <v>24</v>
      </c>
      <c r="W277" s="20">
        <v>70</v>
      </c>
      <c r="X277" t="str">
        <f>VLOOKUP(C277,VN_ICT!B:W,22,TRUE)</f>
        <v>Đỗ Quốc Huy</v>
      </c>
    </row>
    <row r="278" spans="1:24" hidden="1">
      <c r="A278" s="18">
        <v>190247</v>
      </c>
      <c r="B278" s="18">
        <v>161471</v>
      </c>
      <c r="C278" s="18">
        <v>161471</v>
      </c>
      <c r="D278" s="18" t="s">
        <v>527</v>
      </c>
      <c r="E278" s="19" t="s">
        <v>528</v>
      </c>
      <c r="F278" s="19" t="s">
        <v>532</v>
      </c>
      <c r="G278" s="20">
        <v>365</v>
      </c>
      <c r="H278" s="21" t="s">
        <v>169</v>
      </c>
      <c r="I278" s="21" t="s">
        <v>194</v>
      </c>
      <c r="J278" s="21" t="s">
        <v>417</v>
      </c>
      <c r="K278" s="22">
        <v>46060</v>
      </c>
      <c r="L278" s="21" t="s">
        <v>371</v>
      </c>
      <c r="M278" s="20" t="s">
        <v>25</v>
      </c>
      <c r="N278" s="20">
        <v>670</v>
      </c>
      <c r="O278" s="20">
        <v>34</v>
      </c>
      <c r="P278" s="20" t="s">
        <v>163</v>
      </c>
      <c r="Q278" s="20">
        <v>674</v>
      </c>
      <c r="R278" s="20" t="s">
        <v>360</v>
      </c>
      <c r="S278" s="20" t="s">
        <v>361</v>
      </c>
      <c r="T278" s="18" t="s">
        <v>362</v>
      </c>
      <c r="U278" s="18">
        <v>190247</v>
      </c>
      <c r="V278" s="20" t="s">
        <v>25</v>
      </c>
      <c r="W278" s="20">
        <v>70</v>
      </c>
      <c r="X278" t="str">
        <f>VLOOKUP(C278,VN_ICT!B:W,22,TRUE)</f>
        <v>Đoàn Phong Tùng</v>
      </c>
    </row>
    <row r="279" spans="1:24" hidden="1">
      <c r="A279" s="18">
        <v>190248</v>
      </c>
      <c r="B279" s="18">
        <v>161472</v>
      </c>
      <c r="C279" s="18">
        <v>161472</v>
      </c>
      <c r="D279" s="18" t="s">
        <v>527</v>
      </c>
      <c r="E279" s="19" t="s">
        <v>528</v>
      </c>
      <c r="F279" s="19" t="s">
        <v>533</v>
      </c>
      <c r="G279" s="20">
        <v>365</v>
      </c>
      <c r="H279" s="21" t="s">
        <v>169</v>
      </c>
      <c r="I279" s="21" t="s">
        <v>194</v>
      </c>
      <c r="J279" s="21" t="s">
        <v>417</v>
      </c>
      <c r="K279" s="22">
        <v>46060</v>
      </c>
      <c r="L279" s="21" t="s">
        <v>371</v>
      </c>
      <c r="M279" s="20" t="s">
        <v>23</v>
      </c>
      <c r="N279" s="20">
        <v>670</v>
      </c>
      <c r="O279" s="20">
        <v>35</v>
      </c>
      <c r="P279" s="20" t="s">
        <v>163</v>
      </c>
      <c r="Q279" s="20">
        <v>674</v>
      </c>
      <c r="R279" s="20" t="s">
        <v>360</v>
      </c>
      <c r="S279" s="20" t="s">
        <v>361</v>
      </c>
      <c r="T279" s="18" t="s">
        <v>362</v>
      </c>
      <c r="U279" s="18">
        <v>190248</v>
      </c>
      <c r="V279" s="20" t="s">
        <v>23</v>
      </c>
      <c r="W279" s="20">
        <v>70</v>
      </c>
      <c r="X279" t="str">
        <f>VLOOKUP(C279,VN_ICT!B:W,22,TRUE)</f>
        <v>Cao Tuấn Dũng (0.8) - Nguyễn Tiến Thành (0.2)</v>
      </c>
    </row>
    <row r="280" spans="1:24" hidden="1">
      <c r="A280" s="18">
        <v>190249</v>
      </c>
      <c r="B280" s="18">
        <v>161473</v>
      </c>
      <c r="C280" s="18">
        <v>161473</v>
      </c>
      <c r="D280" s="18" t="s">
        <v>527</v>
      </c>
      <c r="E280" s="19" t="s">
        <v>528</v>
      </c>
      <c r="F280" s="19" t="s">
        <v>535</v>
      </c>
      <c r="G280" s="20">
        <v>365</v>
      </c>
      <c r="H280" s="21" t="s">
        <v>169</v>
      </c>
      <c r="I280" s="21" t="s">
        <v>194</v>
      </c>
      <c r="J280" s="21" t="s">
        <v>417</v>
      </c>
      <c r="K280" s="22">
        <v>46060</v>
      </c>
      <c r="L280" s="21" t="s">
        <v>371</v>
      </c>
      <c r="M280" s="20" t="s">
        <v>26</v>
      </c>
      <c r="N280" s="20">
        <v>670</v>
      </c>
      <c r="O280" s="20">
        <v>38</v>
      </c>
      <c r="P280" s="20" t="s">
        <v>163</v>
      </c>
      <c r="Q280" s="20">
        <v>674</v>
      </c>
      <c r="R280" s="20" t="s">
        <v>360</v>
      </c>
      <c r="S280" s="20" t="s">
        <v>361</v>
      </c>
      <c r="T280" s="18" t="s">
        <v>362</v>
      </c>
      <c r="U280" s="18">
        <v>190249</v>
      </c>
      <c r="V280" s="20" t="s">
        <v>25</v>
      </c>
      <c r="W280" s="20">
        <v>70</v>
      </c>
      <c r="X280" t="str">
        <f>VLOOKUP(C280,VN_ICT!B:W,22,TRUE)</f>
        <v>Nguyễn Duy Hiệp</v>
      </c>
    </row>
    <row r="281" spans="1:24">
      <c r="A281" s="18">
        <v>190449</v>
      </c>
      <c r="B281" s="18">
        <v>161474</v>
      </c>
      <c r="C281" s="18">
        <v>161323</v>
      </c>
      <c r="D281" s="18" t="s">
        <v>309</v>
      </c>
      <c r="E281" s="19" t="s">
        <v>310</v>
      </c>
      <c r="F281" s="19" t="s">
        <v>537</v>
      </c>
      <c r="G281" s="20">
        <v>130</v>
      </c>
      <c r="H281" s="21" t="s">
        <v>193</v>
      </c>
      <c r="I281" s="21" t="s">
        <v>194</v>
      </c>
      <c r="J281" s="21" t="s">
        <v>283</v>
      </c>
      <c r="K281" s="22">
        <v>46058</v>
      </c>
      <c r="L281" s="21" t="s">
        <v>440</v>
      </c>
      <c r="M281" s="21" t="s">
        <v>358</v>
      </c>
      <c r="N281" s="20">
        <v>670</v>
      </c>
      <c r="O281" s="20">
        <v>60</v>
      </c>
      <c r="P281" s="20" t="s">
        <v>163</v>
      </c>
      <c r="Q281" s="20">
        <v>674</v>
      </c>
      <c r="R281" s="20" t="s">
        <v>360</v>
      </c>
      <c r="S281" s="20" t="s">
        <v>361</v>
      </c>
      <c r="T281" s="18" t="s">
        <v>362</v>
      </c>
      <c r="U281" s="18">
        <v>190449</v>
      </c>
      <c r="V281" s="20" t="s">
        <v>444</v>
      </c>
      <c r="W281" s="20">
        <v>68</v>
      </c>
      <c r="X281" t="str">
        <f>VLOOKUP(C281,VN_ICT!B:W,22,TRUE)</f>
        <v>Trịnh Văn Chiến</v>
      </c>
    </row>
    <row r="282" spans="1:24">
      <c r="A282" s="18">
        <v>190450</v>
      </c>
      <c r="B282" s="18">
        <v>161474</v>
      </c>
      <c r="C282" s="18">
        <v>161323</v>
      </c>
      <c r="D282" s="18" t="s">
        <v>309</v>
      </c>
      <c r="E282" s="19" t="s">
        <v>310</v>
      </c>
      <c r="F282" s="19" t="s">
        <v>537</v>
      </c>
      <c r="G282" s="20">
        <v>131</v>
      </c>
      <c r="H282" s="21" t="s">
        <v>196</v>
      </c>
      <c r="I282" s="21" t="s">
        <v>194</v>
      </c>
      <c r="J282" s="21" t="s">
        <v>283</v>
      </c>
      <c r="K282" s="22">
        <v>46058</v>
      </c>
      <c r="L282" s="21" t="s">
        <v>440</v>
      </c>
      <c r="M282" s="21" t="s">
        <v>358</v>
      </c>
      <c r="N282" s="20">
        <v>670</v>
      </c>
      <c r="O282" s="20">
        <v>60</v>
      </c>
      <c r="P282" s="20" t="s">
        <v>163</v>
      </c>
      <c r="Q282" s="20">
        <v>674</v>
      </c>
      <c r="R282" s="20" t="s">
        <v>360</v>
      </c>
      <c r="S282" s="20" t="s">
        <v>361</v>
      </c>
      <c r="T282" s="18" t="s">
        <v>362</v>
      </c>
      <c r="U282" s="18">
        <v>190450</v>
      </c>
      <c r="V282" s="20" t="s">
        <v>444</v>
      </c>
      <c r="W282" s="20">
        <v>68</v>
      </c>
      <c r="X282" t="str">
        <f>VLOOKUP(C282,VN_ICT!B:W,22,TRUE)</f>
        <v>Trịnh Văn Chiến</v>
      </c>
    </row>
    <row r="283" spans="1:24" hidden="1">
      <c r="A283" s="18">
        <v>194077</v>
      </c>
      <c r="B283" s="18">
        <v>161475</v>
      </c>
      <c r="C283" s="18">
        <v>161475</v>
      </c>
      <c r="D283" s="18" t="s">
        <v>727</v>
      </c>
      <c r="E283" s="19" t="s">
        <v>728</v>
      </c>
      <c r="F283" s="19" t="s">
        <v>729</v>
      </c>
      <c r="G283" s="20">
        <v>365</v>
      </c>
      <c r="H283" s="21" t="s">
        <v>169</v>
      </c>
      <c r="I283" s="21" t="s">
        <v>164</v>
      </c>
      <c r="J283" s="21" t="s">
        <v>278</v>
      </c>
      <c r="K283" s="22">
        <v>46049</v>
      </c>
      <c r="L283" s="21" t="s">
        <v>11</v>
      </c>
      <c r="M283" s="21" t="s">
        <v>378</v>
      </c>
      <c r="N283" s="20">
        <v>670</v>
      </c>
      <c r="O283" s="20">
        <v>1</v>
      </c>
      <c r="P283" s="20" t="s">
        <v>730</v>
      </c>
      <c r="Q283" s="20">
        <v>674</v>
      </c>
      <c r="R283" s="20" t="s">
        <v>360</v>
      </c>
      <c r="S283" s="20" t="s">
        <v>731</v>
      </c>
      <c r="T283" s="18" t="s">
        <v>732</v>
      </c>
      <c r="U283" s="18">
        <v>194077</v>
      </c>
      <c r="V283" s="20"/>
      <c r="W283" s="20">
        <v>70</v>
      </c>
      <c r="X283">
        <f>VLOOKUP(C283,VN_ICT!B:W,22,TRUE)</f>
        <v>0</v>
      </c>
    </row>
    <row r="284" spans="1:24" hidden="1">
      <c r="A284" s="18">
        <v>194079</v>
      </c>
      <c r="B284" s="18">
        <v>161475</v>
      </c>
      <c r="C284" s="18">
        <v>161475</v>
      </c>
      <c r="D284" s="18" t="s">
        <v>727</v>
      </c>
      <c r="E284" s="19" t="s">
        <v>728</v>
      </c>
      <c r="F284" s="19" t="s">
        <v>729</v>
      </c>
      <c r="G284" s="20">
        <v>3729</v>
      </c>
      <c r="H284" s="21" t="s">
        <v>522</v>
      </c>
      <c r="I284" s="21" t="s">
        <v>164</v>
      </c>
      <c r="J284" s="21" t="s">
        <v>278</v>
      </c>
      <c r="K284" s="22">
        <v>46049</v>
      </c>
      <c r="L284" s="21" t="s">
        <v>11</v>
      </c>
      <c r="M284" s="21" t="s">
        <v>378</v>
      </c>
      <c r="N284" s="20">
        <v>670</v>
      </c>
      <c r="O284" s="20">
        <v>65</v>
      </c>
      <c r="P284" s="20" t="s">
        <v>730</v>
      </c>
      <c r="Q284" s="20">
        <v>674</v>
      </c>
      <c r="R284" s="20" t="s">
        <v>360</v>
      </c>
      <c r="S284" s="20" t="s">
        <v>731</v>
      </c>
      <c r="T284" s="18" t="s">
        <v>732</v>
      </c>
      <c r="U284" s="18">
        <v>194079</v>
      </c>
      <c r="V284" s="20"/>
      <c r="W284" s="20">
        <v>70</v>
      </c>
      <c r="X284">
        <f>VLOOKUP(C284,VN_ICT!B:W,22,TRUE)</f>
        <v>0</v>
      </c>
    </row>
    <row r="285" spans="1:24" hidden="1">
      <c r="A285" s="18">
        <v>194078</v>
      </c>
      <c r="B285" s="18">
        <v>161475</v>
      </c>
      <c r="C285" s="18">
        <v>161475</v>
      </c>
      <c r="D285" s="18" t="s">
        <v>727</v>
      </c>
      <c r="E285" s="19" t="s">
        <v>728</v>
      </c>
      <c r="F285" s="19" t="s">
        <v>729</v>
      </c>
      <c r="G285" s="20">
        <v>3728</v>
      </c>
      <c r="H285" s="21" t="s">
        <v>523</v>
      </c>
      <c r="I285" s="21" t="s">
        <v>164</v>
      </c>
      <c r="J285" s="21" t="s">
        <v>278</v>
      </c>
      <c r="K285" s="22">
        <v>46049</v>
      </c>
      <c r="L285" s="21" t="s">
        <v>11</v>
      </c>
      <c r="M285" s="21" t="s">
        <v>363</v>
      </c>
      <c r="N285" s="20">
        <v>670</v>
      </c>
      <c r="O285" s="20">
        <v>65</v>
      </c>
      <c r="P285" s="20" t="s">
        <v>730</v>
      </c>
      <c r="Q285" s="20">
        <v>674</v>
      </c>
      <c r="R285" s="20" t="s">
        <v>360</v>
      </c>
      <c r="S285" s="20" t="s">
        <v>731</v>
      </c>
      <c r="T285" s="18" t="s">
        <v>732</v>
      </c>
      <c r="U285" s="18">
        <v>194078</v>
      </c>
      <c r="V285" s="20"/>
      <c r="W285" s="20">
        <v>70</v>
      </c>
      <c r="X285">
        <f>VLOOKUP(C285,VN_ICT!B:W,22,TRUE)</f>
        <v>0</v>
      </c>
    </row>
    <row r="286" spans="1:24">
      <c r="A286" s="27"/>
      <c r="B286" s="27"/>
      <c r="C286" s="27"/>
      <c r="D286" s="27"/>
      <c r="E286" s="27"/>
      <c r="F286" s="27"/>
      <c r="G286" s="27"/>
      <c r="H286" s="26"/>
      <c r="I286" s="26"/>
      <c r="J286" s="26"/>
      <c r="K286" s="28"/>
      <c r="L286" s="26"/>
      <c r="M286" s="26"/>
      <c r="N286" s="27"/>
      <c r="O286" s="26">
        <f>SUBTOTAL(9,O2:O285)</f>
        <v>6806</v>
      </c>
      <c r="P286" s="27"/>
      <c r="Q286" s="27"/>
      <c r="R286" s="27"/>
      <c r="S286" s="27"/>
      <c r="T286" s="27"/>
      <c r="U286" s="27"/>
      <c r="V286" s="26"/>
      <c r="W286" s="26"/>
    </row>
  </sheetData>
  <autoFilter ref="A1:X285" xr:uid="{4EE5802A-286E-4A4F-B185-4C981C32B2B3}">
    <filterColumn colId="12">
      <filters>
        <filter val="Phòng máy TTMT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DA55-801C-44DE-9AA8-BA37DC638EF7}">
  <sheetPr>
    <outlinePr summaryBelow="0" summaryRight="0"/>
  </sheetPr>
  <dimension ref="A1:AK1000"/>
  <sheetViews>
    <sheetView zoomScale="131" zoomScaleNormal="85" workbookViewId="0">
      <pane xSplit="2" ySplit="2" topLeftCell="X3" activePane="bottomRight" state="frozen"/>
      <selection pane="bottomRight" activeCell="B5" sqref="B5"/>
      <selection pane="bottomLeft" activeCell="A3" sqref="A3"/>
      <selection pane="topRight" activeCell="C1" sqref="C1"/>
    </sheetView>
  </sheetViews>
  <sheetFormatPr defaultColWidth="12.42578125" defaultRowHeight="15" customHeight="1"/>
  <cols>
    <col min="1" max="1" width="4" customWidth="1"/>
    <col min="2" max="2" width="16" customWidth="1"/>
    <col min="3" max="3" width="6.140625" customWidth="1"/>
    <col min="4" max="4" width="12" customWidth="1"/>
    <col min="5" max="5" width="20.85546875" customWidth="1"/>
    <col min="6" max="6" width="19.140625" customWidth="1"/>
    <col min="7" max="7" width="16.42578125" customWidth="1"/>
    <col min="8" max="8" width="12.85546875" customWidth="1"/>
    <col min="9" max="11" width="8" customWidth="1"/>
    <col min="12" max="12" width="13.28515625" customWidth="1"/>
    <col min="13" max="14" width="13.42578125" customWidth="1"/>
    <col min="15" max="15" width="16.28515625" customWidth="1"/>
    <col min="16" max="18" width="8" customWidth="1"/>
    <col min="19" max="19" width="12.140625" customWidth="1"/>
    <col min="20" max="20" width="14.28515625" customWidth="1"/>
    <col min="21" max="21" width="12.28515625" customWidth="1"/>
    <col min="22" max="22" width="13.28515625" customWidth="1"/>
    <col min="23" max="23" width="14.42578125" customWidth="1"/>
    <col min="24" max="24" width="16.28515625" bestFit="1" customWidth="1"/>
    <col min="25" max="25" width="10.85546875" customWidth="1"/>
    <col min="26" max="26" width="17.42578125" customWidth="1"/>
    <col min="27" max="27" width="14.85546875" customWidth="1"/>
    <col min="28" max="28" width="15.42578125" bestFit="1" customWidth="1"/>
    <col min="29" max="36" width="8" customWidth="1"/>
  </cols>
  <sheetData>
    <row r="1" spans="1:36" ht="12.75">
      <c r="A1" s="184" t="s">
        <v>32</v>
      </c>
      <c r="D1" s="287" t="s">
        <v>733</v>
      </c>
      <c r="E1" s="304"/>
      <c r="F1" s="304"/>
      <c r="G1" s="304"/>
      <c r="H1" s="305"/>
      <c r="I1" s="288" t="s">
        <v>734</v>
      </c>
      <c r="J1" s="304"/>
      <c r="K1" s="304"/>
      <c r="L1" s="304"/>
      <c r="M1" s="305"/>
      <c r="N1" s="287" t="s">
        <v>735</v>
      </c>
      <c r="O1" s="304"/>
      <c r="P1" s="304"/>
      <c r="Q1" s="304"/>
      <c r="R1" s="305"/>
      <c r="S1" s="288" t="s">
        <v>736</v>
      </c>
      <c r="T1" s="289"/>
      <c r="U1" s="289"/>
      <c r="V1" s="289"/>
      <c r="W1" s="290"/>
      <c r="X1" s="287" t="s">
        <v>737</v>
      </c>
      <c r="Y1" s="304"/>
      <c r="Z1" s="304"/>
      <c r="AA1" s="304"/>
      <c r="AB1" s="305"/>
      <c r="AC1" s="288" t="s">
        <v>6</v>
      </c>
      <c r="AD1" s="304"/>
      <c r="AE1" s="304"/>
      <c r="AF1" s="305"/>
      <c r="AG1" s="287" t="s">
        <v>7</v>
      </c>
      <c r="AH1" s="304"/>
      <c r="AI1" s="304"/>
      <c r="AJ1" s="305"/>
    </row>
    <row r="2" spans="1:36" ht="15" customHeight="1">
      <c r="A2" s="185" t="s">
        <v>8</v>
      </c>
      <c r="B2" s="185" t="s">
        <v>9</v>
      </c>
      <c r="C2" s="185" t="s">
        <v>10</v>
      </c>
      <c r="D2" s="186" t="s">
        <v>52</v>
      </c>
      <c r="E2" s="186" t="s">
        <v>53</v>
      </c>
      <c r="F2" s="186" t="s">
        <v>54</v>
      </c>
      <c r="G2" s="186" t="s">
        <v>55</v>
      </c>
      <c r="H2" s="186" t="s">
        <v>56</v>
      </c>
      <c r="I2" s="186" t="s">
        <v>52</v>
      </c>
      <c r="J2" s="186" t="s">
        <v>53</v>
      </c>
      <c r="K2" s="186" t="s">
        <v>54</v>
      </c>
      <c r="L2" s="186" t="s">
        <v>55</v>
      </c>
      <c r="M2" s="186" t="s">
        <v>56</v>
      </c>
      <c r="N2" s="186" t="s">
        <v>52</v>
      </c>
      <c r="O2" s="186" t="s">
        <v>53</v>
      </c>
      <c r="P2" s="186" t="s">
        <v>54</v>
      </c>
      <c r="Q2" s="186" t="s">
        <v>55</v>
      </c>
      <c r="R2" s="186" t="s">
        <v>56</v>
      </c>
      <c r="S2" s="186" t="s">
        <v>52</v>
      </c>
      <c r="T2" s="186" t="s">
        <v>53</v>
      </c>
      <c r="U2" s="186" t="s">
        <v>54</v>
      </c>
      <c r="V2" s="186" t="s">
        <v>55</v>
      </c>
      <c r="W2" s="186" t="s">
        <v>56</v>
      </c>
      <c r="X2" s="186" t="s">
        <v>52</v>
      </c>
      <c r="Y2" s="186" t="s">
        <v>53</v>
      </c>
      <c r="Z2" s="186" t="s">
        <v>54</v>
      </c>
      <c r="AA2" s="186" t="s">
        <v>55</v>
      </c>
      <c r="AB2" s="186" t="s">
        <v>56</v>
      </c>
      <c r="AC2" s="187" t="s">
        <v>11</v>
      </c>
      <c r="AD2" s="187" t="s">
        <v>12</v>
      </c>
      <c r="AE2" s="187" t="s">
        <v>13</v>
      </c>
      <c r="AF2" s="187" t="s">
        <v>14</v>
      </c>
      <c r="AG2" s="186" t="s">
        <v>11</v>
      </c>
      <c r="AH2" s="186" t="s">
        <v>12</v>
      </c>
      <c r="AI2" s="186" t="s">
        <v>13</v>
      </c>
      <c r="AJ2" s="186" t="s">
        <v>14</v>
      </c>
    </row>
    <row r="3" spans="1:36" ht="15" customHeight="1">
      <c r="A3" s="185">
        <v>1</v>
      </c>
      <c r="B3" s="185" t="s">
        <v>16</v>
      </c>
      <c r="C3" s="185">
        <v>37</v>
      </c>
      <c r="D3" s="188" t="s">
        <v>159</v>
      </c>
      <c r="E3" s="188" t="s">
        <v>159</v>
      </c>
      <c r="F3" s="188" t="s">
        <v>738</v>
      </c>
      <c r="G3" s="188" t="s">
        <v>344</v>
      </c>
      <c r="H3" s="188" t="s">
        <v>295</v>
      </c>
      <c r="I3" s="185"/>
      <c r="J3" s="185"/>
      <c r="K3" s="185"/>
      <c r="L3" s="188" t="s">
        <v>321</v>
      </c>
      <c r="M3" s="42" t="s">
        <v>411</v>
      </c>
      <c r="N3" s="188" t="s">
        <v>242</v>
      </c>
      <c r="O3" s="188" t="s">
        <v>242</v>
      </c>
      <c r="P3" s="189" t="s">
        <v>261</v>
      </c>
      <c r="Q3" s="42" t="s">
        <v>499</v>
      </c>
      <c r="R3" s="42" t="s">
        <v>261</v>
      </c>
      <c r="S3" s="188" t="s">
        <v>306</v>
      </c>
      <c r="T3" s="190"/>
      <c r="U3" s="191" t="s">
        <v>333</v>
      </c>
      <c r="V3" s="47"/>
      <c r="W3" s="47"/>
      <c r="X3" s="192" t="s">
        <v>249</v>
      </c>
      <c r="Y3" s="42" t="s">
        <v>524</v>
      </c>
      <c r="Z3" s="42" t="s">
        <v>739</v>
      </c>
      <c r="AA3" s="42" t="s">
        <v>404</v>
      </c>
      <c r="AB3" s="42" t="s">
        <v>740</v>
      </c>
      <c r="AC3" s="185"/>
      <c r="AD3" s="185"/>
      <c r="AE3" s="185"/>
      <c r="AF3" s="185"/>
      <c r="AG3" s="193"/>
      <c r="AH3" s="193"/>
      <c r="AI3" s="193"/>
      <c r="AJ3" s="193"/>
    </row>
    <row r="4" spans="1:36" ht="15" customHeight="1">
      <c r="A4" s="185">
        <v>2</v>
      </c>
      <c r="B4" s="185" t="s">
        <v>18</v>
      </c>
      <c r="C4" s="185">
        <v>37</v>
      </c>
      <c r="D4" s="188" t="s">
        <v>159</v>
      </c>
      <c r="E4" s="188" t="s">
        <v>159</v>
      </c>
      <c r="F4" s="188" t="s">
        <v>741</v>
      </c>
      <c r="G4" s="188" t="s">
        <v>344</v>
      </c>
      <c r="H4" s="188" t="s">
        <v>295</v>
      </c>
      <c r="I4" s="185"/>
      <c r="J4" s="185"/>
      <c r="K4" s="185"/>
      <c r="L4" s="188" t="s">
        <v>321</v>
      </c>
      <c r="M4" s="42" t="s">
        <v>411</v>
      </c>
      <c r="N4" s="188" t="s">
        <v>242</v>
      </c>
      <c r="O4" s="188" t="s">
        <v>242</v>
      </c>
      <c r="P4" s="189" t="s">
        <v>261</v>
      </c>
      <c r="Q4" s="42" t="s">
        <v>499</v>
      </c>
      <c r="R4" s="42" t="s">
        <v>261</v>
      </c>
      <c r="S4" s="188" t="s">
        <v>306</v>
      </c>
      <c r="T4" s="190"/>
      <c r="U4" s="191" t="s">
        <v>333</v>
      </c>
      <c r="V4" s="47"/>
      <c r="W4" s="47"/>
      <c r="X4" s="192" t="s">
        <v>249</v>
      </c>
      <c r="Y4" s="42" t="s">
        <v>524</v>
      </c>
      <c r="Z4" s="42" t="s">
        <v>742</v>
      </c>
      <c r="AA4" s="42" t="s">
        <v>404</v>
      </c>
      <c r="AB4" s="42" t="s">
        <v>740</v>
      </c>
      <c r="AC4" s="185"/>
      <c r="AD4" s="185"/>
      <c r="AE4" s="185"/>
      <c r="AF4" s="185"/>
      <c r="AG4" s="193"/>
      <c r="AH4" s="193"/>
      <c r="AI4" s="193"/>
      <c r="AJ4" s="193"/>
    </row>
    <row r="5" spans="1:36" ht="15" customHeight="1">
      <c r="A5" s="185">
        <v>3</v>
      </c>
      <c r="B5" s="185" t="s">
        <v>19</v>
      </c>
      <c r="C5" s="185">
        <v>37</v>
      </c>
      <c r="D5" s="188" t="s">
        <v>159</v>
      </c>
      <c r="E5" s="188" t="s">
        <v>159</v>
      </c>
      <c r="F5" s="188" t="s">
        <v>743</v>
      </c>
      <c r="G5" s="188" t="s">
        <v>344</v>
      </c>
      <c r="H5" s="188" t="s">
        <v>295</v>
      </c>
      <c r="I5" s="185"/>
      <c r="J5" s="185"/>
      <c r="K5" s="185"/>
      <c r="L5" s="185"/>
      <c r="M5" s="42" t="s">
        <v>411</v>
      </c>
      <c r="N5" s="188" t="s">
        <v>242</v>
      </c>
      <c r="O5" s="188" t="s">
        <v>242</v>
      </c>
      <c r="P5" s="189" t="s">
        <v>261</v>
      </c>
      <c r="Q5" s="42" t="s">
        <v>499</v>
      </c>
      <c r="R5" s="42" t="s">
        <v>261</v>
      </c>
      <c r="S5" s="185"/>
      <c r="T5" s="190"/>
      <c r="U5" s="47"/>
      <c r="V5" s="47"/>
      <c r="W5" s="47"/>
      <c r="X5" s="192" t="s">
        <v>744</v>
      </c>
      <c r="Y5" s="42" t="s">
        <v>524</v>
      </c>
      <c r="Z5" s="42" t="s">
        <v>745</v>
      </c>
      <c r="AA5" s="42" t="s">
        <v>314</v>
      </c>
      <c r="AB5" s="42" t="s">
        <v>740</v>
      </c>
      <c r="AC5" s="185"/>
      <c r="AD5" s="185"/>
      <c r="AE5" s="185"/>
      <c r="AF5" s="185"/>
      <c r="AG5" s="193"/>
      <c r="AH5" s="193"/>
      <c r="AI5" s="193"/>
      <c r="AJ5" s="193"/>
    </row>
    <row r="6" spans="1:36" ht="15" customHeight="1">
      <c r="A6" s="185">
        <v>4</v>
      </c>
      <c r="B6" s="185" t="s">
        <v>20</v>
      </c>
      <c r="C6" s="185">
        <v>37</v>
      </c>
      <c r="D6" s="188" t="s">
        <v>159</v>
      </c>
      <c r="E6" s="188" t="s">
        <v>159</v>
      </c>
      <c r="F6" s="188" t="s">
        <v>746</v>
      </c>
      <c r="G6" s="188" t="s">
        <v>344</v>
      </c>
      <c r="H6" s="193"/>
      <c r="I6" s="185"/>
      <c r="J6" s="185"/>
      <c r="K6" s="185"/>
      <c r="L6" s="185"/>
      <c r="M6" s="42" t="s">
        <v>421</v>
      </c>
      <c r="N6" s="188" t="s">
        <v>242</v>
      </c>
      <c r="O6" s="188" t="s">
        <v>242</v>
      </c>
      <c r="P6" s="189" t="s">
        <v>261</v>
      </c>
      <c r="Q6" s="42" t="s">
        <v>499</v>
      </c>
      <c r="R6" s="42" t="s">
        <v>261</v>
      </c>
      <c r="S6" s="185"/>
      <c r="T6" s="190"/>
      <c r="U6" s="190"/>
      <c r="V6" s="47"/>
      <c r="W6" s="47"/>
      <c r="X6" s="192" t="s">
        <v>747</v>
      </c>
      <c r="Y6" s="42" t="s">
        <v>524</v>
      </c>
      <c r="Z6" s="193"/>
      <c r="AA6" s="42" t="s">
        <v>314</v>
      </c>
      <c r="AB6" s="42" t="s">
        <v>740</v>
      </c>
      <c r="AC6" s="185"/>
      <c r="AD6" s="185"/>
      <c r="AE6" s="185"/>
      <c r="AF6" s="185"/>
      <c r="AG6" s="193"/>
      <c r="AH6" s="193"/>
      <c r="AI6" s="193"/>
      <c r="AJ6" s="193"/>
    </row>
    <row r="7" spans="1:36" ht="15" customHeight="1">
      <c r="A7" s="185">
        <v>5</v>
      </c>
      <c r="B7" s="185" t="s">
        <v>21</v>
      </c>
      <c r="C7" s="185">
        <v>37</v>
      </c>
      <c r="D7" s="188" t="s">
        <v>159</v>
      </c>
      <c r="E7" s="188" t="s">
        <v>159</v>
      </c>
      <c r="F7" s="188" t="s">
        <v>748</v>
      </c>
      <c r="G7" s="188" t="s">
        <v>344</v>
      </c>
      <c r="H7" s="193"/>
      <c r="I7" s="185"/>
      <c r="J7" s="185"/>
      <c r="K7" s="185"/>
      <c r="L7" s="185"/>
      <c r="M7" s="42" t="s">
        <v>421</v>
      </c>
      <c r="N7" s="188" t="s">
        <v>242</v>
      </c>
      <c r="O7" s="188" t="s">
        <v>242</v>
      </c>
      <c r="P7" s="189" t="s">
        <v>261</v>
      </c>
      <c r="Q7" s="42" t="s">
        <v>499</v>
      </c>
      <c r="R7" s="42" t="s">
        <v>261</v>
      </c>
      <c r="S7" s="185"/>
      <c r="T7" s="185"/>
      <c r="V7" s="194"/>
      <c r="W7" s="195" t="s">
        <v>284</v>
      </c>
      <c r="X7" s="193"/>
      <c r="Y7" s="188" t="s">
        <v>258</v>
      </c>
      <c r="Z7" s="188" t="s">
        <v>749</v>
      </c>
      <c r="AA7" s="42" t="s">
        <v>314</v>
      </c>
      <c r="AB7" s="42" t="s">
        <v>431</v>
      </c>
      <c r="AC7" s="185"/>
      <c r="AD7" s="185"/>
      <c r="AE7" s="185"/>
      <c r="AF7" s="185"/>
      <c r="AG7" s="193"/>
      <c r="AH7" s="193"/>
      <c r="AI7" s="193"/>
      <c r="AJ7" s="193"/>
    </row>
    <row r="8" spans="1:36" s="31" customFormat="1" ht="15" customHeight="1">
      <c r="A8" s="196">
        <v>6</v>
      </c>
      <c r="B8" s="196" t="s">
        <v>96</v>
      </c>
      <c r="C8" s="196">
        <v>30</v>
      </c>
      <c r="D8" s="197" t="s">
        <v>159</v>
      </c>
      <c r="E8" s="197" t="s">
        <v>159</v>
      </c>
      <c r="F8" s="188" t="s">
        <v>750</v>
      </c>
      <c r="G8" s="188" t="s">
        <v>344</v>
      </c>
      <c r="H8" s="198"/>
      <c r="I8" s="196"/>
      <c r="J8" s="196"/>
      <c r="K8" s="196"/>
      <c r="L8" s="196"/>
      <c r="M8" s="196"/>
      <c r="O8" s="188" t="s">
        <v>242</v>
      </c>
      <c r="P8" s="189" t="s">
        <v>261</v>
      </c>
      <c r="Q8" s="42" t="s">
        <v>499</v>
      </c>
      <c r="R8" s="199"/>
      <c r="S8" s="196"/>
      <c r="T8" s="196"/>
      <c r="U8" s="196"/>
      <c r="V8" s="196"/>
      <c r="X8" s="198"/>
      <c r="Y8" s="198"/>
      <c r="Z8" s="198"/>
      <c r="AA8" s="198"/>
      <c r="AB8" s="42" t="s">
        <v>431</v>
      </c>
      <c r="AC8" s="196"/>
      <c r="AD8" s="196"/>
      <c r="AE8" s="196"/>
      <c r="AF8" s="196"/>
      <c r="AG8" s="198"/>
      <c r="AH8" s="198"/>
      <c r="AI8" s="198"/>
      <c r="AJ8" s="198"/>
    </row>
    <row r="9" spans="1:36" ht="15" customHeight="1">
      <c r="A9" s="185">
        <v>7</v>
      </c>
      <c r="B9" s="185" t="s">
        <v>23</v>
      </c>
      <c r="C9" s="185">
        <v>37</v>
      </c>
      <c r="D9" s="188" t="s">
        <v>159</v>
      </c>
      <c r="E9" s="188" t="s">
        <v>159</v>
      </c>
      <c r="F9" s="42" t="s">
        <v>751</v>
      </c>
      <c r="G9" s="188" t="s">
        <v>344</v>
      </c>
      <c r="H9" s="193"/>
      <c r="I9" s="185"/>
      <c r="J9" s="185"/>
      <c r="K9" s="185"/>
      <c r="L9" s="185"/>
      <c r="M9" s="42" t="s">
        <v>421</v>
      </c>
      <c r="N9" s="188" t="s">
        <v>242</v>
      </c>
      <c r="O9" s="188" t="s">
        <v>242</v>
      </c>
      <c r="P9" s="189" t="s">
        <v>261</v>
      </c>
      <c r="Q9" s="189" t="s">
        <v>261</v>
      </c>
      <c r="R9" s="42" t="s">
        <v>261</v>
      </c>
      <c r="S9" s="185"/>
      <c r="T9" s="185"/>
      <c r="U9" s="42" t="s">
        <v>449</v>
      </c>
      <c r="W9" s="188" t="s">
        <v>284</v>
      </c>
      <c r="X9" s="193"/>
      <c r="Y9" s="188" t="s">
        <v>258</v>
      </c>
      <c r="Z9" s="188" t="s">
        <v>749</v>
      </c>
      <c r="AA9" s="188" t="s">
        <v>289</v>
      </c>
      <c r="AB9" s="42" t="s">
        <v>431</v>
      </c>
      <c r="AC9" s="185"/>
      <c r="AD9" s="185"/>
      <c r="AE9" s="185"/>
      <c r="AF9" s="185"/>
      <c r="AG9" s="193"/>
      <c r="AH9" s="193"/>
      <c r="AI9" s="193"/>
      <c r="AJ9" s="193"/>
    </row>
    <row r="10" spans="1:36" ht="15" customHeight="1">
      <c r="A10" s="185">
        <v>8</v>
      </c>
      <c r="B10" s="185" t="s">
        <v>24</v>
      </c>
      <c r="C10" s="185">
        <v>37</v>
      </c>
      <c r="D10" s="188" t="s">
        <v>159</v>
      </c>
      <c r="E10" s="188" t="s">
        <v>752</v>
      </c>
      <c r="F10" s="42" t="s">
        <v>753</v>
      </c>
      <c r="G10" s="188" t="s">
        <v>344</v>
      </c>
      <c r="H10" s="193"/>
      <c r="I10" s="185"/>
      <c r="J10" s="185"/>
      <c r="K10" s="185"/>
      <c r="L10" s="185"/>
      <c r="M10" s="42" t="s">
        <v>421</v>
      </c>
      <c r="N10" s="188" t="s">
        <v>242</v>
      </c>
      <c r="O10" s="188" t="s">
        <v>242</v>
      </c>
      <c r="P10" s="189" t="s">
        <v>261</v>
      </c>
      <c r="Q10" s="189" t="s">
        <v>261</v>
      </c>
      <c r="R10" s="42" t="s">
        <v>261</v>
      </c>
      <c r="S10" s="185"/>
      <c r="T10" s="185"/>
      <c r="U10" s="42" t="s">
        <v>449</v>
      </c>
      <c r="V10" s="188" t="s">
        <v>336</v>
      </c>
      <c r="W10" s="188" t="s">
        <v>284</v>
      </c>
      <c r="X10" s="42" t="s">
        <v>505</v>
      </c>
      <c r="Y10" s="188" t="s">
        <v>258</v>
      </c>
      <c r="Z10" s="188" t="s">
        <v>754</v>
      </c>
      <c r="AA10" s="188" t="s">
        <v>289</v>
      </c>
      <c r="AB10" s="42" t="s">
        <v>431</v>
      </c>
      <c r="AC10" s="185"/>
      <c r="AD10" s="185"/>
      <c r="AE10" s="185"/>
      <c r="AF10" s="185"/>
      <c r="AG10" s="193"/>
      <c r="AH10" s="193"/>
      <c r="AI10" s="193"/>
      <c r="AJ10" s="193"/>
    </row>
    <row r="11" spans="1:36" ht="15" customHeight="1">
      <c r="A11" s="185">
        <v>9</v>
      </c>
      <c r="B11" s="185" t="s">
        <v>25</v>
      </c>
      <c r="C11" s="185">
        <v>37</v>
      </c>
      <c r="D11" s="188" t="s">
        <v>159</v>
      </c>
      <c r="E11" s="188" t="s">
        <v>752</v>
      </c>
      <c r="F11" s="42" t="s">
        <v>755</v>
      </c>
      <c r="G11" s="188" t="s">
        <v>344</v>
      </c>
      <c r="H11" s="193"/>
      <c r="I11" s="185"/>
      <c r="J11" s="185"/>
      <c r="K11" s="185"/>
      <c r="L11" s="185"/>
      <c r="M11" s="42" t="s">
        <v>421</v>
      </c>
      <c r="N11" s="188" t="s">
        <v>242</v>
      </c>
      <c r="O11" s="188" t="s">
        <v>242</v>
      </c>
      <c r="P11" s="189" t="s">
        <v>261</v>
      </c>
      <c r="Q11" s="189" t="s">
        <v>261</v>
      </c>
      <c r="R11" s="42" t="s">
        <v>261</v>
      </c>
      <c r="S11" s="185"/>
      <c r="T11" s="185"/>
      <c r="U11" s="42" t="s">
        <v>449</v>
      </c>
      <c r="V11" s="188" t="s">
        <v>336</v>
      </c>
      <c r="W11" s="188" t="s">
        <v>284</v>
      </c>
      <c r="X11" s="42" t="s">
        <v>756</v>
      </c>
      <c r="Y11" s="188" t="s">
        <v>258</v>
      </c>
      <c r="Z11" s="188" t="s">
        <v>754</v>
      </c>
      <c r="AA11" s="188" t="s">
        <v>314</v>
      </c>
      <c r="AB11" s="42" t="s">
        <v>431</v>
      </c>
      <c r="AC11" s="185"/>
      <c r="AD11" s="185"/>
      <c r="AE11" s="185"/>
      <c r="AF11" s="185"/>
      <c r="AG11" s="193"/>
      <c r="AH11" s="193"/>
      <c r="AI11" s="193"/>
      <c r="AJ11" s="193"/>
    </row>
    <row r="12" spans="1:36" ht="15" customHeight="1">
      <c r="A12" s="185">
        <v>10</v>
      </c>
      <c r="B12" s="185" t="s">
        <v>26</v>
      </c>
      <c r="C12" s="185">
        <v>37</v>
      </c>
      <c r="D12" s="188" t="s">
        <v>159</v>
      </c>
      <c r="E12" s="188" t="s">
        <v>757</v>
      </c>
      <c r="F12" s="42" t="s">
        <v>758</v>
      </c>
      <c r="G12" s="42" t="s">
        <v>758</v>
      </c>
      <c r="H12" s="193"/>
      <c r="I12" s="185"/>
      <c r="J12" s="185"/>
      <c r="K12" s="185"/>
      <c r="L12" s="185"/>
      <c r="M12" s="42" t="s">
        <v>421</v>
      </c>
      <c r="N12" s="188" t="s">
        <v>759</v>
      </c>
      <c r="O12" s="188" t="s">
        <v>242</v>
      </c>
      <c r="P12" s="189" t="s">
        <v>261</v>
      </c>
      <c r="Q12" s="189" t="s">
        <v>261</v>
      </c>
      <c r="R12" s="42" t="s">
        <v>261</v>
      </c>
      <c r="S12" s="185"/>
      <c r="T12" s="185"/>
      <c r="U12" s="42" t="s">
        <v>449</v>
      </c>
      <c r="V12" s="188" t="s">
        <v>336</v>
      </c>
      <c r="W12" s="42" t="s">
        <v>760</v>
      </c>
      <c r="X12" s="42" t="s">
        <v>505</v>
      </c>
      <c r="Y12" s="188" t="s">
        <v>258</v>
      </c>
      <c r="Z12" s="188" t="s">
        <v>754</v>
      </c>
      <c r="AA12" s="188" t="s">
        <v>314</v>
      </c>
      <c r="AB12" s="42" t="s">
        <v>431</v>
      </c>
      <c r="AC12" s="185"/>
      <c r="AD12" s="185"/>
      <c r="AE12" s="185"/>
      <c r="AF12" s="185"/>
      <c r="AG12" s="193"/>
      <c r="AH12" s="193"/>
      <c r="AI12" s="193"/>
      <c r="AJ12" s="193"/>
    </row>
    <row r="13" spans="1:36" ht="15" customHeight="1">
      <c r="A13" s="185">
        <v>11</v>
      </c>
      <c r="B13" s="185" t="s">
        <v>27</v>
      </c>
      <c r="C13" s="185">
        <v>37</v>
      </c>
      <c r="D13" s="188" t="s">
        <v>159</v>
      </c>
      <c r="E13" s="188" t="s">
        <v>761</v>
      </c>
      <c r="F13" s="42" t="s">
        <v>762</v>
      </c>
      <c r="G13" s="42" t="s">
        <v>762</v>
      </c>
      <c r="H13" s="193"/>
      <c r="I13" s="185"/>
      <c r="J13" s="185"/>
      <c r="K13" s="185"/>
      <c r="L13" s="185"/>
      <c r="M13" s="42" t="s">
        <v>421</v>
      </c>
      <c r="N13" s="188" t="s">
        <v>763</v>
      </c>
      <c r="O13" s="188" t="s">
        <v>242</v>
      </c>
      <c r="P13" s="189" t="s">
        <v>261</v>
      </c>
      <c r="Q13" s="189" t="s">
        <v>261</v>
      </c>
      <c r="R13" s="42" t="s">
        <v>261</v>
      </c>
      <c r="S13" s="185"/>
      <c r="T13" s="185"/>
      <c r="U13" s="42" t="s">
        <v>449</v>
      </c>
      <c r="V13" s="188" t="s">
        <v>336</v>
      </c>
      <c r="W13" s="42" t="s">
        <v>764</v>
      </c>
      <c r="X13" s="42" t="s">
        <v>505</v>
      </c>
      <c r="Y13" s="188" t="s">
        <v>258</v>
      </c>
      <c r="Z13" s="188" t="s">
        <v>239</v>
      </c>
      <c r="AA13" s="188" t="s">
        <v>314</v>
      </c>
      <c r="AB13" s="42" t="s">
        <v>431</v>
      </c>
      <c r="AC13" s="185"/>
      <c r="AD13" s="185"/>
      <c r="AE13" s="185"/>
      <c r="AF13" s="185"/>
      <c r="AG13" s="193"/>
      <c r="AH13" s="193"/>
      <c r="AI13" s="193"/>
      <c r="AJ13" s="193"/>
    </row>
    <row r="14" spans="1:36" ht="15" customHeight="1">
      <c r="D14">
        <f>COUNTA(D3:D13)</f>
        <v>11</v>
      </c>
      <c r="E14">
        <f t="shared" ref="E14:AJ14" si="0">COUNTA(E3:E13)</f>
        <v>11</v>
      </c>
      <c r="F14">
        <f t="shared" si="0"/>
        <v>11</v>
      </c>
      <c r="G14">
        <f>COUNTA(G3:G11)</f>
        <v>9</v>
      </c>
      <c r="H14">
        <f t="shared" si="0"/>
        <v>3</v>
      </c>
      <c r="I14">
        <f t="shared" si="0"/>
        <v>0</v>
      </c>
      <c r="J14">
        <f t="shared" si="0"/>
        <v>0</v>
      </c>
      <c r="K14">
        <f>COUNTA(K3:K13)</f>
        <v>0</v>
      </c>
      <c r="L14">
        <f t="shared" si="0"/>
        <v>2</v>
      </c>
      <c r="M14">
        <f t="shared" si="0"/>
        <v>10</v>
      </c>
      <c r="N14">
        <f t="shared" si="0"/>
        <v>10</v>
      </c>
      <c r="O14">
        <f t="shared" si="0"/>
        <v>11</v>
      </c>
      <c r="P14">
        <f t="shared" si="0"/>
        <v>11</v>
      </c>
      <c r="Q14">
        <f t="shared" si="0"/>
        <v>11</v>
      </c>
      <c r="R14">
        <f t="shared" si="0"/>
        <v>10</v>
      </c>
      <c r="S14">
        <f t="shared" si="0"/>
        <v>2</v>
      </c>
      <c r="T14">
        <f>COUNTA(T3:T13)</f>
        <v>0</v>
      </c>
      <c r="U14">
        <f>COUNTA(U5:U13)</f>
        <v>5</v>
      </c>
      <c r="V14">
        <f>COUNTA(V7:V13)</f>
        <v>4</v>
      </c>
      <c r="W14">
        <f>COUNTA(W7:W13)</f>
        <v>6</v>
      </c>
      <c r="X14">
        <f t="shared" si="0"/>
        <v>8</v>
      </c>
      <c r="Y14">
        <f>COUNTA(Y3:Y13)</f>
        <v>10</v>
      </c>
      <c r="Z14">
        <f t="shared" si="0"/>
        <v>9</v>
      </c>
      <c r="AB14">
        <f t="shared" si="0"/>
        <v>11</v>
      </c>
      <c r="AC14">
        <f t="shared" si="0"/>
        <v>0</v>
      </c>
      <c r="AD14">
        <f t="shared" si="0"/>
        <v>0</v>
      </c>
      <c r="AE14">
        <f t="shared" si="0"/>
        <v>0</v>
      </c>
      <c r="AF14">
        <f t="shared" si="0"/>
        <v>0</v>
      </c>
      <c r="AG14">
        <f t="shared" si="0"/>
        <v>0</v>
      </c>
      <c r="AH14">
        <f t="shared" si="0"/>
        <v>0</v>
      </c>
      <c r="AI14">
        <f t="shared" si="0"/>
        <v>0</v>
      </c>
      <c r="AJ14">
        <f t="shared" si="0"/>
        <v>0</v>
      </c>
    </row>
    <row r="15" spans="1:36" ht="15" customHeight="1">
      <c r="B15" s="200" t="s">
        <v>29</v>
      </c>
      <c r="D15">
        <f>(11-D14)*37-5</f>
        <v>-5</v>
      </c>
      <c r="E15">
        <f t="shared" ref="E15:AJ15" si="1">(11-E14)*37-5</f>
        <v>-5</v>
      </c>
      <c r="F15">
        <f t="shared" si="1"/>
        <v>-5</v>
      </c>
      <c r="G15">
        <f t="shared" si="1"/>
        <v>69</v>
      </c>
      <c r="H15">
        <f t="shared" si="1"/>
        <v>291</v>
      </c>
      <c r="I15">
        <f t="shared" si="1"/>
        <v>402</v>
      </c>
      <c r="J15">
        <f t="shared" si="1"/>
        <v>402</v>
      </c>
      <c r="K15">
        <f t="shared" si="1"/>
        <v>402</v>
      </c>
      <c r="L15">
        <f t="shared" si="1"/>
        <v>328</v>
      </c>
      <c r="M15">
        <f>(11-M14)*37-5</f>
        <v>32</v>
      </c>
      <c r="N15">
        <f t="shared" si="1"/>
        <v>32</v>
      </c>
      <c r="O15">
        <f t="shared" si="1"/>
        <v>-5</v>
      </c>
      <c r="P15">
        <f t="shared" si="1"/>
        <v>-5</v>
      </c>
      <c r="Q15">
        <f t="shared" si="1"/>
        <v>-5</v>
      </c>
      <c r="R15">
        <f t="shared" si="1"/>
        <v>32</v>
      </c>
      <c r="S15">
        <f t="shared" si="1"/>
        <v>328</v>
      </c>
      <c r="T15">
        <f t="shared" si="1"/>
        <v>402</v>
      </c>
      <c r="U15">
        <f t="shared" si="1"/>
        <v>217</v>
      </c>
      <c r="V15">
        <f t="shared" si="1"/>
        <v>254</v>
      </c>
      <c r="W15">
        <f t="shared" si="1"/>
        <v>180</v>
      </c>
      <c r="X15">
        <f t="shared" si="1"/>
        <v>106</v>
      </c>
      <c r="Y15">
        <f t="shared" si="1"/>
        <v>32</v>
      </c>
      <c r="Z15">
        <f t="shared" si="1"/>
        <v>69</v>
      </c>
      <c r="AB15">
        <f t="shared" si="1"/>
        <v>-5</v>
      </c>
      <c r="AC15">
        <f t="shared" si="1"/>
        <v>402</v>
      </c>
      <c r="AD15">
        <f t="shared" si="1"/>
        <v>402</v>
      </c>
      <c r="AE15">
        <f t="shared" si="1"/>
        <v>402</v>
      </c>
      <c r="AF15">
        <f t="shared" si="1"/>
        <v>402</v>
      </c>
      <c r="AG15">
        <f t="shared" si="1"/>
        <v>402</v>
      </c>
      <c r="AH15">
        <f t="shared" si="1"/>
        <v>402</v>
      </c>
      <c r="AI15">
        <f t="shared" si="1"/>
        <v>402</v>
      </c>
      <c r="AJ15">
        <f t="shared" si="1"/>
        <v>402</v>
      </c>
    </row>
    <row r="17" spans="1:37" ht="15" customHeight="1">
      <c r="A17" s="260" t="s">
        <v>139</v>
      </c>
      <c r="B17" s="260"/>
      <c r="D17" s="247" t="s">
        <v>765</v>
      </c>
      <c r="E17" s="247" t="s">
        <v>765</v>
      </c>
      <c r="F17" s="37"/>
      <c r="G17" s="37"/>
      <c r="H17" s="37"/>
      <c r="I17" s="37"/>
      <c r="J17" s="37"/>
      <c r="K17" s="37"/>
      <c r="L17" s="247" t="s">
        <v>765</v>
      </c>
      <c r="M17" s="37"/>
      <c r="N17" s="37"/>
      <c r="O17" s="37"/>
      <c r="P17" s="247" t="s">
        <v>765</v>
      </c>
      <c r="Q17" s="247" t="s">
        <v>765</v>
      </c>
      <c r="R17" s="247" t="s">
        <v>765</v>
      </c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</row>
    <row r="18" spans="1:37" ht="15" customHeight="1">
      <c r="B18" t="s">
        <v>140</v>
      </c>
      <c r="C18" s="37"/>
      <c r="D18" s="251" t="s">
        <v>41</v>
      </c>
      <c r="E18" s="257"/>
      <c r="F18" s="251" t="s">
        <v>44</v>
      </c>
      <c r="G18" s="251"/>
      <c r="H18" s="251"/>
      <c r="I18" s="285"/>
      <c r="J18" s="286"/>
      <c r="K18" s="284" t="s">
        <v>39</v>
      </c>
      <c r="L18" s="285"/>
      <c r="M18" s="286"/>
      <c r="N18" s="257" t="s">
        <v>38</v>
      </c>
      <c r="O18" s="259"/>
      <c r="P18" s="257" t="s">
        <v>39</v>
      </c>
      <c r="Q18" s="258"/>
      <c r="R18" s="259"/>
      <c r="S18" s="284" t="s">
        <v>40</v>
      </c>
      <c r="T18" s="286"/>
      <c r="U18" s="284" t="s">
        <v>35</v>
      </c>
      <c r="V18" s="285"/>
      <c r="W18" s="286"/>
      <c r="X18" s="257" t="s">
        <v>43</v>
      </c>
      <c r="Y18" s="259"/>
      <c r="Z18" s="257" t="s">
        <v>40</v>
      </c>
      <c r="AA18" s="258"/>
      <c r="AB18" s="259"/>
      <c r="AC18" s="47"/>
      <c r="AD18" s="47"/>
      <c r="AE18" s="47"/>
      <c r="AF18" s="47"/>
      <c r="AG18" s="201"/>
      <c r="AH18" s="201"/>
      <c r="AI18" s="201"/>
      <c r="AJ18" s="201"/>
      <c r="AK18" s="37"/>
    </row>
    <row r="19" spans="1:37" ht="15" customHeight="1">
      <c r="B19" t="s">
        <v>141</v>
      </c>
      <c r="C19" s="37"/>
      <c r="D19" s="251" t="s">
        <v>38</v>
      </c>
      <c r="E19" s="257"/>
      <c r="F19" s="251" t="s">
        <v>39</v>
      </c>
      <c r="G19" s="251"/>
      <c r="H19" s="251"/>
      <c r="I19" s="285"/>
      <c r="J19" s="286"/>
      <c r="K19" s="284" t="s">
        <v>44</v>
      </c>
      <c r="L19" s="285"/>
      <c r="M19" s="286"/>
      <c r="N19" s="257" t="s">
        <v>43</v>
      </c>
      <c r="O19" s="259"/>
      <c r="P19" s="257" t="s">
        <v>38</v>
      </c>
      <c r="Q19" s="258"/>
      <c r="R19" s="259"/>
      <c r="S19" s="284"/>
      <c r="T19" s="286"/>
      <c r="U19" s="284" t="s">
        <v>40</v>
      </c>
      <c r="V19" s="285"/>
      <c r="W19" s="286"/>
      <c r="X19" s="257" t="s">
        <v>40</v>
      </c>
      <c r="Y19" s="259"/>
      <c r="Z19" s="257" t="s">
        <v>43</v>
      </c>
      <c r="AA19" s="258"/>
      <c r="AB19" s="259"/>
      <c r="AC19" s="47"/>
      <c r="AD19" s="47"/>
      <c r="AE19" s="47"/>
      <c r="AF19" s="47"/>
      <c r="AG19" s="201"/>
      <c r="AH19" s="201"/>
      <c r="AI19" s="201"/>
      <c r="AJ19" s="201"/>
      <c r="AK19" s="37"/>
    </row>
    <row r="20" spans="1:37" ht="15" customHeight="1"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</row>
    <row r="21" spans="1:37" ht="15.75" customHeight="1"/>
    <row r="22" spans="1:37" ht="15.75" customHeight="1"/>
    <row r="23" spans="1:37" ht="15.75" customHeight="1"/>
    <row r="24" spans="1:37" ht="15.75" customHeight="1"/>
    <row r="25" spans="1:37" ht="15.75" customHeight="1"/>
    <row r="26" spans="1:37" ht="15.75" customHeight="1"/>
    <row r="27" spans="1:37" ht="15.75" customHeight="1"/>
    <row r="28" spans="1:37" ht="15.75" customHeight="1"/>
    <row r="29" spans="1:37" ht="15.75" customHeight="1"/>
    <row r="30" spans="1:37" ht="15.75" customHeight="1"/>
    <row r="31" spans="1:37" ht="15.75" customHeight="1"/>
    <row r="32" spans="1:3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G1:AJ1"/>
    <mergeCell ref="S1:W1"/>
    <mergeCell ref="D1:H1"/>
    <mergeCell ref="I1:M1"/>
    <mergeCell ref="N1:R1"/>
    <mergeCell ref="X1:AB1"/>
    <mergeCell ref="AC1:AF1"/>
    <mergeCell ref="I18:J18"/>
    <mergeCell ref="I19:J19"/>
    <mergeCell ref="K18:M18"/>
    <mergeCell ref="K19:M19"/>
    <mergeCell ref="A17:B17"/>
    <mergeCell ref="D18:E18"/>
    <mergeCell ref="D19:E19"/>
    <mergeCell ref="F19:H19"/>
    <mergeCell ref="F18:H18"/>
    <mergeCell ref="N18:O18"/>
    <mergeCell ref="N19:O19"/>
    <mergeCell ref="P18:R18"/>
    <mergeCell ref="P19:R19"/>
    <mergeCell ref="S18:T18"/>
    <mergeCell ref="S19:T19"/>
    <mergeCell ref="U18:W18"/>
    <mergeCell ref="U19:W19"/>
    <mergeCell ref="X18:Y18"/>
    <mergeCell ref="X19:Y19"/>
    <mergeCell ref="Z18:AB18"/>
    <mergeCell ref="Z19:AB19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E246-7EC5-4DE4-BC03-7654899A31E1}">
  <sheetPr>
    <outlinePr summaryBelow="0" summaryRight="0"/>
  </sheetPr>
  <dimension ref="A1:BI1000"/>
  <sheetViews>
    <sheetView tabSelected="1" zoomScale="116" zoomScaleNormal="85" workbookViewId="0">
      <pane xSplit="2" ySplit="2" topLeftCell="J3" activePane="bottomRight" state="frozen"/>
      <selection pane="bottomRight" activeCell="S6" sqref="S6"/>
      <selection pane="bottomLeft" activeCell="A3" sqref="A3"/>
      <selection pane="topRight" activeCell="C1" sqref="C1"/>
    </sheetView>
  </sheetViews>
  <sheetFormatPr defaultColWidth="12.42578125" defaultRowHeight="15" customHeight="1"/>
  <cols>
    <col min="1" max="1" width="4" customWidth="1"/>
    <col min="2" max="2" width="18.140625" customWidth="1"/>
    <col min="3" max="3" width="6.140625" customWidth="1"/>
    <col min="4" max="4" width="13.85546875" customWidth="1"/>
    <col min="5" max="5" width="8" customWidth="1"/>
    <col min="6" max="6" width="14.7109375" customWidth="1"/>
    <col min="7" max="13" width="8" customWidth="1"/>
    <col min="14" max="14" width="16.5703125" customWidth="1"/>
    <col min="15" max="15" width="16" customWidth="1"/>
    <col min="16" max="17" width="15.5703125" customWidth="1"/>
    <col min="18" max="21" width="8" customWidth="1"/>
    <col min="22" max="22" width="8.42578125" customWidth="1"/>
    <col min="23" max="23" width="8" customWidth="1"/>
    <col min="24" max="24" width="24.42578125" customWidth="1"/>
    <col min="25" max="25" width="8" customWidth="1"/>
    <col min="26" max="26" width="19" customWidth="1"/>
    <col min="27" max="27" width="10" customWidth="1"/>
    <col min="28" max="30" width="8" customWidth="1"/>
    <col min="31" max="31" width="8.85546875" customWidth="1"/>
    <col min="32" max="32" width="7.7109375" customWidth="1"/>
    <col min="33" max="33" width="14.7109375" customWidth="1"/>
    <col min="34" max="34" width="7.85546875" customWidth="1"/>
    <col min="35" max="35" width="14.28515625" customWidth="1"/>
    <col min="36" max="36" width="8.42578125" customWidth="1"/>
    <col min="37" max="37" width="12.85546875" bestFit="1" customWidth="1"/>
    <col min="38" max="38" width="16.5703125" bestFit="1" customWidth="1"/>
    <col min="39" max="39" width="12" customWidth="1"/>
    <col min="40" max="40" width="8.140625" customWidth="1"/>
    <col min="41" max="41" width="22.28515625" bestFit="1" customWidth="1"/>
    <col min="42" max="42" width="15.5703125" bestFit="1" customWidth="1"/>
    <col min="43" max="43" width="16.42578125" bestFit="1" customWidth="1"/>
    <col min="44" max="44" width="13.140625" customWidth="1"/>
  </cols>
  <sheetData>
    <row r="1" spans="1:60" ht="12.75">
      <c r="A1" s="2" t="s">
        <v>33</v>
      </c>
      <c r="D1" s="249" t="s">
        <v>766</v>
      </c>
      <c r="E1" s="302"/>
      <c r="F1" s="302"/>
      <c r="G1" s="302"/>
      <c r="H1" s="303"/>
      <c r="I1" s="248" t="s">
        <v>767</v>
      </c>
      <c r="J1" s="302"/>
      <c r="K1" s="302"/>
      <c r="L1" s="302"/>
      <c r="M1" s="303"/>
      <c r="N1" s="249" t="s">
        <v>768</v>
      </c>
      <c r="O1" s="255"/>
      <c r="P1" s="302"/>
      <c r="Q1" s="302"/>
      <c r="R1" s="302"/>
      <c r="S1" s="302"/>
      <c r="T1" s="303"/>
      <c r="U1" s="248" t="s">
        <v>769</v>
      </c>
      <c r="V1" s="256"/>
      <c r="W1" s="256"/>
      <c r="X1" s="256"/>
      <c r="Y1" s="300"/>
      <c r="Z1" s="249" t="s">
        <v>770</v>
      </c>
      <c r="AA1" s="302"/>
      <c r="AB1" s="302"/>
      <c r="AC1" s="302"/>
      <c r="AD1" s="303"/>
      <c r="AE1" s="248" t="s">
        <v>771</v>
      </c>
      <c r="AF1" s="256"/>
      <c r="AG1" s="256"/>
      <c r="AH1" s="256"/>
      <c r="AI1" s="256"/>
      <c r="AJ1" s="300"/>
      <c r="AK1" s="295" t="s">
        <v>772</v>
      </c>
      <c r="AL1" s="296"/>
      <c r="AM1" s="296"/>
      <c r="AN1" s="296"/>
      <c r="AO1" s="296"/>
      <c r="AP1" s="296"/>
      <c r="AQ1" s="296"/>
      <c r="AR1" s="296"/>
    </row>
    <row r="2" spans="1:60" ht="15" customHeight="1">
      <c r="A2" s="1" t="s">
        <v>8</v>
      </c>
      <c r="B2" s="1" t="s">
        <v>9</v>
      </c>
      <c r="C2" s="1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6" t="s">
        <v>15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3" t="s">
        <v>773</v>
      </c>
      <c r="O2" s="46" t="s">
        <v>774</v>
      </c>
      <c r="P2" s="3" t="s">
        <v>775</v>
      </c>
      <c r="Q2" s="3" t="s">
        <v>776</v>
      </c>
      <c r="R2" s="46" t="s">
        <v>13</v>
      </c>
      <c r="S2" s="3" t="s">
        <v>14</v>
      </c>
      <c r="T2" s="3" t="s">
        <v>15</v>
      </c>
      <c r="U2" s="4" t="s">
        <v>11</v>
      </c>
      <c r="V2" s="4" t="s">
        <v>12</v>
      </c>
      <c r="W2" s="4" t="s">
        <v>13</v>
      </c>
      <c r="X2" s="4" t="s">
        <v>14</v>
      </c>
      <c r="Y2" s="4" t="s">
        <v>15</v>
      </c>
      <c r="Z2" s="3" t="s">
        <v>11</v>
      </c>
      <c r="AA2" s="3" t="s">
        <v>12</v>
      </c>
      <c r="AB2" s="3" t="s">
        <v>13</v>
      </c>
      <c r="AC2" s="3" t="s">
        <v>14</v>
      </c>
      <c r="AD2" s="3" t="s">
        <v>15</v>
      </c>
      <c r="AE2" s="48" t="s">
        <v>11</v>
      </c>
      <c r="AF2" s="113" t="s">
        <v>12</v>
      </c>
      <c r="AG2" s="298" t="s">
        <v>777</v>
      </c>
      <c r="AH2" s="299"/>
      <c r="AI2" s="298" t="s">
        <v>778</v>
      </c>
      <c r="AJ2" s="301"/>
      <c r="AK2" s="92" t="s">
        <v>779</v>
      </c>
      <c r="AL2" s="38" t="s">
        <v>780</v>
      </c>
      <c r="AM2" s="38" t="s">
        <v>781</v>
      </c>
      <c r="AN2" s="38" t="s">
        <v>782</v>
      </c>
      <c r="AO2" s="38" t="s">
        <v>783</v>
      </c>
      <c r="AP2" s="38" t="s">
        <v>784</v>
      </c>
      <c r="AQ2" s="38" t="s">
        <v>785</v>
      </c>
      <c r="AR2" s="38" t="s">
        <v>786</v>
      </c>
    </row>
    <row r="3" spans="1:60" ht="15" customHeight="1">
      <c r="A3" s="1">
        <v>1</v>
      </c>
      <c r="B3" s="1" t="s">
        <v>16</v>
      </c>
      <c r="C3" s="1">
        <v>37</v>
      </c>
      <c r="D3" s="10" t="s">
        <v>787</v>
      </c>
      <c r="E3" s="42" t="s">
        <v>457</v>
      </c>
      <c r="F3" s="10" t="s">
        <v>788</v>
      </c>
      <c r="G3" s="43" t="s">
        <v>330</v>
      </c>
      <c r="H3" s="121" t="s">
        <v>330</v>
      </c>
      <c r="I3" s="124" t="s">
        <v>383</v>
      </c>
      <c r="J3" s="1"/>
      <c r="K3" s="1"/>
      <c r="L3" s="1"/>
      <c r="N3" s="49" t="s">
        <v>789</v>
      </c>
      <c r="O3" s="49" t="s">
        <v>789</v>
      </c>
      <c r="P3" s="42" t="s">
        <v>789</v>
      </c>
      <c r="Q3" s="42" t="s">
        <v>789</v>
      </c>
      <c r="R3" s="130" t="s">
        <v>216</v>
      </c>
      <c r="S3" s="44" t="s">
        <v>339</v>
      </c>
      <c r="T3" s="42" t="s">
        <v>216</v>
      </c>
      <c r="U3" s="10" t="s">
        <v>348</v>
      </c>
      <c r="V3" s="1"/>
      <c r="W3" s="1"/>
      <c r="X3" s="42" t="s">
        <v>309</v>
      </c>
      <c r="Y3" s="42" t="s">
        <v>309</v>
      </c>
      <c r="Z3" s="10" t="s">
        <v>790</v>
      </c>
      <c r="AA3" s="42" t="s">
        <v>235</v>
      </c>
      <c r="AB3" s="42" t="s">
        <v>235</v>
      </c>
      <c r="AC3" s="42" t="s">
        <v>235</v>
      </c>
      <c r="AD3" s="47"/>
      <c r="AE3" s="47"/>
      <c r="AF3" s="47"/>
      <c r="AG3" s="109" t="s">
        <v>791</v>
      </c>
      <c r="AH3" s="110" t="s">
        <v>792</v>
      </c>
      <c r="AI3" s="109" t="s">
        <v>791</v>
      </c>
      <c r="AJ3" s="110" t="s">
        <v>793</v>
      </c>
      <c r="AK3" s="88" t="s">
        <v>200</v>
      </c>
      <c r="AL3" s="39" t="s">
        <v>200</v>
      </c>
      <c r="AM3" s="39" t="s">
        <v>200</v>
      </c>
      <c r="AN3" s="39" t="s">
        <v>200</v>
      </c>
      <c r="AO3" s="39" t="s">
        <v>200</v>
      </c>
      <c r="AP3" s="39" t="s">
        <v>200</v>
      </c>
      <c r="AQ3" s="39" t="s">
        <v>200</v>
      </c>
      <c r="AR3" s="39" t="s">
        <v>200</v>
      </c>
    </row>
    <row r="4" spans="1:60" ht="15" customHeight="1">
      <c r="A4" s="1">
        <v>2</v>
      </c>
      <c r="B4" s="1" t="s">
        <v>18</v>
      </c>
      <c r="C4" s="1">
        <v>37</v>
      </c>
      <c r="D4" s="10" t="s">
        <v>794</v>
      </c>
      <c r="E4" s="42" t="s">
        <v>457</v>
      </c>
      <c r="F4" s="10" t="s">
        <v>254</v>
      </c>
      <c r="G4" s="43" t="s">
        <v>330</v>
      </c>
      <c r="H4" s="121" t="s">
        <v>330</v>
      </c>
      <c r="I4" s="124" t="s">
        <v>383</v>
      </c>
      <c r="J4" s="1"/>
      <c r="K4" s="1"/>
      <c r="L4" s="1"/>
      <c r="N4" s="49" t="s">
        <v>212</v>
      </c>
      <c r="O4" s="83" t="s">
        <v>212</v>
      </c>
      <c r="P4" s="42" t="s">
        <v>212</v>
      </c>
      <c r="Q4" s="70" t="s">
        <v>212</v>
      </c>
      <c r="R4" s="130" t="s">
        <v>216</v>
      </c>
      <c r="S4" s="44" t="s">
        <v>339</v>
      </c>
      <c r="T4" s="42" t="s">
        <v>216</v>
      </c>
      <c r="U4" s="1"/>
      <c r="V4" s="1"/>
      <c r="W4" s="1"/>
      <c r="X4" s="42" t="s">
        <v>309</v>
      </c>
      <c r="Y4" s="42" t="s">
        <v>309</v>
      </c>
      <c r="Z4" s="10" t="s">
        <v>795</v>
      </c>
      <c r="AA4" s="42" t="s">
        <v>235</v>
      </c>
      <c r="AB4" s="42" t="s">
        <v>235</v>
      </c>
      <c r="AC4" s="42" t="s">
        <v>235</v>
      </c>
      <c r="AD4" s="47"/>
      <c r="AE4" s="47"/>
      <c r="AF4" s="47"/>
      <c r="AG4" s="109" t="s">
        <v>791</v>
      </c>
      <c r="AH4" s="110" t="s">
        <v>796</v>
      </c>
      <c r="AI4" s="109" t="s">
        <v>791</v>
      </c>
      <c r="AJ4" s="110" t="s">
        <v>797</v>
      </c>
      <c r="AK4" s="88" t="s">
        <v>200</v>
      </c>
      <c r="AL4" s="39" t="s">
        <v>200</v>
      </c>
      <c r="AM4" s="39" t="s">
        <v>200</v>
      </c>
      <c r="AN4" s="39" t="s">
        <v>200</v>
      </c>
      <c r="AO4" s="39" t="s">
        <v>200</v>
      </c>
      <c r="AP4" s="39" t="s">
        <v>200</v>
      </c>
      <c r="AQ4" s="39" t="s">
        <v>200</v>
      </c>
      <c r="AR4" s="39" t="s">
        <v>200</v>
      </c>
    </row>
    <row r="5" spans="1:60" ht="15" customHeight="1">
      <c r="A5" s="1">
        <v>3</v>
      </c>
      <c r="B5" s="1" t="s">
        <v>19</v>
      </c>
      <c r="C5" s="1">
        <v>37</v>
      </c>
      <c r="D5" s="10" t="s">
        <v>276</v>
      </c>
      <c r="E5" s="42" t="s">
        <v>457</v>
      </c>
      <c r="F5" s="10" t="s">
        <v>254</v>
      </c>
      <c r="G5" s="43" t="s">
        <v>330</v>
      </c>
      <c r="H5" s="121" t="s">
        <v>330</v>
      </c>
      <c r="I5" s="124" t="s">
        <v>383</v>
      </c>
      <c r="J5" s="1"/>
      <c r="K5" s="1"/>
      <c r="L5" s="1"/>
      <c r="N5" s="49" t="s">
        <v>212</v>
      </c>
      <c r="O5" s="83" t="s">
        <v>212</v>
      </c>
      <c r="P5" s="42" t="s">
        <v>212</v>
      </c>
      <c r="Q5" s="70" t="s">
        <v>212</v>
      </c>
      <c r="R5" s="130" t="s">
        <v>216</v>
      </c>
      <c r="S5" s="130" t="s">
        <v>216</v>
      </c>
      <c r="T5" s="42" t="s">
        <v>216</v>
      </c>
      <c r="U5" s="1"/>
      <c r="V5" s="1"/>
      <c r="W5" s="29" t="s">
        <v>309</v>
      </c>
      <c r="X5" s="42" t="s">
        <v>309</v>
      </c>
      <c r="Y5" s="42" t="s">
        <v>309</v>
      </c>
      <c r="Z5" s="10" t="s">
        <v>798</v>
      </c>
      <c r="AA5" s="42" t="s">
        <v>235</v>
      </c>
      <c r="AB5" s="42" t="s">
        <v>235</v>
      </c>
      <c r="AC5" s="42" t="s">
        <v>235</v>
      </c>
      <c r="AD5" s="1"/>
      <c r="AE5" s="1"/>
      <c r="AF5" s="1"/>
      <c r="AG5" s="109" t="s">
        <v>791</v>
      </c>
      <c r="AH5" s="110" t="s">
        <v>799</v>
      </c>
      <c r="AI5" s="109" t="s">
        <v>791</v>
      </c>
      <c r="AJ5" s="111" t="s">
        <v>800</v>
      </c>
      <c r="AK5" s="88" t="s">
        <v>200</v>
      </c>
      <c r="AL5" s="39" t="s">
        <v>200</v>
      </c>
      <c r="AM5" s="39" t="s">
        <v>200</v>
      </c>
      <c r="AN5" s="39" t="s">
        <v>200</v>
      </c>
      <c r="AO5" s="39" t="s">
        <v>200</v>
      </c>
      <c r="AP5" s="39" t="s">
        <v>200</v>
      </c>
      <c r="AQ5" s="39" t="s">
        <v>200</v>
      </c>
      <c r="AR5" s="39" t="s">
        <v>200</v>
      </c>
    </row>
    <row r="6" spans="1:60" ht="15" customHeight="1">
      <c r="A6" s="1">
        <v>4</v>
      </c>
      <c r="B6" s="1" t="s">
        <v>20</v>
      </c>
      <c r="C6" s="1">
        <v>37</v>
      </c>
      <c r="D6" s="10" t="s">
        <v>276</v>
      </c>
      <c r="E6" s="42" t="s">
        <v>457</v>
      </c>
      <c r="F6" s="10" t="s">
        <v>254</v>
      </c>
      <c r="G6" s="43" t="s">
        <v>330</v>
      </c>
      <c r="H6" s="121" t="s">
        <v>330</v>
      </c>
      <c r="I6" s="124" t="s">
        <v>383</v>
      </c>
      <c r="J6" s="1"/>
      <c r="K6" s="1"/>
      <c r="L6" s="29"/>
      <c r="N6" s="49" t="s">
        <v>212</v>
      </c>
      <c r="O6" s="83" t="s">
        <v>212</v>
      </c>
      <c r="P6" s="42" t="s">
        <v>212</v>
      </c>
      <c r="Q6" s="70" t="s">
        <v>212</v>
      </c>
      <c r="R6" s="130" t="s">
        <v>216</v>
      </c>
      <c r="S6" s="79" t="s">
        <v>317</v>
      </c>
      <c r="T6" s="42" t="s">
        <v>216</v>
      </c>
      <c r="U6" s="1"/>
      <c r="V6" s="1"/>
      <c r="W6" s="10" t="s">
        <v>309</v>
      </c>
      <c r="X6" s="42" t="s">
        <v>309</v>
      </c>
      <c r="Y6" s="42" t="s">
        <v>309</v>
      </c>
      <c r="Z6" s="10" t="s">
        <v>801</v>
      </c>
      <c r="AA6" s="42" t="s">
        <v>235</v>
      </c>
      <c r="AB6" s="42" t="s">
        <v>235</v>
      </c>
      <c r="AC6" s="42" t="s">
        <v>235</v>
      </c>
      <c r="AD6" s="1"/>
      <c r="AE6" s="1"/>
      <c r="AF6" s="1"/>
      <c r="AG6" s="47"/>
      <c r="AH6" s="47"/>
      <c r="AI6" s="47"/>
      <c r="AJ6" s="47"/>
      <c r="AK6" s="88" t="s">
        <v>200</v>
      </c>
      <c r="AL6" s="39" t="s">
        <v>200</v>
      </c>
      <c r="AM6" s="39" t="s">
        <v>200</v>
      </c>
      <c r="AN6" s="39" t="s">
        <v>200</v>
      </c>
      <c r="AO6" s="39" t="s">
        <v>200</v>
      </c>
      <c r="AP6" s="39" t="s">
        <v>200</v>
      </c>
      <c r="AQ6" s="39" t="s">
        <v>200</v>
      </c>
      <c r="AR6" s="39" t="s">
        <v>200</v>
      </c>
    </row>
    <row r="7" spans="1:60" ht="15" customHeight="1">
      <c r="A7" s="1">
        <v>5</v>
      </c>
      <c r="B7" s="1" t="s">
        <v>21</v>
      </c>
      <c r="C7" s="1">
        <v>37</v>
      </c>
      <c r="D7" s="10" t="s">
        <v>276</v>
      </c>
      <c r="E7" s="42" t="s">
        <v>457</v>
      </c>
      <c r="F7" s="70" t="s">
        <v>330</v>
      </c>
      <c r="G7" s="43" t="s">
        <v>330</v>
      </c>
      <c r="H7" s="121" t="s">
        <v>330</v>
      </c>
      <c r="I7" s="124" t="s">
        <v>383</v>
      </c>
      <c r="J7" s="1"/>
      <c r="K7" s="1"/>
      <c r="L7" s="10" t="s">
        <v>303</v>
      </c>
      <c r="N7" s="82"/>
      <c r="O7" s="83"/>
      <c r="P7" s="73"/>
      <c r="Q7" s="84"/>
      <c r="R7" s="130" t="s">
        <v>216</v>
      </c>
      <c r="S7" s="44" t="s">
        <v>317</v>
      </c>
      <c r="T7" s="42" t="s">
        <v>216</v>
      </c>
      <c r="U7" s="1"/>
      <c r="V7" s="1"/>
      <c r="W7" s="10" t="s">
        <v>309</v>
      </c>
      <c r="X7" s="42" t="s">
        <v>454</v>
      </c>
      <c r="Y7" s="42" t="s">
        <v>309</v>
      </c>
      <c r="Z7" s="5"/>
      <c r="AA7" s="10" t="s">
        <v>247</v>
      </c>
      <c r="AB7" s="10" t="s">
        <v>279</v>
      </c>
      <c r="AC7" s="42" t="s">
        <v>235</v>
      </c>
      <c r="AD7" s="47"/>
      <c r="AE7" s="47"/>
      <c r="AF7" s="47"/>
      <c r="AG7" s="47"/>
      <c r="AH7" s="47"/>
      <c r="AI7" s="47"/>
      <c r="AJ7" s="47"/>
      <c r="AK7" s="44" t="s">
        <v>190</v>
      </c>
      <c r="AL7" s="39" t="s">
        <v>200</v>
      </c>
      <c r="AM7" s="39" t="s">
        <v>200</v>
      </c>
      <c r="AN7" s="39" t="s">
        <v>200</v>
      </c>
      <c r="AO7" s="39" t="s">
        <v>200</v>
      </c>
      <c r="AP7" s="39" t="s">
        <v>200</v>
      </c>
      <c r="AQ7" s="39" t="s">
        <v>200</v>
      </c>
      <c r="AR7" s="39" t="s">
        <v>200</v>
      </c>
    </row>
    <row r="8" spans="1:60" s="31" customFormat="1" ht="15" customHeight="1">
      <c r="A8" s="6">
        <v>6</v>
      </c>
      <c r="B8" s="6" t="s">
        <v>96</v>
      </c>
      <c r="C8" s="6">
        <v>30</v>
      </c>
      <c r="D8" s="30"/>
      <c r="E8" s="30"/>
      <c r="F8" s="70" t="s">
        <v>330</v>
      </c>
      <c r="G8" s="122" t="s">
        <v>330</v>
      </c>
      <c r="H8" s="121" t="s">
        <v>330</v>
      </c>
      <c r="I8" s="132"/>
      <c r="J8" s="6"/>
      <c r="K8" s="6"/>
      <c r="L8" s="29"/>
      <c r="N8" s="81"/>
      <c r="O8" s="81"/>
      <c r="P8" s="81"/>
      <c r="Q8" s="81"/>
      <c r="R8" s="69" t="s">
        <v>223</v>
      </c>
      <c r="S8" s="44" t="s">
        <v>317</v>
      </c>
      <c r="T8" s="6"/>
      <c r="U8" s="6"/>
      <c r="V8" s="6"/>
      <c r="Y8" s="6"/>
      <c r="Z8" s="30"/>
      <c r="AA8" s="10" t="s">
        <v>247</v>
      </c>
      <c r="AB8" s="10" t="s">
        <v>279</v>
      </c>
      <c r="AD8" s="6"/>
      <c r="AE8" s="6"/>
      <c r="AF8" s="6"/>
      <c r="AG8" s="112"/>
      <c r="AH8" s="112"/>
      <c r="AI8" s="6"/>
      <c r="AJ8" s="6"/>
      <c r="AK8" s="89"/>
      <c r="AL8" s="39" t="s">
        <v>200</v>
      </c>
      <c r="AM8" s="39" t="s">
        <v>200</v>
      </c>
      <c r="AN8" s="39" t="s">
        <v>200</v>
      </c>
      <c r="AO8" s="39" t="s">
        <v>200</v>
      </c>
      <c r="AP8" s="39" t="s">
        <v>200</v>
      </c>
      <c r="AQ8" s="39" t="s">
        <v>200</v>
      </c>
      <c r="AR8" s="39" t="s">
        <v>200</v>
      </c>
    </row>
    <row r="9" spans="1:60" ht="15" customHeight="1">
      <c r="A9" s="1">
        <v>7</v>
      </c>
      <c r="B9" s="1" t="s">
        <v>23</v>
      </c>
      <c r="C9" s="1">
        <v>37</v>
      </c>
      <c r="D9" s="5"/>
      <c r="E9" s="42" t="s">
        <v>457</v>
      </c>
      <c r="F9" s="10" t="s">
        <v>254</v>
      </c>
      <c r="G9" s="43" t="s">
        <v>330</v>
      </c>
      <c r="H9" s="121" t="s">
        <v>333</v>
      </c>
      <c r="I9" s="124" t="s">
        <v>383</v>
      </c>
      <c r="J9" s="1"/>
      <c r="K9" s="1"/>
      <c r="L9" s="10" t="s">
        <v>303</v>
      </c>
      <c r="N9" s="78" t="s">
        <v>212</v>
      </c>
      <c r="O9" s="85" t="s">
        <v>212</v>
      </c>
      <c r="P9" s="86" t="s">
        <v>212</v>
      </c>
      <c r="Q9" s="87" t="s">
        <v>212</v>
      </c>
      <c r="R9" s="130" t="s">
        <v>216</v>
      </c>
      <c r="S9" s="44" t="s">
        <v>317</v>
      </c>
      <c r="T9" s="42" t="s">
        <v>216</v>
      </c>
      <c r="U9" s="81" t="s">
        <v>494</v>
      </c>
      <c r="V9" s="1"/>
      <c r="W9" s="10" t="s">
        <v>309</v>
      </c>
      <c r="X9" s="42" t="s">
        <v>454</v>
      </c>
      <c r="Y9" s="42" t="s">
        <v>309</v>
      </c>
      <c r="Z9" s="5"/>
      <c r="AA9" s="10" t="s">
        <v>247</v>
      </c>
      <c r="AB9" s="10" t="s">
        <v>279</v>
      </c>
      <c r="AC9" s="42"/>
      <c r="AD9" s="1"/>
      <c r="AE9" s="1"/>
      <c r="AF9" s="1"/>
      <c r="AG9" s="1" t="s">
        <v>802</v>
      </c>
      <c r="AH9" s="47" t="s">
        <v>803</v>
      </c>
      <c r="AI9" s="90"/>
      <c r="AJ9" s="90"/>
      <c r="AK9" s="44" t="s">
        <v>190</v>
      </c>
      <c r="AL9" s="39" t="s">
        <v>200</v>
      </c>
      <c r="AM9" s="39" t="s">
        <v>200</v>
      </c>
      <c r="AN9" s="39" t="s">
        <v>200</v>
      </c>
      <c r="AO9" s="39" t="s">
        <v>200</v>
      </c>
      <c r="AP9" s="39" t="s">
        <v>200</v>
      </c>
      <c r="AQ9" s="39" t="s">
        <v>200</v>
      </c>
      <c r="AR9" s="39" t="s">
        <v>200</v>
      </c>
    </row>
    <row r="10" spans="1:60" ht="15" customHeight="1">
      <c r="A10" s="1">
        <v>8</v>
      </c>
      <c r="B10" s="1" t="s">
        <v>24</v>
      </c>
      <c r="C10" s="1">
        <v>37</v>
      </c>
      <c r="D10" s="5"/>
      <c r="E10" s="42" t="s">
        <v>457</v>
      </c>
      <c r="F10" s="10" t="s">
        <v>804</v>
      </c>
      <c r="G10" s="43" t="s">
        <v>330</v>
      </c>
      <c r="H10" s="121" t="s">
        <v>333</v>
      </c>
      <c r="I10" s="124" t="s">
        <v>383</v>
      </c>
      <c r="J10" s="1"/>
      <c r="K10" s="1"/>
      <c r="L10" s="10" t="s">
        <v>303</v>
      </c>
      <c r="N10" s="5" t="s">
        <v>212</v>
      </c>
      <c r="O10" s="68" t="s">
        <v>212</v>
      </c>
      <c r="P10" s="42" t="s">
        <v>212</v>
      </c>
      <c r="Q10" s="70" t="s">
        <v>212</v>
      </c>
      <c r="R10" s="130" t="s">
        <v>216</v>
      </c>
      <c r="S10" s="44" t="s">
        <v>317</v>
      </c>
      <c r="T10" s="42" t="s">
        <v>216</v>
      </c>
      <c r="U10" s="81" t="s">
        <v>494</v>
      </c>
      <c r="V10" s="1"/>
      <c r="W10" s="10" t="s">
        <v>309</v>
      </c>
      <c r="X10" s="10" t="s">
        <v>805</v>
      </c>
      <c r="Y10" s="42" t="s">
        <v>309</v>
      </c>
      <c r="Z10" s="5"/>
      <c r="AA10" s="10" t="s">
        <v>247</v>
      </c>
      <c r="AB10" s="10" t="s">
        <v>279</v>
      </c>
      <c r="AD10" s="1"/>
      <c r="AE10" s="1"/>
      <c r="AF10" s="1"/>
      <c r="AG10" s="1" t="s">
        <v>802</v>
      </c>
      <c r="AH10" s="47" t="s">
        <v>806</v>
      </c>
      <c r="AI10" s="90"/>
      <c r="AJ10" s="90"/>
      <c r="AK10" s="44" t="s">
        <v>190</v>
      </c>
      <c r="AL10" s="39" t="s">
        <v>200</v>
      </c>
      <c r="AM10" s="39" t="s">
        <v>200</v>
      </c>
      <c r="AN10" s="39" t="s">
        <v>200</v>
      </c>
      <c r="AO10" s="39" t="s">
        <v>200</v>
      </c>
      <c r="AP10" s="39" t="s">
        <v>200</v>
      </c>
      <c r="AQ10" s="39" t="s">
        <v>200</v>
      </c>
      <c r="AR10" s="39" t="s">
        <v>200</v>
      </c>
    </row>
    <row r="11" spans="1:60" ht="15" customHeight="1">
      <c r="A11" s="1">
        <v>9</v>
      </c>
      <c r="B11" s="1" t="s">
        <v>25</v>
      </c>
      <c r="C11" s="1">
        <v>37</v>
      </c>
      <c r="D11" s="5"/>
      <c r="E11" s="42" t="s">
        <v>457</v>
      </c>
      <c r="F11" s="10" t="s">
        <v>807</v>
      </c>
      <c r="G11" s="43" t="s">
        <v>330</v>
      </c>
      <c r="H11" s="121" t="s">
        <v>333</v>
      </c>
      <c r="I11" s="124" t="s">
        <v>383</v>
      </c>
      <c r="J11" s="1"/>
      <c r="K11" s="1"/>
      <c r="L11" s="10" t="s">
        <v>303</v>
      </c>
      <c r="N11" s="5" t="s">
        <v>212</v>
      </c>
      <c r="O11" s="68" t="s">
        <v>212</v>
      </c>
      <c r="P11" s="42" t="s">
        <v>212</v>
      </c>
      <c r="Q11" s="70" t="s">
        <v>212</v>
      </c>
      <c r="R11" s="69" t="s">
        <v>221</v>
      </c>
      <c r="S11" s="44" t="s">
        <v>317</v>
      </c>
      <c r="T11" s="42" t="s">
        <v>216</v>
      </c>
      <c r="U11" s="81" t="s">
        <v>494</v>
      </c>
      <c r="V11" s="1"/>
      <c r="W11" s="10" t="s">
        <v>309</v>
      </c>
      <c r="X11" s="10" t="s">
        <v>808</v>
      </c>
      <c r="Y11" s="42" t="s">
        <v>309</v>
      </c>
      <c r="Z11" s="5"/>
      <c r="AA11" s="10" t="s">
        <v>247</v>
      </c>
      <c r="AB11" s="10" t="s">
        <v>279</v>
      </c>
      <c r="AC11" s="10" t="s">
        <v>341</v>
      </c>
      <c r="AD11" s="47"/>
      <c r="AE11" s="47"/>
      <c r="AF11" s="1"/>
      <c r="AG11" s="1" t="s">
        <v>802</v>
      </c>
      <c r="AH11" s="47" t="s">
        <v>809</v>
      </c>
      <c r="AI11" s="90"/>
      <c r="AJ11" s="90"/>
      <c r="AK11" s="44" t="s">
        <v>190</v>
      </c>
      <c r="AL11" s="39" t="s">
        <v>200</v>
      </c>
      <c r="AM11" s="39" t="s">
        <v>200</v>
      </c>
      <c r="AN11" s="39" t="s">
        <v>200</v>
      </c>
      <c r="AO11" s="39" t="s">
        <v>200</v>
      </c>
      <c r="AP11" s="39" t="s">
        <v>200</v>
      </c>
      <c r="AQ11" s="39" t="s">
        <v>200</v>
      </c>
      <c r="AR11" s="39" t="s">
        <v>200</v>
      </c>
    </row>
    <row r="12" spans="1:60" ht="15" customHeight="1">
      <c r="A12" s="1">
        <v>10</v>
      </c>
      <c r="B12" s="1" t="s">
        <v>26</v>
      </c>
      <c r="C12" s="1">
        <v>37</v>
      </c>
      <c r="D12" s="5"/>
      <c r="E12" s="42" t="s">
        <v>457</v>
      </c>
      <c r="F12" s="10" t="s">
        <v>810</v>
      </c>
      <c r="G12" s="43" t="s">
        <v>330</v>
      </c>
      <c r="H12" s="121" t="s">
        <v>333</v>
      </c>
      <c r="I12" s="124" t="s">
        <v>383</v>
      </c>
      <c r="J12" s="1"/>
      <c r="K12" s="1"/>
      <c r="L12" s="10" t="s">
        <v>303</v>
      </c>
      <c r="N12" s="5" t="s">
        <v>212</v>
      </c>
      <c r="O12" s="68" t="s">
        <v>212</v>
      </c>
      <c r="P12" s="42" t="s">
        <v>212</v>
      </c>
      <c r="Q12" s="70" t="s">
        <v>212</v>
      </c>
      <c r="R12" s="69" t="s">
        <v>221</v>
      </c>
      <c r="S12" s="44" t="s">
        <v>317</v>
      </c>
      <c r="T12" s="42" t="s">
        <v>216</v>
      </c>
      <c r="U12" s="81" t="s">
        <v>494</v>
      </c>
      <c r="V12" s="1"/>
      <c r="W12" s="10" t="s">
        <v>309</v>
      </c>
      <c r="X12" s="10" t="s">
        <v>811</v>
      </c>
      <c r="Y12" s="42" t="s">
        <v>309</v>
      </c>
      <c r="Z12" s="5"/>
      <c r="AA12" s="10" t="s">
        <v>247</v>
      </c>
      <c r="AB12" s="10" t="s">
        <v>279</v>
      </c>
      <c r="AC12" s="10" t="s">
        <v>341</v>
      </c>
      <c r="AD12" s="47"/>
      <c r="AE12" s="47"/>
      <c r="AF12" s="1"/>
      <c r="AG12" s="108" t="s">
        <v>812</v>
      </c>
      <c r="AH12" s="64" t="s">
        <v>813</v>
      </c>
      <c r="AI12" s="47"/>
      <c r="AJ12" s="47"/>
      <c r="AK12" s="44" t="s">
        <v>190</v>
      </c>
      <c r="AL12" s="39" t="s">
        <v>200</v>
      </c>
      <c r="AM12" s="39" t="s">
        <v>200</v>
      </c>
      <c r="AN12" s="39" t="s">
        <v>200</v>
      </c>
      <c r="AO12" s="39" t="s">
        <v>200</v>
      </c>
      <c r="AP12" s="39" t="s">
        <v>200</v>
      </c>
      <c r="AQ12" s="39" t="s">
        <v>200</v>
      </c>
      <c r="AR12" s="39" t="s">
        <v>200</v>
      </c>
    </row>
    <row r="13" spans="1:60" ht="15" customHeight="1">
      <c r="A13" s="1">
        <v>11</v>
      </c>
      <c r="B13" s="1" t="s">
        <v>27</v>
      </c>
      <c r="C13" s="1">
        <v>37</v>
      </c>
      <c r="D13" s="5"/>
      <c r="E13" s="42" t="s">
        <v>457</v>
      </c>
      <c r="F13" s="10" t="s">
        <v>814</v>
      </c>
      <c r="G13" s="43" t="s">
        <v>330</v>
      </c>
      <c r="H13" s="121" t="s">
        <v>333</v>
      </c>
      <c r="I13" s="124" t="s">
        <v>383</v>
      </c>
      <c r="J13" s="1"/>
      <c r="K13" s="1"/>
      <c r="L13" s="10" t="s">
        <v>303</v>
      </c>
      <c r="N13" s="5" t="s">
        <v>212</v>
      </c>
      <c r="O13" s="68" t="s">
        <v>212</v>
      </c>
      <c r="P13" s="42" t="s">
        <v>212</v>
      </c>
      <c r="Q13" s="70" t="s">
        <v>212</v>
      </c>
      <c r="R13" s="69" t="s">
        <v>221</v>
      </c>
      <c r="S13" s="44" t="s">
        <v>317</v>
      </c>
      <c r="T13" s="80"/>
      <c r="U13" s="81" t="s">
        <v>494</v>
      </c>
      <c r="V13" s="1"/>
      <c r="W13" s="10" t="s">
        <v>309</v>
      </c>
      <c r="X13" s="10" t="s">
        <v>815</v>
      </c>
      <c r="Y13" s="42" t="s">
        <v>309</v>
      </c>
      <c r="Z13" s="5"/>
      <c r="AA13" s="10" t="s">
        <v>247</v>
      </c>
      <c r="AB13" s="10" t="s">
        <v>279</v>
      </c>
      <c r="AC13" s="10" t="s">
        <v>341</v>
      </c>
      <c r="AD13" s="47"/>
      <c r="AE13" s="47"/>
      <c r="AF13" s="47"/>
      <c r="AG13" s="108" t="s">
        <v>812</v>
      </c>
      <c r="AH13" s="64" t="s">
        <v>816</v>
      </c>
      <c r="AI13" s="47"/>
      <c r="AJ13" s="47"/>
      <c r="AK13" s="44" t="s">
        <v>190</v>
      </c>
      <c r="AL13" s="39" t="s">
        <v>200</v>
      </c>
      <c r="AM13" s="39" t="s">
        <v>200</v>
      </c>
      <c r="AN13" s="39" t="s">
        <v>200</v>
      </c>
      <c r="AO13" s="39" t="s">
        <v>200</v>
      </c>
      <c r="AP13" s="39" t="s">
        <v>200</v>
      </c>
      <c r="AQ13" s="39" t="s">
        <v>200</v>
      </c>
      <c r="AR13" s="39" t="s">
        <v>200</v>
      </c>
    </row>
    <row r="14" spans="1:60" ht="15" customHeight="1">
      <c r="D14">
        <f>COUNTA(D3:D13)</f>
        <v>5</v>
      </c>
      <c r="E14">
        <f t="shared" ref="E14:N14" si="0">COUNTA(E3:E13)</f>
        <v>10</v>
      </c>
      <c r="F14">
        <f t="shared" si="0"/>
        <v>11</v>
      </c>
      <c r="G14">
        <f t="shared" si="0"/>
        <v>11</v>
      </c>
      <c r="H14" s="37">
        <f t="shared" si="0"/>
        <v>11</v>
      </c>
      <c r="I14">
        <f>COUNTA(#REF!)</f>
        <v>1</v>
      </c>
      <c r="J14">
        <f>COUNTA(I3:I13)</f>
        <v>10</v>
      </c>
      <c r="K14">
        <f t="shared" si="0"/>
        <v>0</v>
      </c>
      <c r="L14">
        <f t="shared" si="0"/>
        <v>6</v>
      </c>
      <c r="M14">
        <f>COUNTA(#REF!)</f>
        <v>1</v>
      </c>
      <c r="N14">
        <f t="shared" si="0"/>
        <v>9</v>
      </c>
      <c r="P14">
        <f>COUNTA(P3:P13)</f>
        <v>9</v>
      </c>
      <c r="R14">
        <f>COUNTA(T3:T13)</f>
        <v>9</v>
      </c>
      <c r="S14">
        <f>COUNTA(S3:S13)</f>
        <v>11</v>
      </c>
      <c r="T14">
        <f>COUNTA(Q3:Q13)</f>
        <v>9</v>
      </c>
      <c r="U14">
        <f>COUNTA(U3:U13)</f>
        <v>6</v>
      </c>
      <c r="V14">
        <f t="shared" ref="V14:AB14" si="1">COUNTA(V3:V13)</f>
        <v>0</v>
      </c>
      <c r="W14">
        <f t="shared" si="1"/>
        <v>8</v>
      </c>
      <c r="X14">
        <f t="shared" si="1"/>
        <v>10</v>
      </c>
      <c r="Y14">
        <f t="shared" si="1"/>
        <v>10</v>
      </c>
      <c r="Z14">
        <f t="shared" si="1"/>
        <v>4</v>
      </c>
      <c r="AA14">
        <f t="shared" si="1"/>
        <v>11</v>
      </c>
      <c r="AB14">
        <f t="shared" si="1"/>
        <v>11</v>
      </c>
      <c r="AD14">
        <f>COUNTA(#REF!)</f>
        <v>1</v>
      </c>
      <c r="AE14" s="37">
        <f>COUNTA(AE3:AE10)</f>
        <v>0</v>
      </c>
      <c r="AF14" s="37">
        <f>COUNTA(AF3:AF10)</f>
        <v>0</v>
      </c>
      <c r="AG14" s="37">
        <f>COUNTA(AG5:AG8)</f>
        <v>1</v>
      </c>
      <c r="AH14" s="37">
        <f>COUNTA(AH3:AH6)</f>
        <v>3</v>
      </c>
      <c r="AI14" s="37"/>
      <c r="AJ14" s="37"/>
      <c r="AK14">
        <f t="shared" ref="AK14:AR14" si="2">COUNTA(AK3:AK13)</f>
        <v>10</v>
      </c>
      <c r="AL14">
        <f t="shared" si="2"/>
        <v>11</v>
      </c>
      <c r="AM14">
        <f t="shared" si="2"/>
        <v>11</v>
      </c>
      <c r="AN14">
        <f t="shared" si="2"/>
        <v>11</v>
      </c>
      <c r="AO14">
        <f t="shared" si="2"/>
        <v>11</v>
      </c>
      <c r="AP14">
        <f t="shared" si="2"/>
        <v>11</v>
      </c>
      <c r="AQ14">
        <f t="shared" si="2"/>
        <v>11</v>
      </c>
      <c r="AR14">
        <f t="shared" si="2"/>
        <v>11</v>
      </c>
    </row>
    <row r="15" spans="1:60" ht="15" customHeight="1">
      <c r="B15" s="41" t="s">
        <v>29</v>
      </c>
      <c r="D15">
        <f>(11-D14)*37-5</f>
        <v>217</v>
      </c>
      <c r="E15">
        <f t="shared" ref="E15:AF15" si="3">(11-E14)*37-5</f>
        <v>32</v>
      </c>
      <c r="F15">
        <f t="shared" si="3"/>
        <v>-5</v>
      </c>
      <c r="G15">
        <f t="shared" si="3"/>
        <v>-5</v>
      </c>
      <c r="H15">
        <f t="shared" si="3"/>
        <v>-5</v>
      </c>
      <c r="I15">
        <f t="shared" si="3"/>
        <v>365</v>
      </c>
      <c r="J15">
        <f t="shared" si="3"/>
        <v>32</v>
      </c>
      <c r="K15">
        <f t="shared" si="3"/>
        <v>402</v>
      </c>
      <c r="L15">
        <f t="shared" si="3"/>
        <v>180</v>
      </c>
      <c r="M15">
        <f t="shared" si="3"/>
        <v>365</v>
      </c>
      <c r="N15">
        <f t="shared" si="3"/>
        <v>69</v>
      </c>
      <c r="P15">
        <f t="shared" si="3"/>
        <v>69</v>
      </c>
      <c r="R15">
        <f t="shared" si="3"/>
        <v>69</v>
      </c>
      <c r="S15">
        <f t="shared" si="3"/>
        <v>-5</v>
      </c>
      <c r="T15">
        <f t="shared" si="3"/>
        <v>69</v>
      </c>
      <c r="U15">
        <f t="shared" si="3"/>
        <v>180</v>
      </c>
      <c r="V15">
        <f t="shared" si="3"/>
        <v>402</v>
      </c>
      <c r="W15">
        <f t="shared" si="3"/>
        <v>106</v>
      </c>
      <c r="X15">
        <f t="shared" si="3"/>
        <v>32</v>
      </c>
      <c r="Y15">
        <f t="shared" si="3"/>
        <v>32</v>
      </c>
      <c r="Z15">
        <f t="shared" si="3"/>
        <v>254</v>
      </c>
      <c r="AA15">
        <f t="shared" si="3"/>
        <v>-5</v>
      </c>
      <c r="AB15">
        <f t="shared" si="3"/>
        <v>-5</v>
      </c>
      <c r="AD15">
        <f t="shared" si="3"/>
        <v>365</v>
      </c>
      <c r="AE15">
        <f t="shared" si="3"/>
        <v>402</v>
      </c>
      <c r="AF15">
        <f t="shared" si="3"/>
        <v>402</v>
      </c>
    </row>
    <row r="16" spans="1:60" ht="15" customHeight="1">
      <c r="N16" s="297"/>
      <c r="O16" s="297"/>
      <c r="P16" s="297"/>
      <c r="Q16" s="297"/>
      <c r="R16" s="297"/>
      <c r="S16" s="297"/>
      <c r="T16" s="29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</row>
    <row r="17" spans="1:61" s="37" customFormat="1" ht="15" customHeight="1">
      <c r="A17" s="260" t="s">
        <v>139</v>
      </c>
      <c r="B17" s="260"/>
      <c r="D17" s="260"/>
      <c r="E17" s="260"/>
      <c r="AK17" s="293" t="s">
        <v>817</v>
      </c>
      <c r="AL17" s="293"/>
      <c r="AM17" s="293"/>
      <c r="AN17" s="294"/>
      <c r="AO17" s="291" t="s">
        <v>818</v>
      </c>
      <c r="AP17" s="292"/>
      <c r="AQ17" s="292"/>
      <c r="AR17" s="292"/>
    </row>
    <row r="18" spans="1:61" s="47" customFormat="1" ht="15" customHeight="1">
      <c r="B18" s="47" t="s">
        <v>140</v>
      </c>
      <c r="D18" s="250" t="s">
        <v>43</v>
      </c>
      <c r="E18" s="250"/>
      <c r="F18" s="250" t="s">
        <v>41</v>
      </c>
      <c r="G18" s="250"/>
      <c r="H18" s="250"/>
      <c r="I18" s="250" t="s">
        <v>44</v>
      </c>
      <c r="J18" s="250"/>
      <c r="K18" s="250"/>
      <c r="L18" s="250"/>
      <c r="M18" s="250"/>
      <c r="N18" s="284" t="s">
        <v>43</v>
      </c>
      <c r="O18" s="285"/>
      <c r="P18" s="286"/>
      <c r="Q18" s="59"/>
      <c r="R18" s="284" t="s">
        <v>39</v>
      </c>
      <c r="S18" s="285"/>
      <c r="T18" s="286"/>
      <c r="U18" s="284" t="s">
        <v>40</v>
      </c>
      <c r="V18" s="286"/>
      <c r="W18" s="284" t="s">
        <v>38</v>
      </c>
      <c r="X18" s="285"/>
      <c r="Y18" s="286"/>
      <c r="Z18" s="284" t="s">
        <v>43</v>
      </c>
      <c r="AA18" s="286"/>
      <c r="AB18" s="284" t="s">
        <v>41</v>
      </c>
      <c r="AC18" s="285"/>
      <c r="AD18" s="286"/>
      <c r="AG18" s="50" t="s">
        <v>43</v>
      </c>
      <c r="AH18" s="51" t="s">
        <v>44</v>
      </c>
      <c r="AI18" s="59"/>
      <c r="AJ18" s="59"/>
      <c r="AK18" s="62" t="s">
        <v>43</v>
      </c>
      <c r="AL18" s="62" t="s">
        <v>35</v>
      </c>
      <c r="AM18" s="62" t="s">
        <v>36</v>
      </c>
      <c r="AN18" s="63"/>
      <c r="AO18" s="64" t="s">
        <v>44</v>
      </c>
      <c r="AP18" s="64" t="s">
        <v>36</v>
      </c>
      <c r="AQ18" s="64" t="s">
        <v>35</v>
      </c>
      <c r="AR18" s="131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51"/>
    </row>
    <row r="19" spans="1:61" s="47" customFormat="1" ht="15" customHeight="1">
      <c r="B19" s="47" t="s">
        <v>141</v>
      </c>
      <c r="D19" s="250" t="s">
        <v>41</v>
      </c>
      <c r="E19" s="250"/>
      <c r="F19" s="250" t="s">
        <v>44</v>
      </c>
      <c r="G19" s="250"/>
      <c r="H19" s="250"/>
      <c r="I19" s="250" t="s">
        <v>41</v>
      </c>
      <c r="J19" s="250"/>
      <c r="K19" s="250" t="s">
        <v>41</v>
      </c>
      <c r="L19" s="250"/>
      <c r="M19" s="250"/>
      <c r="N19" s="284" t="s">
        <v>39</v>
      </c>
      <c r="O19" s="285"/>
      <c r="P19" s="286"/>
      <c r="Q19" s="59"/>
      <c r="R19" s="284" t="s">
        <v>43</v>
      </c>
      <c r="S19" s="285"/>
      <c r="T19" s="286"/>
      <c r="U19" s="284" t="s">
        <v>35</v>
      </c>
      <c r="V19" s="286"/>
      <c r="W19" s="284" t="s">
        <v>40</v>
      </c>
      <c r="X19" s="285"/>
      <c r="Y19" s="286"/>
      <c r="Z19" s="284" t="s">
        <v>40</v>
      </c>
      <c r="AA19" s="286"/>
      <c r="AB19" s="284" t="s">
        <v>40</v>
      </c>
      <c r="AC19" s="285"/>
      <c r="AD19" s="286"/>
      <c r="AG19" s="284" t="s">
        <v>819</v>
      </c>
      <c r="AH19" s="286"/>
      <c r="AI19" s="59"/>
      <c r="AJ19" s="59"/>
      <c r="AK19" s="62" t="s">
        <v>41</v>
      </c>
      <c r="AL19" s="62" t="s">
        <v>39</v>
      </c>
      <c r="AM19" s="62" t="s">
        <v>37</v>
      </c>
      <c r="AN19" s="63"/>
      <c r="AO19" s="47" t="s">
        <v>40</v>
      </c>
      <c r="AP19" s="64" t="s">
        <v>37</v>
      </c>
      <c r="AQ19" s="64" t="s">
        <v>38</v>
      </c>
      <c r="AR19" s="131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51"/>
    </row>
    <row r="20" spans="1:61" s="37" customFormat="1" ht="15" customHeight="1"/>
    <row r="21" spans="1:61" ht="15.75" customHeight="1"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</row>
    <row r="22" spans="1:61" ht="15.75" customHeight="1"/>
    <row r="23" spans="1:61" ht="15.75" customHeight="1"/>
    <row r="24" spans="1:61" ht="15.75" customHeight="1"/>
    <row r="25" spans="1:61" ht="15.75" customHeight="1"/>
    <row r="26" spans="1:61" ht="15.75" customHeight="1"/>
    <row r="27" spans="1:61" ht="15.75" customHeight="1"/>
    <row r="28" spans="1:61" ht="15.75" customHeight="1"/>
    <row r="29" spans="1:61" ht="15.75" customHeight="1"/>
    <row r="30" spans="1:61" ht="15.75" customHeight="1"/>
    <row r="31" spans="1:61" ht="15.75" customHeight="1"/>
    <row r="32" spans="1:6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G2:AH2"/>
    <mergeCell ref="AE1:AJ1"/>
    <mergeCell ref="D1:H1"/>
    <mergeCell ref="I1:M1"/>
    <mergeCell ref="N1:T1"/>
    <mergeCell ref="U1:Y1"/>
    <mergeCell ref="Z1:AD1"/>
    <mergeCell ref="AI2:AJ2"/>
    <mergeCell ref="AK1:AR1"/>
    <mergeCell ref="D17:E17"/>
    <mergeCell ref="D18:E18"/>
    <mergeCell ref="D19:E19"/>
    <mergeCell ref="A17:B17"/>
    <mergeCell ref="F19:H19"/>
    <mergeCell ref="F18:H18"/>
    <mergeCell ref="I18:J18"/>
    <mergeCell ref="I19:J19"/>
    <mergeCell ref="K18:M18"/>
    <mergeCell ref="K19:M19"/>
    <mergeCell ref="N18:P18"/>
    <mergeCell ref="R18:T18"/>
    <mergeCell ref="R19:T19"/>
    <mergeCell ref="U18:V18"/>
    <mergeCell ref="N16:T16"/>
    <mergeCell ref="N19:P19"/>
    <mergeCell ref="AO17:AR17"/>
    <mergeCell ref="U19:V19"/>
    <mergeCell ref="W18:Y18"/>
    <mergeCell ref="W19:Y19"/>
    <mergeCell ref="AK17:AN17"/>
    <mergeCell ref="Z18:AA18"/>
    <mergeCell ref="Z19:AA19"/>
    <mergeCell ref="AB18:AD18"/>
    <mergeCell ref="AB19:AD19"/>
    <mergeCell ref="AG19:AH19"/>
  </mergeCells>
  <phoneticPr fontId="12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747B-5584-2645-9F92-4031C9AE157D}">
  <dimension ref="A1:N278"/>
  <sheetViews>
    <sheetView topLeftCell="B97" workbookViewId="0">
      <selection activeCell="K115" sqref="K115"/>
    </sheetView>
  </sheetViews>
  <sheetFormatPr defaultColWidth="11.42578125" defaultRowHeight="15"/>
  <cols>
    <col min="1" max="1" width="6.7109375" style="114" customWidth="1"/>
    <col min="2" max="2" width="15.7109375" style="114" customWidth="1"/>
    <col min="3" max="3" width="19.42578125" style="114" customWidth="1"/>
    <col min="4" max="4" width="13" style="116" customWidth="1"/>
    <col min="5" max="5" width="35" style="116" customWidth="1"/>
    <col min="6" max="6" width="18.42578125" style="146" customWidth="1"/>
    <col min="7" max="7" width="13.42578125" style="146" customWidth="1"/>
    <col min="8" max="8" width="13.7109375" style="146" customWidth="1"/>
    <col min="9" max="9" width="15.42578125" style="146" customWidth="1"/>
    <col min="10" max="10" width="13.28515625" style="116" customWidth="1"/>
    <col min="11" max="11" width="17.42578125" style="114" customWidth="1"/>
    <col min="12" max="12" width="29.140625" style="116" customWidth="1"/>
    <col min="13" max="13" width="23.85546875" style="116" customWidth="1"/>
    <col min="14" max="14" width="23.42578125" style="116" customWidth="1"/>
    <col min="15" max="16384" width="11.42578125" style="116"/>
  </cols>
  <sheetData>
    <row r="1" spans="1:14" ht="20.25">
      <c r="D1" s="115" t="s">
        <v>820</v>
      </c>
    </row>
    <row r="2" spans="1:14" ht="20.25">
      <c r="D2" s="115" t="s">
        <v>821</v>
      </c>
      <c r="E2" s="115" t="s">
        <v>822</v>
      </c>
    </row>
    <row r="3" spans="1:14" ht="20.25">
      <c r="D3" s="115" t="s">
        <v>823</v>
      </c>
      <c r="E3" s="115"/>
    </row>
    <row r="4" spans="1:14" ht="20.25">
      <c r="D4" s="115"/>
      <c r="E4" s="115"/>
    </row>
    <row r="6" spans="1:14" s="117" customFormat="1" ht="30.75">
      <c r="A6" s="102" t="s">
        <v>824</v>
      </c>
      <c r="B6" s="102" t="s">
        <v>144</v>
      </c>
      <c r="C6" s="102" t="s">
        <v>825</v>
      </c>
      <c r="D6" s="102" t="s">
        <v>146</v>
      </c>
      <c r="E6" s="102" t="s">
        <v>147</v>
      </c>
      <c r="F6" s="102" t="s">
        <v>826</v>
      </c>
      <c r="G6" s="102" t="s">
        <v>544</v>
      </c>
      <c r="H6" s="103" t="s">
        <v>153</v>
      </c>
      <c r="I6" s="102" t="s">
        <v>154</v>
      </c>
      <c r="J6" s="102" t="s">
        <v>156</v>
      </c>
      <c r="K6" s="118" t="s">
        <v>827</v>
      </c>
      <c r="L6" s="102" t="s">
        <v>828</v>
      </c>
      <c r="M6" s="102" t="s">
        <v>829</v>
      </c>
      <c r="N6" s="138" t="s">
        <v>830</v>
      </c>
    </row>
    <row r="7" spans="1:14">
      <c r="A7" s="114">
        <f t="shared" ref="A7:A70" si="0">ROW()-6</f>
        <v>1</v>
      </c>
      <c r="D7" s="139" t="s">
        <v>230</v>
      </c>
      <c r="E7" s="139" t="s">
        <v>502</v>
      </c>
      <c r="F7" s="147">
        <v>20</v>
      </c>
      <c r="G7" s="147">
        <v>4</v>
      </c>
      <c r="H7" s="148">
        <v>46043</v>
      </c>
      <c r="I7" s="147">
        <v>1</v>
      </c>
      <c r="J7" s="142" t="s">
        <v>16</v>
      </c>
      <c r="K7" s="143">
        <v>33</v>
      </c>
      <c r="L7" s="116" t="s">
        <v>37</v>
      </c>
      <c r="M7" s="116" t="s">
        <v>509</v>
      </c>
      <c r="N7" s="137"/>
    </row>
    <row r="8" spans="1:14">
      <c r="A8" s="114">
        <f t="shared" si="0"/>
        <v>2</v>
      </c>
      <c r="D8" s="139" t="s">
        <v>230</v>
      </c>
      <c r="E8" s="139" t="s">
        <v>502</v>
      </c>
      <c r="F8" s="147">
        <v>20</v>
      </c>
      <c r="G8" s="147">
        <v>4</v>
      </c>
      <c r="H8" s="148">
        <v>46043</v>
      </c>
      <c r="I8" s="147">
        <v>1</v>
      </c>
      <c r="J8" s="142" t="s">
        <v>18</v>
      </c>
      <c r="K8" s="143">
        <v>32</v>
      </c>
      <c r="L8" s="116" t="s">
        <v>509</v>
      </c>
      <c r="M8" s="116" t="s">
        <v>509</v>
      </c>
      <c r="N8" s="137"/>
    </row>
    <row r="9" spans="1:14">
      <c r="A9" s="114">
        <f t="shared" si="0"/>
        <v>3</v>
      </c>
      <c r="D9" s="139" t="s">
        <v>230</v>
      </c>
      <c r="E9" s="139" t="s">
        <v>502</v>
      </c>
      <c r="F9" s="147">
        <v>20</v>
      </c>
      <c r="G9" s="147">
        <v>4</v>
      </c>
      <c r="H9" s="148">
        <v>46043</v>
      </c>
      <c r="I9" s="147">
        <v>1</v>
      </c>
      <c r="J9" s="139" t="s">
        <v>19</v>
      </c>
      <c r="K9" s="143">
        <v>31</v>
      </c>
      <c r="L9" s="116" t="s">
        <v>831</v>
      </c>
      <c r="M9" s="116" t="s">
        <v>509</v>
      </c>
      <c r="N9" s="137"/>
    </row>
    <row r="10" spans="1:14">
      <c r="A10" s="114">
        <f t="shared" si="0"/>
        <v>4</v>
      </c>
      <c r="D10" s="139" t="s">
        <v>230</v>
      </c>
      <c r="E10" s="139" t="s">
        <v>502</v>
      </c>
      <c r="F10" s="147">
        <v>20</v>
      </c>
      <c r="G10" s="147">
        <v>4</v>
      </c>
      <c r="H10" s="148">
        <v>46043</v>
      </c>
      <c r="I10" s="147">
        <v>2</v>
      </c>
      <c r="J10" s="139" t="s">
        <v>16</v>
      </c>
      <c r="K10" s="143">
        <v>32</v>
      </c>
      <c r="L10" s="116" t="s">
        <v>447</v>
      </c>
      <c r="M10" s="116" t="s">
        <v>509</v>
      </c>
      <c r="N10" s="137"/>
    </row>
    <row r="11" spans="1:14">
      <c r="A11" s="114">
        <f t="shared" si="0"/>
        <v>5</v>
      </c>
      <c r="D11" s="139" t="s">
        <v>230</v>
      </c>
      <c r="E11" s="139" t="s">
        <v>502</v>
      </c>
      <c r="F11" s="147">
        <v>20</v>
      </c>
      <c r="G11" s="147">
        <v>4</v>
      </c>
      <c r="H11" s="148">
        <v>46043</v>
      </c>
      <c r="I11" s="147">
        <v>2</v>
      </c>
      <c r="J11" s="139" t="s">
        <v>18</v>
      </c>
      <c r="K11" s="143">
        <v>32</v>
      </c>
      <c r="L11" s="116" t="s">
        <v>509</v>
      </c>
      <c r="M11" s="116" t="s">
        <v>509</v>
      </c>
      <c r="N11" s="137"/>
    </row>
    <row r="12" spans="1:14">
      <c r="A12" s="114">
        <f t="shared" si="0"/>
        <v>6</v>
      </c>
      <c r="D12" s="139" t="s">
        <v>230</v>
      </c>
      <c r="E12" s="139" t="s">
        <v>502</v>
      </c>
      <c r="F12" s="147">
        <v>20</v>
      </c>
      <c r="G12" s="147">
        <v>4</v>
      </c>
      <c r="H12" s="148">
        <v>46043</v>
      </c>
      <c r="I12" s="147">
        <v>2</v>
      </c>
      <c r="J12" s="139" t="s">
        <v>19</v>
      </c>
      <c r="K12" s="143">
        <v>32</v>
      </c>
      <c r="L12" s="116" t="s">
        <v>831</v>
      </c>
      <c r="M12" s="116" t="s">
        <v>509</v>
      </c>
      <c r="N12" s="137"/>
    </row>
    <row r="13" spans="1:14">
      <c r="A13" s="114">
        <f t="shared" si="0"/>
        <v>7</v>
      </c>
      <c r="D13" s="139" t="s">
        <v>230</v>
      </c>
      <c r="E13" s="139" t="s">
        <v>502</v>
      </c>
      <c r="F13" s="147">
        <v>20</v>
      </c>
      <c r="G13" s="147">
        <v>4</v>
      </c>
      <c r="H13" s="148">
        <v>46043</v>
      </c>
      <c r="I13" s="147">
        <v>2</v>
      </c>
      <c r="J13" s="139" t="s">
        <v>20</v>
      </c>
      <c r="K13" s="143">
        <v>22</v>
      </c>
      <c r="L13" s="116" t="s">
        <v>456</v>
      </c>
      <c r="M13" s="116" t="s">
        <v>509</v>
      </c>
      <c r="N13" s="137"/>
    </row>
    <row r="14" spans="1:14">
      <c r="A14" s="114">
        <f t="shared" si="0"/>
        <v>8</v>
      </c>
      <c r="D14" s="144" t="s">
        <v>505</v>
      </c>
      <c r="E14" s="144" t="s">
        <v>502</v>
      </c>
      <c r="F14" s="149">
        <v>20</v>
      </c>
      <c r="G14" s="149">
        <v>4</v>
      </c>
      <c r="H14" s="150">
        <v>46043</v>
      </c>
      <c r="I14" s="149">
        <v>4</v>
      </c>
      <c r="J14" s="144" t="s">
        <v>23</v>
      </c>
      <c r="K14" s="145">
        <v>31</v>
      </c>
      <c r="L14" s="116" t="s">
        <v>402</v>
      </c>
      <c r="M14" s="116" t="s">
        <v>509</v>
      </c>
      <c r="N14" s="137"/>
    </row>
    <row r="15" spans="1:14">
      <c r="A15" s="114">
        <f t="shared" si="0"/>
        <v>9</v>
      </c>
      <c r="D15" s="144" t="s">
        <v>505</v>
      </c>
      <c r="E15" s="144" t="s">
        <v>502</v>
      </c>
      <c r="F15" s="149">
        <v>20</v>
      </c>
      <c r="G15" s="149">
        <v>4</v>
      </c>
      <c r="H15" s="150">
        <v>46043</v>
      </c>
      <c r="I15" s="149">
        <v>4</v>
      </c>
      <c r="J15" s="144" t="s">
        <v>24</v>
      </c>
      <c r="K15" s="145">
        <v>31</v>
      </c>
      <c r="L15" s="116" t="s">
        <v>832</v>
      </c>
      <c r="M15" s="116" t="s">
        <v>509</v>
      </c>
      <c r="N15" s="137"/>
    </row>
    <row r="16" spans="1:14">
      <c r="A16" s="114">
        <f t="shared" si="0"/>
        <v>10</v>
      </c>
      <c r="D16" s="144" t="s">
        <v>505</v>
      </c>
      <c r="E16" s="144" t="s">
        <v>502</v>
      </c>
      <c r="F16" s="149">
        <v>20</v>
      </c>
      <c r="G16" s="149">
        <v>4</v>
      </c>
      <c r="H16" s="150">
        <v>46043</v>
      </c>
      <c r="I16" s="149">
        <v>4</v>
      </c>
      <c r="J16" s="144" t="s">
        <v>25</v>
      </c>
      <c r="K16" s="145">
        <v>32</v>
      </c>
      <c r="L16" s="116" t="s">
        <v>509</v>
      </c>
      <c r="M16" s="116" t="s">
        <v>509</v>
      </c>
      <c r="N16" s="137"/>
    </row>
    <row r="17" spans="1:14">
      <c r="A17" s="114">
        <f t="shared" si="0"/>
        <v>11</v>
      </c>
      <c r="D17" s="144" t="s">
        <v>505</v>
      </c>
      <c r="E17" s="144" t="s">
        <v>502</v>
      </c>
      <c r="F17" s="149">
        <v>20</v>
      </c>
      <c r="G17" s="149">
        <v>4</v>
      </c>
      <c r="H17" s="150">
        <v>46043</v>
      </c>
      <c r="I17" s="149">
        <v>4</v>
      </c>
      <c r="J17" s="144" t="s">
        <v>26</v>
      </c>
      <c r="K17" s="145">
        <v>28</v>
      </c>
      <c r="L17" s="116" t="s">
        <v>37</v>
      </c>
      <c r="M17" s="116" t="s">
        <v>509</v>
      </c>
      <c r="N17" s="137"/>
    </row>
    <row r="18" spans="1:14">
      <c r="A18" s="114">
        <f t="shared" si="0"/>
        <v>12</v>
      </c>
      <c r="D18" s="144" t="s">
        <v>505</v>
      </c>
      <c r="E18" s="144" t="s">
        <v>502</v>
      </c>
      <c r="F18" s="149">
        <v>20</v>
      </c>
      <c r="G18" s="149">
        <v>4</v>
      </c>
      <c r="H18" s="150">
        <v>46043</v>
      </c>
      <c r="I18" s="149">
        <v>4</v>
      </c>
      <c r="J18" s="144" t="s">
        <v>27</v>
      </c>
      <c r="K18" s="145">
        <v>31</v>
      </c>
      <c r="L18" s="116" t="s">
        <v>833</v>
      </c>
      <c r="M18" s="116" t="s">
        <v>509</v>
      </c>
      <c r="N18" s="137"/>
    </row>
    <row r="19" spans="1:14">
      <c r="A19" s="114">
        <f t="shared" si="0"/>
        <v>13</v>
      </c>
      <c r="D19" s="140" t="s">
        <v>225</v>
      </c>
      <c r="E19" s="140" t="s">
        <v>834</v>
      </c>
      <c r="F19" s="151">
        <v>20</v>
      </c>
      <c r="G19" s="151">
        <v>4</v>
      </c>
      <c r="H19" s="152">
        <v>46043</v>
      </c>
      <c r="I19" s="151">
        <v>5.0999999999999996</v>
      </c>
      <c r="J19" s="140" t="s">
        <v>16</v>
      </c>
      <c r="K19" s="141">
        <v>38</v>
      </c>
      <c r="L19" s="116" t="s">
        <v>835</v>
      </c>
      <c r="M19" s="116" t="s">
        <v>509</v>
      </c>
      <c r="N19" s="137"/>
    </row>
    <row r="20" spans="1:14">
      <c r="A20" s="114">
        <f t="shared" si="0"/>
        <v>14</v>
      </c>
      <c r="D20" s="140" t="s">
        <v>225</v>
      </c>
      <c r="E20" s="140" t="s">
        <v>834</v>
      </c>
      <c r="F20" s="151">
        <v>20</v>
      </c>
      <c r="G20" s="151">
        <v>4</v>
      </c>
      <c r="H20" s="152">
        <v>46043</v>
      </c>
      <c r="I20" s="151">
        <v>5.0999999999999996</v>
      </c>
      <c r="J20" s="140" t="s">
        <v>18</v>
      </c>
      <c r="K20" s="141">
        <v>38</v>
      </c>
      <c r="L20" s="116" t="s">
        <v>509</v>
      </c>
      <c r="M20" s="116" t="s">
        <v>509</v>
      </c>
      <c r="N20" s="137"/>
    </row>
    <row r="21" spans="1:14">
      <c r="A21" s="114">
        <f t="shared" si="0"/>
        <v>15</v>
      </c>
      <c r="D21" s="140" t="s">
        <v>225</v>
      </c>
      <c r="E21" s="140" t="s">
        <v>834</v>
      </c>
      <c r="F21" s="151">
        <v>20</v>
      </c>
      <c r="G21" s="151">
        <v>4</v>
      </c>
      <c r="H21" s="152">
        <v>46043</v>
      </c>
      <c r="I21" s="151">
        <v>5.0999999999999996</v>
      </c>
      <c r="J21" s="140" t="s">
        <v>19</v>
      </c>
      <c r="K21" s="141">
        <v>38</v>
      </c>
      <c r="L21" s="116" t="s">
        <v>836</v>
      </c>
      <c r="M21" s="116" t="s">
        <v>509</v>
      </c>
      <c r="N21" s="137"/>
    </row>
    <row r="22" spans="1:14">
      <c r="A22" s="114">
        <f t="shared" si="0"/>
        <v>16</v>
      </c>
      <c r="D22" s="140" t="s">
        <v>225</v>
      </c>
      <c r="E22" s="140" t="s">
        <v>834</v>
      </c>
      <c r="F22" s="151">
        <v>20</v>
      </c>
      <c r="G22" s="151">
        <v>4</v>
      </c>
      <c r="H22" s="152">
        <v>46043</v>
      </c>
      <c r="I22" s="151">
        <v>5.0999999999999996</v>
      </c>
      <c r="J22" s="140" t="s">
        <v>20</v>
      </c>
      <c r="K22" s="141">
        <v>37</v>
      </c>
      <c r="L22" s="116" t="s">
        <v>833</v>
      </c>
      <c r="M22" s="116" t="s">
        <v>509</v>
      </c>
      <c r="N22" s="137"/>
    </row>
    <row r="23" spans="1:14">
      <c r="A23" s="114">
        <f t="shared" si="0"/>
        <v>17</v>
      </c>
      <c r="D23" s="140" t="s">
        <v>225</v>
      </c>
      <c r="E23" s="140" t="s">
        <v>834</v>
      </c>
      <c r="F23" s="151">
        <v>20</v>
      </c>
      <c r="G23" s="151">
        <v>4</v>
      </c>
      <c r="H23" s="152">
        <v>46043</v>
      </c>
      <c r="I23" s="151">
        <v>5.0999999999999996</v>
      </c>
      <c r="J23" s="140" t="s">
        <v>21</v>
      </c>
      <c r="K23" s="141">
        <v>27</v>
      </c>
      <c r="L23" s="116" t="s">
        <v>464</v>
      </c>
      <c r="M23" s="116" t="s">
        <v>509</v>
      </c>
      <c r="N23" s="137"/>
    </row>
    <row r="24" spans="1:14">
      <c r="A24" s="114">
        <f t="shared" si="0"/>
        <v>18</v>
      </c>
      <c r="D24" s="140" t="s">
        <v>225</v>
      </c>
      <c r="E24" s="140" t="s">
        <v>834</v>
      </c>
      <c r="F24" s="151">
        <v>20</v>
      </c>
      <c r="G24" s="151">
        <v>4</v>
      </c>
      <c r="H24" s="152">
        <v>46043</v>
      </c>
      <c r="I24" s="151">
        <v>5.0999999999999996</v>
      </c>
      <c r="J24" s="140" t="s">
        <v>23</v>
      </c>
      <c r="K24" s="141">
        <v>22</v>
      </c>
      <c r="L24" s="116" t="s">
        <v>402</v>
      </c>
      <c r="M24" s="116" t="s">
        <v>509</v>
      </c>
      <c r="N24" s="137"/>
    </row>
    <row r="25" spans="1:14">
      <c r="A25" s="114">
        <f t="shared" si="0"/>
        <v>19</v>
      </c>
      <c r="D25" s="140" t="s">
        <v>225</v>
      </c>
      <c r="E25" s="140" t="s">
        <v>834</v>
      </c>
      <c r="F25" s="151">
        <v>20</v>
      </c>
      <c r="G25" s="151">
        <v>4</v>
      </c>
      <c r="H25" s="152">
        <v>46043</v>
      </c>
      <c r="I25" s="151">
        <v>5.0999999999999996</v>
      </c>
      <c r="J25" s="140" t="s">
        <v>24</v>
      </c>
      <c r="K25" s="141">
        <v>37</v>
      </c>
      <c r="L25" s="137" t="s">
        <v>37</v>
      </c>
      <c r="M25" s="116" t="s">
        <v>509</v>
      </c>
      <c r="N25" s="137"/>
    </row>
    <row r="26" spans="1:14">
      <c r="A26" s="114">
        <f t="shared" si="0"/>
        <v>20</v>
      </c>
      <c r="D26" s="140" t="s">
        <v>225</v>
      </c>
      <c r="E26" s="140" t="s">
        <v>834</v>
      </c>
      <c r="F26" s="151">
        <v>20</v>
      </c>
      <c r="G26" s="151">
        <v>4</v>
      </c>
      <c r="H26" s="152">
        <v>46043</v>
      </c>
      <c r="I26" s="151">
        <v>5.0999999999999996</v>
      </c>
      <c r="J26" s="140" t="s">
        <v>25</v>
      </c>
      <c r="K26" s="141">
        <v>37</v>
      </c>
      <c r="L26" s="137" t="s">
        <v>837</v>
      </c>
      <c r="M26" s="116" t="s">
        <v>509</v>
      </c>
      <c r="N26" s="137"/>
    </row>
    <row r="27" spans="1:14">
      <c r="A27" s="114">
        <f t="shared" si="0"/>
        <v>21</v>
      </c>
      <c r="D27" s="140" t="s">
        <v>225</v>
      </c>
      <c r="E27" s="140" t="s">
        <v>834</v>
      </c>
      <c r="F27" s="151">
        <v>20</v>
      </c>
      <c r="G27" s="151">
        <v>4</v>
      </c>
      <c r="H27" s="152">
        <v>46043</v>
      </c>
      <c r="I27" s="151">
        <v>5.0999999999999996</v>
      </c>
      <c r="J27" s="140" t="s">
        <v>26</v>
      </c>
      <c r="K27" s="141">
        <v>38</v>
      </c>
      <c r="L27" s="137" t="s">
        <v>447</v>
      </c>
      <c r="M27" s="116" t="s">
        <v>509</v>
      </c>
      <c r="N27" s="137"/>
    </row>
    <row r="28" spans="1:14">
      <c r="A28" s="114">
        <f t="shared" si="0"/>
        <v>22</v>
      </c>
      <c r="D28" s="140" t="s">
        <v>225</v>
      </c>
      <c r="E28" s="140" t="s">
        <v>834</v>
      </c>
      <c r="F28" s="151">
        <v>20</v>
      </c>
      <c r="G28" s="151">
        <v>4</v>
      </c>
      <c r="H28" s="152">
        <v>46043</v>
      </c>
      <c r="I28" s="151">
        <v>5.0999999999999996</v>
      </c>
      <c r="J28" s="140" t="s">
        <v>27</v>
      </c>
      <c r="K28" s="141">
        <v>37</v>
      </c>
      <c r="L28" s="137" t="s">
        <v>485</v>
      </c>
      <c r="M28" s="116" t="s">
        <v>509</v>
      </c>
      <c r="N28" s="137"/>
    </row>
    <row r="29" spans="1:14">
      <c r="A29" s="114">
        <f t="shared" si="0"/>
        <v>23</v>
      </c>
      <c r="D29" s="140" t="s">
        <v>225</v>
      </c>
      <c r="E29" s="140" t="s">
        <v>834</v>
      </c>
      <c r="F29" s="151">
        <v>20</v>
      </c>
      <c r="G29" s="151">
        <v>4</v>
      </c>
      <c r="H29" s="152">
        <v>46043</v>
      </c>
      <c r="I29" s="151">
        <v>5.2</v>
      </c>
      <c r="J29" s="140" t="s">
        <v>16</v>
      </c>
      <c r="K29" s="141">
        <v>37</v>
      </c>
      <c r="L29" s="116" t="s">
        <v>835</v>
      </c>
      <c r="M29" s="116" t="s">
        <v>509</v>
      </c>
      <c r="N29" s="137"/>
    </row>
    <row r="30" spans="1:14">
      <c r="A30" s="114">
        <f t="shared" si="0"/>
        <v>24</v>
      </c>
      <c r="D30" s="140" t="s">
        <v>225</v>
      </c>
      <c r="E30" s="140" t="s">
        <v>834</v>
      </c>
      <c r="F30" s="151">
        <v>20</v>
      </c>
      <c r="G30" s="151">
        <v>4</v>
      </c>
      <c r="H30" s="152">
        <v>46043</v>
      </c>
      <c r="I30" s="151">
        <v>5.2</v>
      </c>
      <c r="J30" s="140" t="s">
        <v>18</v>
      </c>
      <c r="K30" s="141">
        <v>37</v>
      </c>
      <c r="L30" s="137" t="s">
        <v>509</v>
      </c>
      <c r="M30" s="116" t="s">
        <v>509</v>
      </c>
      <c r="N30" s="137"/>
    </row>
    <row r="31" spans="1:14">
      <c r="A31" s="114">
        <f t="shared" si="0"/>
        <v>25</v>
      </c>
      <c r="D31" s="140" t="s">
        <v>225</v>
      </c>
      <c r="E31" s="140" t="s">
        <v>834</v>
      </c>
      <c r="F31" s="151">
        <v>20</v>
      </c>
      <c r="G31" s="151">
        <v>4</v>
      </c>
      <c r="H31" s="152">
        <v>46043</v>
      </c>
      <c r="I31" s="151">
        <v>5.2</v>
      </c>
      <c r="J31" s="140" t="s">
        <v>19</v>
      </c>
      <c r="K31" s="141">
        <v>37</v>
      </c>
      <c r="L31" s="137" t="s">
        <v>836</v>
      </c>
      <c r="M31" s="116" t="s">
        <v>509</v>
      </c>
      <c r="N31" s="137"/>
    </row>
    <row r="32" spans="1:14">
      <c r="A32" s="114">
        <f t="shared" si="0"/>
        <v>26</v>
      </c>
      <c r="D32" s="140" t="s">
        <v>225</v>
      </c>
      <c r="E32" s="140" t="s">
        <v>834</v>
      </c>
      <c r="F32" s="151">
        <v>20</v>
      </c>
      <c r="G32" s="151">
        <v>4</v>
      </c>
      <c r="H32" s="152">
        <v>46043</v>
      </c>
      <c r="I32" s="151">
        <v>5.2</v>
      </c>
      <c r="J32" s="140" t="s">
        <v>20</v>
      </c>
      <c r="K32" s="141">
        <v>38</v>
      </c>
      <c r="L32" s="137" t="s">
        <v>833</v>
      </c>
      <c r="M32" s="116" t="s">
        <v>509</v>
      </c>
      <c r="N32" s="137"/>
    </row>
    <row r="33" spans="1:14">
      <c r="A33" s="114">
        <f t="shared" si="0"/>
        <v>27</v>
      </c>
      <c r="D33" s="140" t="s">
        <v>225</v>
      </c>
      <c r="E33" s="140" t="s">
        <v>834</v>
      </c>
      <c r="F33" s="151">
        <v>20</v>
      </c>
      <c r="G33" s="151">
        <v>4</v>
      </c>
      <c r="H33" s="152">
        <v>46043</v>
      </c>
      <c r="I33" s="151">
        <v>5.2</v>
      </c>
      <c r="J33" s="140" t="s">
        <v>23</v>
      </c>
      <c r="K33" s="141">
        <v>21</v>
      </c>
      <c r="L33" s="137" t="s">
        <v>402</v>
      </c>
      <c r="M33" s="116" t="s">
        <v>509</v>
      </c>
      <c r="N33" s="137"/>
    </row>
    <row r="34" spans="1:14">
      <c r="A34" s="114">
        <f t="shared" si="0"/>
        <v>28</v>
      </c>
      <c r="D34" s="140" t="s">
        <v>225</v>
      </c>
      <c r="E34" s="140" t="s">
        <v>834</v>
      </c>
      <c r="F34" s="151">
        <v>20</v>
      </c>
      <c r="G34" s="151">
        <v>4</v>
      </c>
      <c r="H34" s="152">
        <v>46043</v>
      </c>
      <c r="I34" s="151">
        <v>5.2</v>
      </c>
      <c r="J34" s="140" t="s">
        <v>24</v>
      </c>
      <c r="K34" s="141">
        <v>37</v>
      </c>
      <c r="L34" s="137" t="s">
        <v>37</v>
      </c>
      <c r="M34" s="116" t="s">
        <v>509</v>
      </c>
      <c r="N34" s="137"/>
    </row>
    <row r="35" spans="1:14">
      <c r="A35" s="114">
        <f t="shared" si="0"/>
        <v>29</v>
      </c>
      <c r="D35" s="140" t="s">
        <v>225</v>
      </c>
      <c r="E35" s="140" t="s">
        <v>834</v>
      </c>
      <c r="F35" s="151">
        <v>20</v>
      </c>
      <c r="G35" s="151">
        <v>4</v>
      </c>
      <c r="H35" s="152">
        <v>46043</v>
      </c>
      <c r="I35" s="151">
        <v>5.2</v>
      </c>
      <c r="J35" s="140" t="s">
        <v>25</v>
      </c>
      <c r="K35" s="141">
        <v>38</v>
      </c>
      <c r="L35" s="137" t="s">
        <v>837</v>
      </c>
      <c r="M35" s="116" t="s">
        <v>509</v>
      </c>
      <c r="N35" s="137"/>
    </row>
    <row r="36" spans="1:14">
      <c r="A36" s="114">
        <f t="shared" si="0"/>
        <v>30</v>
      </c>
      <c r="D36" s="140" t="s">
        <v>225</v>
      </c>
      <c r="E36" s="140" t="s">
        <v>834</v>
      </c>
      <c r="F36" s="151">
        <v>20</v>
      </c>
      <c r="G36" s="151">
        <v>4</v>
      </c>
      <c r="H36" s="152">
        <v>46043</v>
      </c>
      <c r="I36" s="151">
        <v>5.2</v>
      </c>
      <c r="J36" s="140" t="s">
        <v>26</v>
      </c>
      <c r="K36" s="141">
        <v>38</v>
      </c>
      <c r="L36" s="137" t="s">
        <v>838</v>
      </c>
      <c r="M36" s="116" t="s">
        <v>509</v>
      </c>
      <c r="N36" s="137"/>
    </row>
    <row r="37" spans="1:14">
      <c r="A37" s="114">
        <f t="shared" si="0"/>
        <v>31</v>
      </c>
      <c r="D37" s="140" t="s">
        <v>225</v>
      </c>
      <c r="E37" s="140" t="s">
        <v>834</v>
      </c>
      <c r="F37" s="151">
        <v>20</v>
      </c>
      <c r="G37" s="151">
        <v>4</v>
      </c>
      <c r="H37" s="152">
        <v>46043</v>
      </c>
      <c r="I37" s="151">
        <v>5.2</v>
      </c>
      <c r="J37" s="140" t="s">
        <v>27</v>
      </c>
      <c r="K37" s="141">
        <v>38</v>
      </c>
      <c r="L37" s="137" t="s">
        <v>485</v>
      </c>
      <c r="M37" s="116" t="s">
        <v>509</v>
      </c>
      <c r="N37" s="137"/>
    </row>
    <row r="38" spans="1:14">
      <c r="A38" s="114">
        <f t="shared" si="0"/>
        <v>32</v>
      </c>
      <c r="D38" s="116" t="s">
        <v>212</v>
      </c>
      <c r="E38" s="116" t="s">
        <v>839</v>
      </c>
      <c r="F38" s="146">
        <v>22</v>
      </c>
      <c r="G38" s="146">
        <v>4</v>
      </c>
      <c r="H38" s="153">
        <v>46114</v>
      </c>
      <c r="I38" s="146">
        <v>1</v>
      </c>
      <c r="J38" s="116" t="s">
        <v>16</v>
      </c>
      <c r="K38" s="114">
        <v>32</v>
      </c>
      <c r="L38" s="137"/>
      <c r="M38" s="116" t="s">
        <v>509</v>
      </c>
      <c r="N38" s="137"/>
    </row>
    <row r="39" spans="1:14">
      <c r="A39" s="114">
        <f t="shared" si="0"/>
        <v>33</v>
      </c>
      <c r="D39" s="116" t="s">
        <v>212</v>
      </c>
      <c r="E39" s="116" t="s">
        <v>839</v>
      </c>
      <c r="F39" s="146">
        <v>22</v>
      </c>
      <c r="G39" s="146">
        <v>4</v>
      </c>
      <c r="H39" s="153">
        <v>46114</v>
      </c>
      <c r="I39" s="146">
        <v>1</v>
      </c>
      <c r="J39" s="116" t="s">
        <v>18</v>
      </c>
      <c r="K39" s="114">
        <v>32</v>
      </c>
      <c r="M39" s="116" t="s">
        <v>509</v>
      </c>
      <c r="N39" s="137"/>
    </row>
    <row r="40" spans="1:14">
      <c r="A40" s="114">
        <f t="shared" si="0"/>
        <v>34</v>
      </c>
      <c r="D40" s="116" t="s">
        <v>212</v>
      </c>
      <c r="E40" s="116" t="s">
        <v>839</v>
      </c>
      <c r="F40" s="146">
        <v>22</v>
      </c>
      <c r="G40" s="146">
        <v>4</v>
      </c>
      <c r="H40" s="153">
        <v>46114</v>
      </c>
      <c r="I40" s="146">
        <v>1</v>
      </c>
      <c r="J40" s="116" t="s">
        <v>19</v>
      </c>
      <c r="K40" s="114">
        <v>32</v>
      </c>
      <c r="M40" s="116" t="s">
        <v>509</v>
      </c>
      <c r="N40" s="137"/>
    </row>
    <row r="41" spans="1:14">
      <c r="A41" s="114">
        <f t="shared" si="0"/>
        <v>35</v>
      </c>
      <c r="D41" s="116" t="s">
        <v>212</v>
      </c>
      <c r="E41" s="116" t="s">
        <v>839</v>
      </c>
      <c r="F41" s="146">
        <v>22</v>
      </c>
      <c r="G41" s="146">
        <v>4</v>
      </c>
      <c r="H41" s="153">
        <v>46114</v>
      </c>
      <c r="I41" s="146">
        <v>1</v>
      </c>
      <c r="J41" s="116" t="s">
        <v>20</v>
      </c>
      <c r="K41" s="114">
        <v>32</v>
      </c>
      <c r="M41" s="116" t="s">
        <v>509</v>
      </c>
      <c r="N41" s="137"/>
    </row>
    <row r="42" spans="1:14">
      <c r="A42" s="114">
        <f t="shared" si="0"/>
        <v>36</v>
      </c>
      <c r="D42" s="116" t="s">
        <v>212</v>
      </c>
      <c r="E42" s="116" t="s">
        <v>839</v>
      </c>
      <c r="F42" s="146">
        <v>22</v>
      </c>
      <c r="G42" s="146">
        <v>4</v>
      </c>
      <c r="H42" s="153">
        <v>46114</v>
      </c>
      <c r="I42" s="146">
        <v>1</v>
      </c>
      <c r="J42" s="116" t="s">
        <v>23</v>
      </c>
      <c r="K42" s="114">
        <v>32</v>
      </c>
      <c r="M42" s="116" t="s">
        <v>509</v>
      </c>
      <c r="N42" s="137"/>
    </row>
    <row r="43" spans="1:14">
      <c r="A43" s="114">
        <f t="shared" si="0"/>
        <v>37</v>
      </c>
      <c r="D43" s="116" t="s">
        <v>212</v>
      </c>
      <c r="E43" s="116" t="s">
        <v>839</v>
      </c>
      <c r="F43" s="146">
        <v>22</v>
      </c>
      <c r="G43" s="146">
        <v>4</v>
      </c>
      <c r="H43" s="153">
        <v>46114</v>
      </c>
      <c r="I43" s="146">
        <v>1</v>
      </c>
      <c r="J43" s="116" t="s">
        <v>24</v>
      </c>
      <c r="K43" s="114">
        <v>32</v>
      </c>
      <c r="M43" s="116" t="s">
        <v>509</v>
      </c>
      <c r="N43" s="137"/>
    </row>
    <row r="44" spans="1:14">
      <c r="A44" s="114">
        <f t="shared" si="0"/>
        <v>38</v>
      </c>
      <c r="D44" s="116" t="s">
        <v>212</v>
      </c>
      <c r="E44" s="116" t="s">
        <v>839</v>
      </c>
      <c r="F44" s="146">
        <v>22</v>
      </c>
      <c r="G44" s="146">
        <v>4</v>
      </c>
      <c r="H44" s="153">
        <v>46114</v>
      </c>
      <c r="I44" s="146">
        <v>1</v>
      </c>
      <c r="J44" s="116" t="s">
        <v>25</v>
      </c>
      <c r="K44" s="114">
        <v>32</v>
      </c>
      <c r="M44" s="116" t="s">
        <v>509</v>
      </c>
      <c r="N44" s="137"/>
    </row>
    <row r="45" spans="1:14">
      <c r="A45" s="114">
        <f t="shared" si="0"/>
        <v>39</v>
      </c>
      <c r="D45" s="116" t="s">
        <v>212</v>
      </c>
      <c r="E45" s="116" t="s">
        <v>839</v>
      </c>
      <c r="F45" s="146">
        <v>22</v>
      </c>
      <c r="G45" s="146">
        <v>4</v>
      </c>
      <c r="H45" s="153">
        <v>46114</v>
      </c>
      <c r="I45" s="146">
        <v>1</v>
      </c>
      <c r="J45" s="116" t="s">
        <v>26</v>
      </c>
      <c r="K45" s="114">
        <v>32</v>
      </c>
      <c r="M45" s="116" t="s">
        <v>509</v>
      </c>
      <c r="N45" s="137"/>
    </row>
    <row r="46" spans="1:14">
      <c r="A46" s="114">
        <f t="shared" si="0"/>
        <v>40</v>
      </c>
      <c r="D46" s="116" t="s">
        <v>212</v>
      </c>
      <c r="E46" s="116" t="s">
        <v>839</v>
      </c>
      <c r="F46" s="146">
        <v>22</v>
      </c>
      <c r="G46" s="146">
        <v>4</v>
      </c>
      <c r="H46" s="153">
        <v>46114</v>
      </c>
      <c r="I46" s="146">
        <v>1</v>
      </c>
      <c r="J46" s="116" t="s">
        <v>27</v>
      </c>
      <c r="K46" s="114">
        <v>32</v>
      </c>
      <c r="M46" s="116" t="s">
        <v>509</v>
      </c>
      <c r="N46" s="137"/>
    </row>
    <row r="47" spans="1:14">
      <c r="A47" s="114">
        <f t="shared" si="0"/>
        <v>41</v>
      </c>
      <c r="D47" s="116" t="s">
        <v>212</v>
      </c>
      <c r="E47" s="116" t="s">
        <v>839</v>
      </c>
      <c r="F47" s="146">
        <v>22</v>
      </c>
      <c r="G47" s="146">
        <v>4</v>
      </c>
      <c r="H47" s="153">
        <v>46114</v>
      </c>
      <c r="I47" s="146">
        <v>2</v>
      </c>
      <c r="J47" s="116" t="s">
        <v>16</v>
      </c>
      <c r="K47" s="114">
        <v>33</v>
      </c>
      <c r="M47" s="116" t="s">
        <v>509</v>
      </c>
      <c r="N47" s="137"/>
    </row>
    <row r="48" spans="1:14">
      <c r="A48" s="114">
        <f t="shared" si="0"/>
        <v>42</v>
      </c>
      <c r="D48" s="116" t="s">
        <v>212</v>
      </c>
      <c r="E48" s="116" t="s">
        <v>839</v>
      </c>
      <c r="F48" s="146">
        <v>22</v>
      </c>
      <c r="G48" s="146">
        <v>4</v>
      </c>
      <c r="H48" s="153">
        <v>46114</v>
      </c>
      <c r="I48" s="146">
        <v>2</v>
      </c>
      <c r="J48" s="116" t="s">
        <v>18</v>
      </c>
      <c r="K48" s="114">
        <v>33</v>
      </c>
      <c r="M48" s="116" t="s">
        <v>509</v>
      </c>
      <c r="N48" s="137"/>
    </row>
    <row r="49" spans="1:14">
      <c r="A49" s="114">
        <f t="shared" si="0"/>
        <v>43</v>
      </c>
      <c r="D49" s="116" t="s">
        <v>212</v>
      </c>
      <c r="E49" s="116" t="s">
        <v>839</v>
      </c>
      <c r="F49" s="146">
        <v>22</v>
      </c>
      <c r="G49" s="146">
        <v>4</v>
      </c>
      <c r="H49" s="153">
        <v>46114</v>
      </c>
      <c r="I49" s="146">
        <v>2</v>
      </c>
      <c r="J49" s="116" t="s">
        <v>19</v>
      </c>
      <c r="K49" s="114">
        <v>33</v>
      </c>
      <c r="M49" s="116" t="s">
        <v>509</v>
      </c>
      <c r="N49" s="137"/>
    </row>
    <row r="50" spans="1:14">
      <c r="A50" s="114">
        <f t="shared" si="0"/>
        <v>44</v>
      </c>
      <c r="D50" s="116" t="s">
        <v>212</v>
      </c>
      <c r="E50" s="116" t="s">
        <v>839</v>
      </c>
      <c r="F50" s="146">
        <v>22</v>
      </c>
      <c r="G50" s="146">
        <v>4</v>
      </c>
      <c r="H50" s="153">
        <v>46114</v>
      </c>
      <c r="I50" s="146">
        <v>2</v>
      </c>
      <c r="J50" s="116" t="s">
        <v>20</v>
      </c>
      <c r="K50" s="114">
        <v>33</v>
      </c>
      <c r="M50" s="116" t="s">
        <v>509</v>
      </c>
      <c r="N50" s="137"/>
    </row>
    <row r="51" spans="1:14">
      <c r="A51" s="114">
        <f t="shared" si="0"/>
        <v>45</v>
      </c>
      <c r="D51" s="116" t="s">
        <v>212</v>
      </c>
      <c r="E51" s="116" t="s">
        <v>839</v>
      </c>
      <c r="F51" s="146">
        <v>22</v>
      </c>
      <c r="G51" s="146">
        <v>4</v>
      </c>
      <c r="H51" s="153">
        <v>46114</v>
      </c>
      <c r="I51" s="146">
        <v>2</v>
      </c>
      <c r="J51" s="116" t="s">
        <v>23</v>
      </c>
      <c r="K51" s="114">
        <v>33</v>
      </c>
      <c r="M51" s="116" t="s">
        <v>509</v>
      </c>
      <c r="N51" s="137"/>
    </row>
    <row r="52" spans="1:14">
      <c r="A52" s="114">
        <f t="shared" si="0"/>
        <v>46</v>
      </c>
      <c r="D52" s="116" t="s">
        <v>212</v>
      </c>
      <c r="E52" s="116" t="s">
        <v>839</v>
      </c>
      <c r="F52" s="146">
        <v>22</v>
      </c>
      <c r="G52" s="146">
        <v>4</v>
      </c>
      <c r="H52" s="153">
        <v>46114</v>
      </c>
      <c r="I52" s="146">
        <v>2</v>
      </c>
      <c r="J52" s="116" t="s">
        <v>24</v>
      </c>
      <c r="K52" s="114">
        <v>33</v>
      </c>
      <c r="M52" s="116" t="s">
        <v>509</v>
      </c>
      <c r="N52" s="137"/>
    </row>
    <row r="53" spans="1:14">
      <c r="A53" s="114">
        <f t="shared" si="0"/>
        <v>47</v>
      </c>
      <c r="D53" s="116" t="s">
        <v>212</v>
      </c>
      <c r="E53" s="116" t="s">
        <v>839</v>
      </c>
      <c r="F53" s="146">
        <v>22</v>
      </c>
      <c r="G53" s="146">
        <v>4</v>
      </c>
      <c r="H53" s="153">
        <v>46114</v>
      </c>
      <c r="I53" s="146">
        <v>2</v>
      </c>
      <c r="J53" s="116" t="s">
        <v>25</v>
      </c>
      <c r="K53" s="114">
        <v>33</v>
      </c>
      <c r="M53" s="116" t="s">
        <v>509</v>
      </c>
      <c r="N53" s="137"/>
    </row>
    <row r="54" spans="1:14">
      <c r="A54" s="114">
        <f t="shared" si="0"/>
        <v>48</v>
      </c>
      <c r="D54" s="116" t="s">
        <v>212</v>
      </c>
      <c r="E54" s="116" t="s">
        <v>839</v>
      </c>
      <c r="F54" s="146">
        <v>22</v>
      </c>
      <c r="G54" s="146">
        <v>4</v>
      </c>
      <c r="H54" s="153">
        <v>46114</v>
      </c>
      <c r="I54" s="146">
        <v>2</v>
      </c>
      <c r="J54" s="116" t="s">
        <v>26</v>
      </c>
      <c r="K54" s="114">
        <v>33</v>
      </c>
      <c r="M54" s="116" t="s">
        <v>509</v>
      </c>
      <c r="N54" s="137"/>
    </row>
    <row r="55" spans="1:14">
      <c r="A55" s="114">
        <f t="shared" si="0"/>
        <v>49</v>
      </c>
      <c r="D55" s="116" t="s">
        <v>212</v>
      </c>
      <c r="E55" s="116" t="s">
        <v>839</v>
      </c>
      <c r="F55" s="146">
        <v>22</v>
      </c>
      <c r="G55" s="146">
        <v>4</v>
      </c>
      <c r="H55" s="153">
        <v>46114</v>
      </c>
      <c r="I55" s="146">
        <v>2</v>
      </c>
      <c r="J55" s="116" t="s">
        <v>27</v>
      </c>
      <c r="K55" s="114">
        <v>33</v>
      </c>
      <c r="M55" s="116" t="s">
        <v>509</v>
      </c>
      <c r="N55" s="137"/>
    </row>
    <row r="56" spans="1:14">
      <c r="A56" s="114">
        <f t="shared" si="0"/>
        <v>50</v>
      </c>
      <c r="B56" s="114">
        <v>190418</v>
      </c>
      <c r="C56" s="114">
        <v>162308</v>
      </c>
      <c r="D56" s="116" t="s">
        <v>92</v>
      </c>
      <c r="E56" s="116" t="s">
        <v>840</v>
      </c>
      <c r="F56" s="146">
        <v>20</v>
      </c>
      <c r="G56" s="146">
        <v>2</v>
      </c>
      <c r="H56" s="146" t="s">
        <v>841</v>
      </c>
      <c r="I56" s="146" t="s">
        <v>11</v>
      </c>
      <c r="J56" s="116" t="s">
        <v>18</v>
      </c>
      <c r="K56" s="114">
        <v>36</v>
      </c>
      <c r="L56" s="116" t="s">
        <v>842</v>
      </c>
      <c r="M56" s="116" t="s">
        <v>843</v>
      </c>
      <c r="N56" s="137"/>
    </row>
    <row r="57" spans="1:14">
      <c r="A57" s="114">
        <f t="shared" si="0"/>
        <v>51</v>
      </c>
      <c r="B57" s="114">
        <v>190418</v>
      </c>
      <c r="C57" s="114">
        <v>162308</v>
      </c>
      <c r="D57" s="116" t="s">
        <v>92</v>
      </c>
      <c r="E57" s="116" t="s">
        <v>840</v>
      </c>
      <c r="F57" s="146">
        <v>20</v>
      </c>
      <c r="G57" s="146">
        <v>2</v>
      </c>
      <c r="H57" s="146" t="s">
        <v>841</v>
      </c>
      <c r="I57" s="146" t="s">
        <v>11</v>
      </c>
      <c r="J57" s="116" t="s">
        <v>19</v>
      </c>
      <c r="K57" s="114">
        <v>36</v>
      </c>
      <c r="L57" s="116" t="s">
        <v>843</v>
      </c>
      <c r="M57" s="116" t="s">
        <v>843</v>
      </c>
      <c r="N57" s="137"/>
    </row>
    <row r="58" spans="1:14">
      <c r="A58" s="114">
        <f t="shared" si="0"/>
        <v>52</v>
      </c>
      <c r="B58" s="114">
        <v>190417</v>
      </c>
      <c r="C58" s="114">
        <v>162308</v>
      </c>
      <c r="D58" s="116" t="s">
        <v>92</v>
      </c>
      <c r="E58" s="116" t="s">
        <v>840</v>
      </c>
      <c r="F58" s="146">
        <v>20</v>
      </c>
      <c r="G58" s="146">
        <v>2</v>
      </c>
      <c r="H58" s="146" t="s">
        <v>841</v>
      </c>
      <c r="I58" s="146" t="s">
        <v>11</v>
      </c>
      <c r="J58" s="116" t="s">
        <v>20</v>
      </c>
      <c r="K58" s="114">
        <v>36</v>
      </c>
      <c r="L58" s="116" t="s">
        <v>844</v>
      </c>
      <c r="M58" s="116" t="s">
        <v>843</v>
      </c>
      <c r="N58" s="137"/>
    </row>
    <row r="59" spans="1:14">
      <c r="A59" s="114">
        <f t="shared" si="0"/>
        <v>53</v>
      </c>
      <c r="B59" s="114">
        <v>190415</v>
      </c>
      <c r="C59" s="114">
        <v>162307</v>
      </c>
      <c r="D59" s="116" t="s">
        <v>92</v>
      </c>
      <c r="E59" s="116" t="s">
        <v>840</v>
      </c>
      <c r="F59" s="146">
        <v>20</v>
      </c>
      <c r="G59" s="146">
        <v>2</v>
      </c>
      <c r="H59" s="146" t="s">
        <v>841</v>
      </c>
      <c r="I59" s="146" t="s">
        <v>12</v>
      </c>
      <c r="J59" s="116" t="s">
        <v>16</v>
      </c>
      <c r="K59" s="114">
        <v>36</v>
      </c>
      <c r="L59" s="116" t="s">
        <v>845</v>
      </c>
      <c r="M59" s="116" t="s">
        <v>843</v>
      </c>
      <c r="N59" s="137"/>
    </row>
    <row r="60" spans="1:14">
      <c r="A60" s="114">
        <f t="shared" si="0"/>
        <v>54</v>
      </c>
      <c r="B60" s="114">
        <v>190416</v>
      </c>
      <c r="C60" s="114">
        <v>162307</v>
      </c>
      <c r="D60" s="116" t="s">
        <v>92</v>
      </c>
      <c r="E60" s="116" t="s">
        <v>840</v>
      </c>
      <c r="F60" s="146">
        <v>20</v>
      </c>
      <c r="G60" s="146">
        <v>2</v>
      </c>
      <c r="H60" s="146" t="s">
        <v>841</v>
      </c>
      <c r="I60" s="146" t="s">
        <v>12</v>
      </c>
      <c r="J60" s="116" t="s">
        <v>18</v>
      </c>
      <c r="K60" s="114">
        <v>36</v>
      </c>
      <c r="L60" s="116" t="s">
        <v>842</v>
      </c>
      <c r="M60" s="116" t="s">
        <v>843</v>
      </c>
      <c r="N60" s="137"/>
    </row>
    <row r="61" spans="1:14">
      <c r="A61" s="114">
        <f t="shared" si="0"/>
        <v>55</v>
      </c>
      <c r="B61" s="114">
        <v>190414</v>
      </c>
      <c r="C61" s="114">
        <v>162307</v>
      </c>
      <c r="D61" s="116" t="s">
        <v>92</v>
      </c>
      <c r="E61" s="116" t="s">
        <v>840</v>
      </c>
      <c r="F61" s="146">
        <v>20</v>
      </c>
      <c r="G61" s="146">
        <v>2</v>
      </c>
      <c r="H61" s="146" t="s">
        <v>841</v>
      </c>
      <c r="I61" s="146" t="s">
        <v>12</v>
      </c>
      <c r="J61" s="116" t="s">
        <v>19</v>
      </c>
      <c r="K61" s="114">
        <v>36</v>
      </c>
      <c r="L61" s="116" t="s">
        <v>843</v>
      </c>
      <c r="M61" s="116" t="s">
        <v>843</v>
      </c>
      <c r="N61" s="137"/>
    </row>
    <row r="62" spans="1:14">
      <c r="A62" s="114">
        <f t="shared" si="0"/>
        <v>56</v>
      </c>
      <c r="B62" s="114">
        <v>190414</v>
      </c>
      <c r="C62" s="114">
        <v>162307</v>
      </c>
      <c r="D62" s="116" t="s">
        <v>92</v>
      </c>
      <c r="E62" s="116" t="s">
        <v>840</v>
      </c>
      <c r="F62" s="146">
        <v>20</v>
      </c>
      <c r="G62" s="146">
        <v>2</v>
      </c>
      <c r="H62" s="146" t="s">
        <v>841</v>
      </c>
      <c r="I62" s="146" t="s">
        <v>12</v>
      </c>
      <c r="J62" s="116" t="s">
        <v>20</v>
      </c>
      <c r="K62" s="114">
        <v>35</v>
      </c>
      <c r="L62" s="116" t="s">
        <v>844</v>
      </c>
      <c r="M62" s="116" t="s">
        <v>843</v>
      </c>
      <c r="N62" s="137"/>
    </row>
    <row r="63" spans="1:14">
      <c r="A63" s="114">
        <f t="shared" si="0"/>
        <v>57</v>
      </c>
      <c r="D63" s="116" t="s">
        <v>92</v>
      </c>
      <c r="E63" s="116" t="s">
        <v>840</v>
      </c>
      <c r="F63" s="146">
        <v>20</v>
      </c>
      <c r="G63" s="146">
        <v>2</v>
      </c>
      <c r="H63" s="146" t="s">
        <v>846</v>
      </c>
      <c r="I63" s="146" t="s">
        <v>11</v>
      </c>
      <c r="J63" s="116" t="s">
        <v>23</v>
      </c>
      <c r="K63" s="114">
        <v>37</v>
      </c>
      <c r="L63" s="116" t="s">
        <v>847</v>
      </c>
      <c r="M63" s="116" t="s">
        <v>848</v>
      </c>
      <c r="N63" s="137"/>
    </row>
    <row r="64" spans="1:14">
      <c r="A64" s="114">
        <f t="shared" si="0"/>
        <v>58</v>
      </c>
      <c r="D64" s="116" t="s">
        <v>92</v>
      </c>
      <c r="E64" s="116" t="s">
        <v>840</v>
      </c>
      <c r="F64" s="146">
        <v>20</v>
      </c>
      <c r="G64" s="146">
        <v>2</v>
      </c>
      <c r="H64" s="146" t="s">
        <v>849</v>
      </c>
      <c r="I64" s="146" t="s">
        <v>11</v>
      </c>
      <c r="J64" s="116" t="s">
        <v>24</v>
      </c>
      <c r="K64" s="114">
        <v>37</v>
      </c>
      <c r="L64" s="116" t="s">
        <v>850</v>
      </c>
      <c r="M64" s="116" t="s">
        <v>848</v>
      </c>
      <c r="N64" s="137"/>
    </row>
    <row r="65" spans="1:14">
      <c r="A65" s="114">
        <f t="shared" si="0"/>
        <v>59</v>
      </c>
      <c r="D65" s="116" t="s">
        <v>92</v>
      </c>
      <c r="E65" s="116" t="s">
        <v>840</v>
      </c>
      <c r="F65" s="146">
        <v>20</v>
      </c>
      <c r="G65" s="146">
        <v>2</v>
      </c>
      <c r="H65" s="146" t="s">
        <v>851</v>
      </c>
      <c r="I65" s="146" t="s">
        <v>11</v>
      </c>
      <c r="J65" s="116" t="s">
        <v>25</v>
      </c>
      <c r="K65" s="114">
        <v>37</v>
      </c>
      <c r="L65" s="116" t="s">
        <v>852</v>
      </c>
      <c r="M65" s="116" t="s">
        <v>848</v>
      </c>
      <c r="N65" s="137"/>
    </row>
    <row r="66" spans="1:14">
      <c r="A66" s="114">
        <f t="shared" si="0"/>
        <v>60</v>
      </c>
      <c r="D66" s="116" t="s">
        <v>92</v>
      </c>
      <c r="E66" s="116" t="s">
        <v>840</v>
      </c>
      <c r="F66" s="146">
        <v>20</v>
      </c>
      <c r="G66" s="146">
        <v>2</v>
      </c>
      <c r="H66" s="146" t="s">
        <v>853</v>
      </c>
      <c r="I66" s="146" t="s">
        <v>11</v>
      </c>
      <c r="J66" s="116" t="s">
        <v>26</v>
      </c>
      <c r="K66" s="114">
        <v>37</v>
      </c>
      <c r="L66" s="116" t="s">
        <v>854</v>
      </c>
      <c r="M66" s="116" t="s">
        <v>848</v>
      </c>
      <c r="N66" s="137"/>
    </row>
    <row r="67" spans="1:14">
      <c r="A67" s="114">
        <f t="shared" si="0"/>
        <v>61</v>
      </c>
      <c r="D67" s="116" t="s">
        <v>92</v>
      </c>
      <c r="E67" s="116" t="s">
        <v>840</v>
      </c>
      <c r="F67" s="146">
        <v>20</v>
      </c>
      <c r="G67" s="146">
        <v>2</v>
      </c>
      <c r="H67" s="146" t="s">
        <v>855</v>
      </c>
      <c r="I67" s="146" t="s">
        <v>12</v>
      </c>
      <c r="J67" s="116" t="s">
        <v>23</v>
      </c>
      <c r="K67" s="114">
        <v>37</v>
      </c>
      <c r="L67" s="116" t="s">
        <v>847</v>
      </c>
      <c r="M67" s="116" t="s">
        <v>848</v>
      </c>
      <c r="N67" s="137"/>
    </row>
    <row r="68" spans="1:14">
      <c r="A68" s="114">
        <f t="shared" si="0"/>
        <v>62</v>
      </c>
      <c r="D68" s="116" t="s">
        <v>92</v>
      </c>
      <c r="E68" s="116" t="s">
        <v>840</v>
      </c>
      <c r="F68" s="146">
        <v>20</v>
      </c>
      <c r="G68" s="146">
        <v>2</v>
      </c>
      <c r="H68" s="146" t="s">
        <v>856</v>
      </c>
      <c r="I68" s="146" t="s">
        <v>12</v>
      </c>
      <c r="J68" s="116" t="s">
        <v>24</v>
      </c>
      <c r="K68" s="114">
        <v>37</v>
      </c>
      <c r="L68" s="116" t="s">
        <v>850</v>
      </c>
      <c r="M68" s="116" t="s">
        <v>848</v>
      </c>
      <c r="N68" s="137"/>
    </row>
    <row r="69" spans="1:14">
      <c r="A69" s="114">
        <f t="shared" si="0"/>
        <v>63</v>
      </c>
      <c r="D69" s="116" t="s">
        <v>92</v>
      </c>
      <c r="E69" s="116" t="s">
        <v>840</v>
      </c>
      <c r="F69" s="146">
        <v>20</v>
      </c>
      <c r="G69" s="146">
        <v>2</v>
      </c>
      <c r="H69" s="146" t="s">
        <v>857</v>
      </c>
      <c r="I69" s="146" t="s">
        <v>12</v>
      </c>
      <c r="J69" s="116" t="s">
        <v>25</v>
      </c>
      <c r="K69" s="114">
        <v>37</v>
      </c>
      <c r="L69" s="116" t="s">
        <v>852</v>
      </c>
      <c r="M69" s="116" t="s">
        <v>858</v>
      </c>
      <c r="N69" s="137"/>
    </row>
    <row r="70" spans="1:14">
      <c r="A70" s="114">
        <f t="shared" si="0"/>
        <v>64</v>
      </c>
      <c r="D70" s="116" t="s">
        <v>88</v>
      </c>
      <c r="E70" s="116" t="s">
        <v>415</v>
      </c>
      <c r="F70" s="146">
        <v>20</v>
      </c>
      <c r="G70" s="146">
        <v>2</v>
      </c>
      <c r="H70" s="146" t="s">
        <v>841</v>
      </c>
      <c r="I70" s="146" t="s">
        <v>13</v>
      </c>
      <c r="J70" s="116" t="s">
        <v>20</v>
      </c>
      <c r="K70" s="114">
        <v>37</v>
      </c>
      <c r="L70" s="116" t="s">
        <v>420</v>
      </c>
      <c r="N70" s="137"/>
    </row>
    <row r="71" spans="1:14">
      <c r="A71" s="114">
        <f t="shared" ref="A71:A134" si="1">ROW()-6</f>
        <v>65</v>
      </c>
      <c r="D71" s="116" t="s">
        <v>88</v>
      </c>
      <c r="E71" s="116" t="s">
        <v>415</v>
      </c>
      <c r="F71" s="146">
        <v>20</v>
      </c>
      <c r="G71" s="146">
        <v>2</v>
      </c>
      <c r="H71" s="146" t="s">
        <v>841</v>
      </c>
      <c r="I71" s="146" t="s">
        <v>13</v>
      </c>
      <c r="J71" s="116" t="s">
        <v>21</v>
      </c>
      <c r="K71" s="114">
        <v>37</v>
      </c>
      <c r="L71" s="116" t="s">
        <v>427</v>
      </c>
      <c r="N71" s="137"/>
    </row>
    <row r="72" spans="1:14">
      <c r="A72" s="114">
        <f t="shared" si="1"/>
        <v>66</v>
      </c>
      <c r="D72" s="116" t="s">
        <v>88</v>
      </c>
      <c r="E72" s="116" t="s">
        <v>415</v>
      </c>
      <c r="F72" s="146">
        <v>20</v>
      </c>
      <c r="G72" s="146">
        <v>2</v>
      </c>
      <c r="H72" s="146" t="s">
        <v>841</v>
      </c>
      <c r="I72" s="146" t="s">
        <v>13</v>
      </c>
      <c r="J72" s="116" t="s">
        <v>23</v>
      </c>
      <c r="K72" s="114">
        <v>37</v>
      </c>
      <c r="L72" s="116" t="s">
        <v>472</v>
      </c>
      <c r="N72" s="137"/>
    </row>
    <row r="73" spans="1:14">
      <c r="A73" s="114">
        <f t="shared" si="1"/>
        <v>67</v>
      </c>
      <c r="D73" s="116" t="s">
        <v>266</v>
      </c>
      <c r="E73" s="116" t="s">
        <v>859</v>
      </c>
      <c r="F73" s="146">
        <v>20</v>
      </c>
      <c r="G73" s="146">
        <v>2</v>
      </c>
      <c r="H73" s="146" t="s">
        <v>841</v>
      </c>
      <c r="I73" s="146" t="s">
        <v>14</v>
      </c>
      <c r="J73" s="116" t="s">
        <v>23</v>
      </c>
      <c r="K73" s="114">
        <v>33</v>
      </c>
      <c r="L73" s="116" t="s">
        <v>420</v>
      </c>
      <c r="N73" s="137"/>
    </row>
    <row r="74" spans="1:14">
      <c r="A74" s="114">
        <f t="shared" si="1"/>
        <v>68</v>
      </c>
      <c r="D74" s="116" t="s">
        <v>266</v>
      </c>
      <c r="E74" s="116" t="s">
        <v>859</v>
      </c>
      <c r="F74" s="146">
        <v>20</v>
      </c>
      <c r="G74" s="146">
        <v>2</v>
      </c>
      <c r="H74" s="146" t="s">
        <v>841</v>
      </c>
      <c r="I74" s="146" t="s">
        <v>14</v>
      </c>
      <c r="J74" s="116" t="s">
        <v>24</v>
      </c>
      <c r="K74" s="114">
        <v>32</v>
      </c>
      <c r="L74" s="116" t="s">
        <v>409</v>
      </c>
      <c r="N74" s="137"/>
    </row>
    <row r="75" spans="1:14">
      <c r="A75" s="114">
        <f t="shared" si="1"/>
        <v>69</v>
      </c>
      <c r="D75" s="116" t="s">
        <v>266</v>
      </c>
      <c r="E75" s="116" t="s">
        <v>859</v>
      </c>
      <c r="F75" s="146">
        <v>20</v>
      </c>
      <c r="G75" s="146">
        <v>2</v>
      </c>
      <c r="H75" s="146" t="s">
        <v>841</v>
      </c>
      <c r="I75" s="146" t="s">
        <v>14</v>
      </c>
      <c r="J75" s="116" t="s">
        <v>25</v>
      </c>
      <c r="K75" s="114">
        <v>32</v>
      </c>
      <c r="L75" s="116" t="s">
        <v>860</v>
      </c>
      <c r="N75" s="137"/>
    </row>
    <row r="76" spans="1:14">
      <c r="A76" s="114">
        <f t="shared" si="1"/>
        <v>70</v>
      </c>
      <c r="D76" s="116" t="s">
        <v>266</v>
      </c>
      <c r="E76" s="116" t="s">
        <v>859</v>
      </c>
      <c r="F76" s="146">
        <v>20</v>
      </c>
      <c r="G76" s="146">
        <v>2</v>
      </c>
      <c r="H76" s="146" t="s">
        <v>841</v>
      </c>
      <c r="I76" s="146" t="s">
        <v>14</v>
      </c>
      <c r="J76" s="116" t="s">
        <v>26</v>
      </c>
      <c r="K76" s="114">
        <v>32</v>
      </c>
      <c r="L76" s="116" t="s">
        <v>482</v>
      </c>
      <c r="N76" s="137"/>
    </row>
    <row r="77" spans="1:14">
      <c r="A77" s="114">
        <f t="shared" si="1"/>
        <v>71</v>
      </c>
      <c r="D77" s="116" t="s">
        <v>266</v>
      </c>
      <c r="E77" s="116" t="s">
        <v>859</v>
      </c>
      <c r="F77" s="146">
        <v>20</v>
      </c>
      <c r="G77" s="146">
        <v>2</v>
      </c>
      <c r="H77" s="146" t="s">
        <v>841</v>
      </c>
      <c r="I77" s="146" t="s">
        <v>14</v>
      </c>
      <c r="J77" s="116" t="s">
        <v>27</v>
      </c>
      <c r="K77" s="114">
        <v>32</v>
      </c>
      <c r="L77" s="116" t="s">
        <v>837</v>
      </c>
      <c r="N77" s="137"/>
    </row>
    <row r="78" spans="1:14">
      <c r="A78" s="114">
        <f t="shared" si="1"/>
        <v>72</v>
      </c>
      <c r="C78" s="114">
        <v>161313</v>
      </c>
      <c r="D78" s="116" t="s">
        <v>421</v>
      </c>
      <c r="E78" s="116" t="s">
        <v>280</v>
      </c>
      <c r="F78" s="146">
        <v>21</v>
      </c>
      <c r="G78" s="146">
        <v>3</v>
      </c>
      <c r="H78" s="146" t="s">
        <v>861</v>
      </c>
      <c r="I78" s="146" t="s">
        <v>15</v>
      </c>
      <c r="J78" s="116" t="s">
        <v>20</v>
      </c>
      <c r="K78" s="114">
        <v>32</v>
      </c>
      <c r="L78" s="116" t="s">
        <v>414</v>
      </c>
      <c r="N78" s="137"/>
    </row>
    <row r="79" spans="1:14">
      <c r="A79" s="114">
        <f t="shared" si="1"/>
        <v>73</v>
      </c>
      <c r="C79" s="114">
        <v>161313</v>
      </c>
      <c r="D79" s="116" t="s">
        <v>421</v>
      </c>
      <c r="E79" s="116" t="s">
        <v>280</v>
      </c>
      <c r="F79" s="146">
        <v>21</v>
      </c>
      <c r="G79" s="146">
        <v>3</v>
      </c>
      <c r="H79" s="146" t="s">
        <v>861</v>
      </c>
      <c r="I79" s="146" t="s">
        <v>15</v>
      </c>
      <c r="J79" s="116" t="s">
        <v>21</v>
      </c>
      <c r="K79" s="114">
        <v>32</v>
      </c>
      <c r="L79" s="116" t="s">
        <v>862</v>
      </c>
      <c r="N79" s="137"/>
    </row>
    <row r="80" spans="1:14">
      <c r="A80" s="114">
        <f t="shared" si="1"/>
        <v>74</v>
      </c>
      <c r="C80" s="114">
        <v>161313</v>
      </c>
      <c r="D80" s="116" t="s">
        <v>421</v>
      </c>
      <c r="E80" s="116" t="s">
        <v>280</v>
      </c>
      <c r="F80" s="146">
        <v>21</v>
      </c>
      <c r="G80" s="146">
        <v>3</v>
      </c>
      <c r="H80" s="146" t="s">
        <v>861</v>
      </c>
      <c r="I80" s="146" t="s">
        <v>15</v>
      </c>
      <c r="J80" s="116" t="s">
        <v>23</v>
      </c>
      <c r="K80" s="114">
        <v>32</v>
      </c>
      <c r="L80" s="116" t="s">
        <v>863</v>
      </c>
      <c r="N80" s="137"/>
    </row>
    <row r="81" spans="1:14">
      <c r="A81" s="114">
        <f t="shared" si="1"/>
        <v>75</v>
      </c>
      <c r="C81" s="114">
        <v>161313</v>
      </c>
      <c r="D81" s="116" t="s">
        <v>421</v>
      </c>
      <c r="E81" s="116" t="s">
        <v>280</v>
      </c>
      <c r="F81" s="146">
        <v>21</v>
      </c>
      <c r="G81" s="146">
        <v>3</v>
      </c>
      <c r="H81" s="146" t="s">
        <v>861</v>
      </c>
      <c r="I81" s="146" t="s">
        <v>15</v>
      </c>
      <c r="J81" s="116" t="s">
        <v>24</v>
      </c>
      <c r="K81" s="114">
        <v>35</v>
      </c>
      <c r="L81" s="116" t="s">
        <v>143</v>
      </c>
      <c r="N81" s="137"/>
    </row>
    <row r="82" spans="1:14">
      <c r="A82" s="114">
        <f t="shared" si="1"/>
        <v>76</v>
      </c>
      <c r="C82" s="114">
        <v>161314</v>
      </c>
      <c r="D82" s="116" t="s">
        <v>421</v>
      </c>
      <c r="E82" s="116" t="s">
        <v>280</v>
      </c>
      <c r="F82" s="146">
        <v>21</v>
      </c>
      <c r="G82" s="146">
        <v>3</v>
      </c>
      <c r="H82" s="146" t="s">
        <v>861</v>
      </c>
      <c r="I82" s="146" t="s">
        <v>15</v>
      </c>
      <c r="J82" s="116" t="s">
        <v>25</v>
      </c>
      <c r="K82" s="114">
        <v>32</v>
      </c>
      <c r="L82" s="116" t="s">
        <v>835</v>
      </c>
      <c r="N82" s="137"/>
    </row>
    <row r="83" spans="1:14">
      <c r="A83" s="114">
        <f t="shared" si="1"/>
        <v>77</v>
      </c>
      <c r="C83" s="114">
        <v>161314</v>
      </c>
      <c r="D83" s="116" t="s">
        <v>421</v>
      </c>
      <c r="E83" s="116" t="s">
        <v>280</v>
      </c>
      <c r="F83" s="146">
        <v>21</v>
      </c>
      <c r="G83" s="146">
        <v>3</v>
      </c>
      <c r="H83" s="146" t="s">
        <v>861</v>
      </c>
      <c r="I83" s="146" t="s">
        <v>15</v>
      </c>
      <c r="J83" s="116" t="s">
        <v>26</v>
      </c>
      <c r="K83" s="114">
        <v>32</v>
      </c>
      <c r="L83" s="116" t="s">
        <v>386</v>
      </c>
      <c r="N83" s="137"/>
    </row>
    <row r="84" spans="1:14">
      <c r="A84" s="114">
        <f t="shared" si="1"/>
        <v>78</v>
      </c>
      <c r="C84" s="114">
        <v>161314</v>
      </c>
      <c r="D84" s="116" t="s">
        <v>421</v>
      </c>
      <c r="E84" s="116" t="s">
        <v>280</v>
      </c>
      <c r="F84" s="146">
        <v>21</v>
      </c>
      <c r="G84" s="146">
        <v>3</v>
      </c>
      <c r="H84" s="146" t="s">
        <v>861</v>
      </c>
      <c r="I84" s="146" t="s">
        <v>15</v>
      </c>
      <c r="J84" s="116" t="s">
        <v>27</v>
      </c>
      <c r="K84" s="114">
        <v>32</v>
      </c>
      <c r="L84" s="116" t="s">
        <v>435</v>
      </c>
      <c r="N84" s="137"/>
    </row>
    <row r="85" spans="1:14">
      <c r="A85" s="114">
        <f t="shared" si="1"/>
        <v>79</v>
      </c>
      <c r="C85" s="114">
        <v>161310</v>
      </c>
      <c r="D85" s="116" t="s">
        <v>411</v>
      </c>
      <c r="E85" s="116" t="s">
        <v>864</v>
      </c>
      <c r="F85" s="146">
        <v>21</v>
      </c>
      <c r="G85" s="146">
        <v>3</v>
      </c>
      <c r="H85" s="146" t="s">
        <v>861</v>
      </c>
      <c r="I85" s="146" t="s">
        <v>15</v>
      </c>
      <c r="J85" s="116" t="s">
        <v>16</v>
      </c>
      <c r="K85" s="114">
        <v>30</v>
      </c>
      <c r="L85" s="116" t="s">
        <v>413</v>
      </c>
      <c r="N85" s="137"/>
    </row>
    <row r="86" spans="1:14">
      <c r="A86" s="114">
        <f t="shared" si="1"/>
        <v>80</v>
      </c>
      <c r="C86" s="114">
        <v>161310</v>
      </c>
      <c r="D86" s="116" t="s">
        <v>411</v>
      </c>
      <c r="E86" s="116" t="s">
        <v>864</v>
      </c>
      <c r="F86" s="146">
        <v>21</v>
      </c>
      <c r="G86" s="146">
        <v>3</v>
      </c>
      <c r="H86" s="146" t="s">
        <v>861</v>
      </c>
      <c r="I86" s="146" t="s">
        <v>15</v>
      </c>
      <c r="J86" s="116" t="s">
        <v>18</v>
      </c>
      <c r="K86" s="114">
        <v>30</v>
      </c>
      <c r="L86" s="116" t="s">
        <v>865</v>
      </c>
      <c r="N86" s="137"/>
    </row>
    <row r="87" spans="1:14">
      <c r="A87" s="114">
        <f t="shared" si="1"/>
        <v>81</v>
      </c>
      <c r="C87" s="114">
        <v>161310</v>
      </c>
      <c r="D87" s="116" t="s">
        <v>411</v>
      </c>
      <c r="E87" s="202" t="s">
        <v>864</v>
      </c>
      <c r="F87" s="146">
        <v>21</v>
      </c>
      <c r="G87" s="146">
        <v>3</v>
      </c>
      <c r="H87" s="146" t="s">
        <v>861</v>
      </c>
      <c r="I87" s="146" t="s">
        <v>15</v>
      </c>
      <c r="J87" s="116" t="s">
        <v>19</v>
      </c>
      <c r="K87" s="114">
        <v>26</v>
      </c>
      <c r="L87" s="116" t="s">
        <v>448</v>
      </c>
      <c r="N87" s="137"/>
    </row>
    <row r="88" spans="1:14">
      <c r="A88" s="114">
        <f t="shared" si="1"/>
        <v>82</v>
      </c>
      <c r="D88" s="202" t="s">
        <v>63</v>
      </c>
      <c r="E88" s="204" t="str">
        <f>INDEX(tbl_Lichthi[],MATCH(D88,tbl_Lichthi[Mã học phần],0),MATCH(LichThiTheoHocPhan!$C$1,tbl_Lichthi[#Headers],0))</f>
        <v>Lập trình C cơ bản</v>
      </c>
      <c r="F88" s="203">
        <v>20</v>
      </c>
      <c r="G88" s="146">
        <v>3</v>
      </c>
      <c r="H88" s="146" t="s">
        <v>866</v>
      </c>
      <c r="I88" s="146" t="s">
        <v>867</v>
      </c>
      <c r="J88" s="116" t="s">
        <v>16</v>
      </c>
      <c r="K88" s="114">
        <v>37</v>
      </c>
      <c r="L88" s="116" t="s">
        <v>854</v>
      </c>
      <c r="N88" s="137"/>
    </row>
    <row r="89" spans="1:14">
      <c r="A89" s="114">
        <f t="shared" si="1"/>
        <v>83</v>
      </c>
      <c r="D89" s="202" t="s">
        <v>63</v>
      </c>
      <c r="E89" s="204" t="str">
        <f>INDEX(tbl_Lichthi[],MATCH(D89,tbl_Lichthi[Mã học phần],0),MATCH(LichThiTheoHocPhan!$C$1,tbl_Lichthi[#Headers],0))</f>
        <v>Lập trình C cơ bản</v>
      </c>
      <c r="F89" s="203">
        <v>20</v>
      </c>
      <c r="G89" s="146">
        <v>3</v>
      </c>
      <c r="H89" s="146" t="s">
        <v>866</v>
      </c>
      <c r="I89" s="146" t="s">
        <v>867</v>
      </c>
      <c r="J89" s="116" t="s">
        <v>18</v>
      </c>
      <c r="K89" s="114">
        <v>37</v>
      </c>
      <c r="L89" s="116" t="s">
        <v>482</v>
      </c>
      <c r="N89" s="137"/>
    </row>
    <row r="90" spans="1:14">
      <c r="A90" s="114">
        <f t="shared" si="1"/>
        <v>84</v>
      </c>
      <c r="D90" s="202" t="s">
        <v>63</v>
      </c>
      <c r="E90" s="204" t="str">
        <f>INDEX(tbl_Lichthi[],MATCH(D90,tbl_Lichthi[Mã học phần],0),MATCH(LichThiTheoHocPhan!$C$1,tbl_Lichthi[#Headers],0))</f>
        <v>Lập trình C cơ bản</v>
      </c>
      <c r="F90" s="203">
        <v>20</v>
      </c>
      <c r="G90" s="146">
        <v>3</v>
      </c>
      <c r="H90" s="146" t="s">
        <v>866</v>
      </c>
      <c r="I90" s="146" t="s">
        <v>867</v>
      </c>
      <c r="J90" s="116" t="s">
        <v>19</v>
      </c>
      <c r="K90" s="114">
        <v>37</v>
      </c>
      <c r="L90" s="116" t="s">
        <v>476</v>
      </c>
      <c r="N90" s="137"/>
    </row>
    <row r="91" spans="1:14">
      <c r="A91" s="114">
        <f t="shared" si="1"/>
        <v>85</v>
      </c>
      <c r="D91" s="202" t="s">
        <v>63</v>
      </c>
      <c r="E91" s="204" t="str">
        <f>INDEX(tbl_Lichthi[],MATCH(D91,tbl_Lichthi[Mã học phần],0),MATCH(LichThiTheoHocPhan!$C$1,tbl_Lichthi[#Headers],0))</f>
        <v>Lập trình C cơ bản</v>
      </c>
      <c r="F91" s="203">
        <v>20</v>
      </c>
      <c r="G91" s="146">
        <v>3</v>
      </c>
      <c r="H91" s="146" t="s">
        <v>866</v>
      </c>
      <c r="I91" s="146" t="s">
        <v>867</v>
      </c>
      <c r="J91" s="116" t="s">
        <v>20</v>
      </c>
      <c r="K91" s="114">
        <v>37</v>
      </c>
      <c r="L91" s="116" t="s">
        <v>398</v>
      </c>
      <c r="N91" s="137"/>
    </row>
    <row r="92" spans="1:14">
      <c r="A92" s="114">
        <f t="shared" si="1"/>
        <v>86</v>
      </c>
      <c r="D92" s="202" t="s">
        <v>63</v>
      </c>
      <c r="E92" s="204" t="str">
        <f>INDEX(tbl_Lichthi[],MATCH(D92,tbl_Lichthi[Mã học phần],0),MATCH(LichThiTheoHocPhan!$C$1,tbl_Lichthi[#Headers],0))</f>
        <v>Lập trình C cơ bản</v>
      </c>
      <c r="F92" s="203">
        <v>20</v>
      </c>
      <c r="G92" s="146">
        <v>3</v>
      </c>
      <c r="H92" s="146" t="s">
        <v>866</v>
      </c>
      <c r="I92" s="146" t="s">
        <v>867</v>
      </c>
      <c r="J92" s="116" t="s">
        <v>21</v>
      </c>
      <c r="K92" s="114">
        <v>37</v>
      </c>
      <c r="L92" s="116" t="s">
        <v>479</v>
      </c>
      <c r="N92" s="137"/>
    </row>
    <row r="93" spans="1:14">
      <c r="A93" s="114">
        <f t="shared" si="1"/>
        <v>87</v>
      </c>
      <c r="D93" s="202" t="s">
        <v>63</v>
      </c>
      <c r="E93" s="204" t="str">
        <f>INDEX(tbl_Lichthi[],MATCH(D93,tbl_Lichthi[Mã học phần],0),MATCH(LichThiTheoHocPhan!$C$1,tbl_Lichthi[#Headers],0))</f>
        <v>Lập trình C cơ bản</v>
      </c>
      <c r="F93" s="203">
        <v>20</v>
      </c>
      <c r="G93" s="146">
        <v>3</v>
      </c>
      <c r="H93" s="146" t="s">
        <v>866</v>
      </c>
      <c r="I93" s="146" t="s">
        <v>867</v>
      </c>
      <c r="J93" s="116" t="s">
        <v>22</v>
      </c>
      <c r="K93" s="114">
        <v>27</v>
      </c>
      <c r="L93" s="116" t="s">
        <v>487</v>
      </c>
      <c r="N93" s="137"/>
    </row>
    <row r="94" spans="1:14">
      <c r="A94" s="114">
        <f t="shared" si="1"/>
        <v>88</v>
      </c>
      <c r="D94" s="202" t="s">
        <v>63</v>
      </c>
      <c r="E94" s="204" t="str">
        <f>INDEX(tbl_Lichthi[],MATCH(D94,tbl_Lichthi[Mã học phần],0),MATCH(LichThiTheoHocPhan!$C$1,tbl_Lichthi[#Headers],0))</f>
        <v>Lập trình C cơ bản</v>
      </c>
      <c r="F94" s="203">
        <v>20</v>
      </c>
      <c r="G94" s="146">
        <v>3</v>
      </c>
      <c r="H94" s="146" t="s">
        <v>866</v>
      </c>
      <c r="I94" s="146" t="s">
        <v>867</v>
      </c>
      <c r="J94" s="116" t="s">
        <v>23</v>
      </c>
      <c r="K94" s="114">
        <v>37</v>
      </c>
      <c r="L94" s="116" t="s">
        <v>491</v>
      </c>
      <c r="N94" s="137"/>
    </row>
    <row r="95" spans="1:14">
      <c r="A95" s="114">
        <f t="shared" si="1"/>
        <v>89</v>
      </c>
      <c r="D95" s="202" t="s">
        <v>63</v>
      </c>
      <c r="E95" s="204" t="str">
        <f>INDEX(tbl_Lichthi[],MATCH(D95,tbl_Lichthi[Mã học phần],0),MATCH(LichThiTheoHocPhan!$C$1,tbl_Lichthi[#Headers],0))</f>
        <v>Lập trình C cơ bản</v>
      </c>
      <c r="F95" s="203">
        <v>20</v>
      </c>
      <c r="G95" s="146">
        <v>3</v>
      </c>
      <c r="H95" s="146" t="s">
        <v>866</v>
      </c>
      <c r="I95" s="146" t="s">
        <v>867</v>
      </c>
      <c r="J95" s="116" t="s">
        <v>24</v>
      </c>
      <c r="K95" s="114">
        <v>37</v>
      </c>
      <c r="L95" s="116" t="s">
        <v>868</v>
      </c>
      <c r="N95" s="137"/>
    </row>
    <row r="96" spans="1:14">
      <c r="A96" s="114">
        <f t="shared" si="1"/>
        <v>90</v>
      </c>
      <c r="D96" s="202" t="s">
        <v>63</v>
      </c>
      <c r="E96" s="204" t="str">
        <f>INDEX(tbl_Lichthi[],MATCH(D96,tbl_Lichthi[Mã học phần],0),MATCH(LichThiTheoHocPhan!$C$1,tbl_Lichthi[#Headers],0))</f>
        <v>Lập trình C cơ bản</v>
      </c>
      <c r="F96" s="203">
        <v>20</v>
      </c>
      <c r="G96" s="146">
        <v>3</v>
      </c>
      <c r="H96" s="146" t="s">
        <v>866</v>
      </c>
      <c r="I96" s="146" t="s">
        <v>867</v>
      </c>
      <c r="J96" s="116" t="s">
        <v>25</v>
      </c>
      <c r="K96" s="114">
        <v>37</v>
      </c>
      <c r="L96" s="116" t="s">
        <v>485</v>
      </c>
      <c r="N96" s="137"/>
    </row>
    <row r="97" spans="1:14">
      <c r="A97" s="114">
        <f t="shared" si="1"/>
        <v>91</v>
      </c>
      <c r="D97" s="202" t="s">
        <v>63</v>
      </c>
      <c r="E97" s="204" t="str">
        <f>INDEX(tbl_Lichthi[],MATCH(D97,tbl_Lichthi[Mã học phần],0),MATCH(LichThiTheoHocPhan!$C$1,tbl_Lichthi[#Headers],0))</f>
        <v>Lập trình C cơ bản</v>
      </c>
      <c r="F97" s="203">
        <v>20</v>
      </c>
      <c r="G97" s="146">
        <v>3</v>
      </c>
      <c r="H97" s="146" t="s">
        <v>866</v>
      </c>
      <c r="I97" s="146" t="s">
        <v>867</v>
      </c>
      <c r="J97" s="116" t="s">
        <v>26</v>
      </c>
      <c r="K97" s="114">
        <v>37</v>
      </c>
      <c r="L97" s="116" t="s">
        <v>464</v>
      </c>
      <c r="N97" s="137"/>
    </row>
    <row r="98" spans="1:14">
      <c r="A98" s="114">
        <f t="shared" si="1"/>
        <v>92</v>
      </c>
      <c r="D98" s="202" t="s">
        <v>63</v>
      </c>
      <c r="E98" s="204" t="str">
        <f>INDEX(tbl_Lichthi[],MATCH(D98,tbl_Lichthi[Mã học phần],0),MATCH(LichThiTheoHocPhan!$C$1,tbl_Lichthi[#Headers],0))</f>
        <v>Lập trình C cơ bản</v>
      </c>
      <c r="F98" s="203">
        <v>20</v>
      </c>
      <c r="G98" s="146">
        <v>3</v>
      </c>
      <c r="H98" s="146" t="s">
        <v>866</v>
      </c>
      <c r="I98" s="146" t="s">
        <v>867</v>
      </c>
      <c r="J98" s="116" t="s">
        <v>27</v>
      </c>
      <c r="K98" s="114">
        <v>37</v>
      </c>
      <c r="L98" s="116" t="s">
        <v>869</v>
      </c>
      <c r="N98" s="137"/>
    </row>
    <row r="99" spans="1:14">
      <c r="A99" s="114">
        <f t="shared" si="1"/>
        <v>93</v>
      </c>
      <c r="D99" s="116" t="s">
        <v>524</v>
      </c>
      <c r="E99" s="202" t="s">
        <v>525</v>
      </c>
      <c r="F99" s="146">
        <v>21</v>
      </c>
      <c r="G99" s="146">
        <v>6</v>
      </c>
      <c r="H99" s="146" t="s">
        <v>870</v>
      </c>
      <c r="I99" s="146" t="s">
        <v>12</v>
      </c>
      <c r="J99" s="116" t="s">
        <v>16</v>
      </c>
      <c r="K99" s="114">
        <v>32</v>
      </c>
      <c r="L99" s="116" t="s">
        <v>398</v>
      </c>
      <c r="N99" s="137"/>
    </row>
    <row r="100" spans="1:14">
      <c r="A100" s="114">
        <f t="shared" si="1"/>
        <v>94</v>
      </c>
      <c r="D100" s="116" t="s">
        <v>524</v>
      </c>
      <c r="E100" s="202" t="s">
        <v>525</v>
      </c>
      <c r="F100" s="146">
        <v>21</v>
      </c>
      <c r="G100" s="146">
        <v>6</v>
      </c>
      <c r="H100" s="146" t="s">
        <v>870</v>
      </c>
      <c r="I100" s="146" t="s">
        <v>12</v>
      </c>
      <c r="J100" s="116" t="s">
        <v>18</v>
      </c>
      <c r="K100" s="114">
        <v>32</v>
      </c>
      <c r="L100" s="116" t="s">
        <v>854</v>
      </c>
      <c r="N100" s="137"/>
    </row>
    <row r="101" spans="1:14">
      <c r="A101" s="114">
        <f t="shared" si="1"/>
        <v>95</v>
      </c>
      <c r="D101" s="116" t="s">
        <v>524</v>
      </c>
      <c r="E101" s="202" t="s">
        <v>525</v>
      </c>
      <c r="F101" s="146">
        <v>21</v>
      </c>
      <c r="G101" s="146">
        <v>6</v>
      </c>
      <c r="H101" s="146" t="s">
        <v>870</v>
      </c>
      <c r="I101" s="146" t="s">
        <v>12</v>
      </c>
      <c r="J101" s="116" t="s">
        <v>19</v>
      </c>
      <c r="K101" s="114">
        <v>32</v>
      </c>
      <c r="L101" s="116" t="s">
        <v>869</v>
      </c>
      <c r="N101" s="137"/>
    </row>
    <row r="102" spans="1:14">
      <c r="A102" s="114">
        <f t="shared" si="1"/>
        <v>96</v>
      </c>
      <c r="D102" s="116" t="s">
        <v>524</v>
      </c>
      <c r="E102" s="202" t="s">
        <v>525</v>
      </c>
      <c r="F102" s="146">
        <v>21</v>
      </c>
      <c r="G102" s="146">
        <v>6</v>
      </c>
      <c r="H102" s="146" t="s">
        <v>870</v>
      </c>
      <c r="I102" s="146" t="s">
        <v>12</v>
      </c>
      <c r="J102" s="116" t="s">
        <v>20</v>
      </c>
      <c r="K102" s="114">
        <v>31</v>
      </c>
      <c r="L102" s="116" t="s">
        <v>482</v>
      </c>
      <c r="N102" s="137"/>
    </row>
    <row r="103" spans="1:14">
      <c r="A103" s="114">
        <f t="shared" si="1"/>
        <v>97</v>
      </c>
      <c r="B103" s="114">
        <v>190145</v>
      </c>
      <c r="C103" s="114">
        <v>161350</v>
      </c>
      <c r="D103" s="116" t="s">
        <v>239</v>
      </c>
      <c r="E103" s="116" t="s">
        <v>240</v>
      </c>
      <c r="F103" s="146">
        <v>21</v>
      </c>
      <c r="G103" s="146">
        <v>6</v>
      </c>
      <c r="H103" s="146" t="s">
        <v>870</v>
      </c>
      <c r="I103" s="146" t="s">
        <v>13</v>
      </c>
      <c r="J103" s="116" t="s">
        <v>16</v>
      </c>
      <c r="K103" s="114">
        <v>34</v>
      </c>
      <c r="L103" s="116" t="s">
        <v>448</v>
      </c>
      <c r="N103" s="137"/>
    </row>
    <row r="104" spans="1:14">
      <c r="A104" s="114">
        <f t="shared" si="1"/>
        <v>98</v>
      </c>
      <c r="B104" s="114" t="s">
        <v>871</v>
      </c>
      <c r="C104" s="114">
        <v>161350</v>
      </c>
      <c r="D104" s="116" t="s">
        <v>239</v>
      </c>
      <c r="E104" s="116" t="s">
        <v>240</v>
      </c>
      <c r="F104" s="146">
        <v>21</v>
      </c>
      <c r="G104" s="146">
        <v>6</v>
      </c>
      <c r="H104" s="146" t="s">
        <v>870</v>
      </c>
      <c r="I104" s="146" t="s">
        <v>13</v>
      </c>
      <c r="J104" s="116" t="s">
        <v>18</v>
      </c>
      <c r="K104" s="114">
        <v>34</v>
      </c>
      <c r="L104" s="116" t="s">
        <v>862</v>
      </c>
      <c r="N104" s="137"/>
    </row>
    <row r="105" spans="1:14">
      <c r="A105" s="114">
        <f t="shared" si="1"/>
        <v>99</v>
      </c>
      <c r="B105" s="114">
        <v>190146</v>
      </c>
      <c r="C105" s="114">
        <v>161350</v>
      </c>
      <c r="D105" s="116" t="s">
        <v>239</v>
      </c>
      <c r="E105" s="116" t="s">
        <v>240</v>
      </c>
      <c r="F105" s="146">
        <v>21</v>
      </c>
      <c r="G105" s="146">
        <v>6</v>
      </c>
      <c r="H105" s="146" t="s">
        <v>870</v>
      </c>
      <c r="I105" s="146" t="s">
        <v>13</v>
      </c>
      <c r="J105" s="116" t="s">
        <v>19</v>
      </c>
      <c r="K105" s="114">
        <v>34</v>
      </c>
      <c r="L105" s="116" t="s">
        <v>143</v>
      </c>
      <c r="N105" s="137"/>
    </row>
    <row r="106" spans="1:14">
      <c r="A106" s="114">
        <f t="shared" si="1"/>
        <v>100</v>
      </c>
      <c r="B106" s="114">
        <v>190149</v>
      </c>
      <c r="C106" s="114">
        <v>161856</v>
      </c>
      <c r="D106" s="116" t="s">
        <v>239</v>
      </c>
      <c r="E106" s="116" t="s">
        <v>240</v>
      </c>
      <c r="F106" s="146">
        <v>21</v>
      </c>
      <c r="G106" s="146">
        <v>6</v>
      </c>
      <c r="H106" s="146" t="s">
        <v>870</v>
      </c>
      <c r="I106" s="146" t="s">
        <v>13</v>
      </c>
      <c r="J106" s="116" t="s">
        <v>21</v>
      </c>
      <c r="K106" s="114">
        <v>32</v>
      </c>
      <c r="L106" s="116" t="s">
        <v>872</v>
      </c>
      <c r="N106" s="137"/>
    </row>
    <row r="107" spans="1:14">
      <c r="A107" s="114">
        <f t="shared" si="1"/>
        <v>101</v>
      </c>
      <c r="B107" s="114" t="s">
        <v>873</v>
      </c>
      <c r="C107" s="114" t="s">
        <v>874</v>
      </c>
      <c r="D107" s="116" t="s">
        <v>239</v>
      </c>
      <c r="E107" s="116" t="s">
        <v>240</v>
      </c>
      <c r="F107" s="146">
        <v>21</v>
      </c>
      <c r="G107" s="146">
        <v>6</v>
      </c>
      <c r="H107" s="146" t="s">
        <v>870</v>
      </c>
      <c r="I107" s="146" t="s">
        <v>13</v>
      </c>
      <c r="J107" s="116" t="s">
        <v>23</v>
      </c>
      <c r="K107" s="114">
        <v>32</v>
      </c>
      <c r="N107" s="137"/>
    </row>
    <row r="108" spans="1:14">
      <c r="A108" s="114">
        <f t="shared" si="1"/>
        <v>102</v>
      </c>
      <c r="B108" s="114">
        <v>190148</v>
      </c>
      <c r="C108" s="114">
        <v>161855</v>
      </c>
      <c r="D108" s="116" t="s">
        <v>239</v>
      </c>
      <c r="E108" s="116" t="s">
        <v>240</v>
      </c>
      <c r="F108" s="146">
        <v>21</v>
      </c>
      <c r="G108" s="146">
        <v>6</v>
      </c>
      <c r="H108" s="146" t="s">
        <v>870</v>
      </c>
      <c r="I108" s="146" t="s">
        <v>13</v>
      </c>
      <c r="J108" s="116" t="s">
        <v>24</v>
      </c>
      <c r="K108" s="114">
        <v>31</v>
      </c>
      <c r="L108" s="116" t="s">
        <v>875</v>
      </c>
      <c r="N108" s="137"/>
    </row>
    <row r="109" spans="1:14">
      <c r="A109" s="114">
        <f t="shared" si="1"/>
        <v>103</v>
      </c>
      <c r="B109" s="114" t="s">
        <v>876</v>
      </c>
      <c r="C109" s="114">
        <v>161855</v>
      </c>
      <c r="D109" s="116" t="s">
        <v>239</v>
      </c>
      <c r="E109" s="116" t="s">
        <v>240</v>
      </c>
      <c r="F109" s="146">
        <v>21</v>
      </c>
      <c r="G109" s="146">
        <v>6</v>
      </c>
      <c r="H109" s="146" t="s">
        <v>870</v>
      </c>
      <c r="I109" s="146" t="s">
        <v>13</v>
      </c>
      <c r="J109" s="116" t="s">
        <v>25</v>
      </c>
      <c r="K109" s="114">
        <v>31</v>
      </c>
      <c r="N109" s="137"/>
    </row>
    <row r="110" spans="1:14">
      <c r="A110" s="114">
        <f t="shared" si="1"/>
        <v>104</v>
      </c>
      <c r="B110" s="114">
        <v>190147</v>
      </c>
      <c r="C110" s="114">
        <v>161855</v>
      </c>
      <c r="D110" s="116" t="s">
        <v>239</v>
      </c>
      <c r="E110" s="116" t="s">
        <v>240</v>
      </c>
      <c r="F110" s="146">
        <v>21</v>
      </c>
      <c r="G110" s="146">
        <v>6</v>
      </c>
      <c r="H110" s="146" t="s">
        <v>870</v>
      </c>
      <c r="I110" s="146" t="s">
        <v>13</v>
      </c>
      <c r="J110" s="116" t="s">
        <v>26</v>
      </c>
      <c r="K110" s="114">
        <v>31</v>
      </c>
      <c r="N110" s="137"/>
    </row>
    <row r="111" spans="1:14">
      <c r="A111" s="114">
        <f t="shared" si="1"/>
        <v>105</v>
      </c>
      <c r="C111" s="114">
        <v>162290</v>
      </c>
      <c r="D111" s="116" t="s">
        <v>292</v>
      </c>
      <c r="E111" s="116" t="s">
        <v>293</v>
      </c>
      <c r="F111" s="146">
        <v>22</v>
      </c>
      <c r="G111" s="146">
        <v>6</v>
      </c>
      <c r="H111" s="153">
        <v>46059</v>
      </c>
      <c r="I111" s="146">
        <v>1</v>
      </c>
      <c r="J111" s="116" t="s">
        <v>16</v>
      </c>
      <c r="K111" s="114">
        <v>29</v>
      </c>
      <c r="L111" s="116" t="s">
        <v>837</v>
      </c>
      <c r="M111" s="116" t="s">
        <v>837</v>
      </c>
      <c r="N111" s="137"/>
    </row>
    <row r="112" spans="1:14">
      <c r="A112" s="114">
        <f t="shared" si="1"/>
        <v>106</v>
      </c>
      <c r="C112" s="114">
        <v>162290</v>
      </c>
      <c r="D112" s="116" t="s">
        <v>292</v>
      </c>
      <c r="E112" s="116" t="s">
        <v>293</v>
      </c>
      <c r="F112" s="146">
        <v>22</v>
      </c>
      <c r="G112" s="146">
        <v>6</v>
      </c>
      <c r="H112" s="153">
        <v>46059</v>
      </c>
      <c r="I112" s="146">
        <v>1</v>
      </c>
      <c r="J112" s="116" t="s">
        <v>18</v>
      </c>
      <c r="K112" s="114">
        <v>34</v>
      </c>
      <c r="L112" s="116" t="s">
        <v>509</v>
      </c>
      <c r="M112" s="116" t="s">
        <v>837</v>
      </c>
      <c r="N112" s="137"/>
    </row>
    <row r="113" spans="1:14">
      <c r="A113" s="114">
        <f t="shared" si="1"/>
        <v>107</v>
      </c>
      <c r="C113" s="114">
        <v>162290</v>
      </c>
      <c r="D113" s="116" t="s">
        <v>292</v>
      </c>
      <c r="E113" s="116" t="s">
        <v>293</v>
      </c>
      <c r="F113" s="146">
        <v>22</v>
      </c>
      <c r="G113" s="146">
        <v>6</v>
      </c>
      <c r="H113" s="153">
        <v>46059</v>
      </c>
      <c r="I113" s="146">
        <v>1</v>
      </c>
      <c r="J113" s="116" t="s">
        <v>19</v>
      </c>
      <c r="K113" s="114">
        <v>34</v>
      </c>
      <c r="L113" s="116" t="s">
        <v>877</v>
      </c>
      <c r="M113" s="116" t="s">
        <v>837</v>
      </c>
      <c r="N113" s="137"/>
    </row>
    <row r="114" spans="1:14">
      <c r="A114" s="114">
        <f t="shared" si="1"/>
        <v>108</v>
      </c>
      <c r="C114" s="114">
        <v>162290</v>
      </c>
      <c r="D114" s="116" t="s">
        <v>292</v>
      </c>
      <c r="E114" s="116" t="s">
        <v>293</v>
      </c>
      <c r="F114" s="146">
        <v>22</v>
      </c>
      <c r="G114" s="146">
        <v>6</v>
      </c>
      <c r="H114" s="153">
        <v>46059</v>
      </c>
      <c r="I114" s="146">
        <v>1</v>
      </c>
      <c r="J114" s="116" t="s">
        <v>20</v>
      </c>
      <c r="K114" s="114">
        <v>34</v>
      </c>
      <c r="L114" s="116" t="s">
        <v>420</v>
      </c>
      <c r="M114" s="116" t="s">
        <v>837</v>
      </c>
      <c r="N114" s="137"/>
    </row>
    <row r="115" spans="1:14">
      <c r="A115" s="114">
        <f t="shared" si="1"/>
        <v>109</v>
      </c>
      <c r="N115" s="137"/>
    </row>
    <row r="116" spans="1:14">
      <c r="A116" s="114">
        <f t="shared" si="1"/>
        <v>110</v>
      </c>
      <c r="N116" s="137"/>
    </row>
    <row r="117" spans="1:14">
      <c r="A117" s="114">
        <f t="shared" si="1"/>
        <v>111</v>
      </c>
      <c r="N117" s="137"/>
    </row>
    <row r="118" spans="1:14">
      <c r="A118" s="114">
        <f t="shared" si="1"/>
        <v>112</v>
      </c>
      <c r="N118" s="137"/>
    </row>
    <row r="119" spans="1:14">
      <c r="A119" s="114">
        <f t="shared" si="1"/>
        <v>113</v>
      </c>
      <c r="N119" s="137"/>
    </row>
    <row r="120" spans="1:14">
      <c r="A120" s="114">
        <f t="shared" si="1"/>
        <v>114</v>
      </c>
      <c r="N120" s="137"/>
    </row>
    <row r="121" spans="1:14">
      <c r="A121" s="114">
        <f t="shared" si="1"/>
        <v>115</v>
      </c>
      <c r="N121" s="137"/>
    </row>
    <row r="122" spans="1:14">
      <c r="A122" s="114">
        <f t="shared" si="1"/>
        <v>116</v>
      </c>
      <c r="N122" s="137"/>
    </row>
    <row r="123" spans="1:14">
      <c r="A123" s="114">
        <f t="shared" si="1"/>
        <v>117</v>
      </c>
      <c r="N123" s="137"/>
    </row>
    <row r="124" spans="1:14">
      <c r="A124" s="114">
        <f t="shared" si="1"/>
        <v>118</v>
      </c>
      <c r="N124" s="137"/>
    </row>
    <row r="125" spans="1:14">
      <c r="A125" s="114">
        <f t="shared" si="1"/>
        <v>119</v>
      </c>
      <c r="N125" s="137"/>
    </row>
    <row r="126" spans="1:14">
      <c r="A126" s="114">
        <f t="shared" si="1"/>
        <v>120</v>
      </c>
      <c r="N126" s="137"/>
    </row>
    <row r="127" spans="1:14">
      <c r="A127" s="114">
        <f t="shared" si="1"/>
        <v>121</v>
      </c>
      <c r="N127" s="137"/>
    </row>
    <row r="128" spans="1:14">
      <c r="A128" s="114">
        <f t="shared" si="1"/>
        <v>122</v>
      </c>
      <c r="N128" s="137"/>
    </row>
    <row r="129" spans="1:14">
      <c r="A129" s="114">
        <f t="shared" si="1"/>
        <v>123</v>
      </c>
      <c r="N129" s="137"/>
    </row>
    <row r="130" spans="1:14">
      <c r="A130" s="114">
        <f t="shared" si="1"/>
        <v>124</v>
      </c>
      <c r="N130" s="137"/>
    </row>
    <row r="131" spans="1:14">
      <c r="A131" s="114">
        <f t="shared" si="1"/>
        <v>125</v>
      </c>
      <c r="N131" s="137"/>
    </row>
    <row r="132" spans="1:14">
      <c r="A132" s="114">
        <f t="shared" si="1"/>
        <v>126</v>
      </c>
      <c r="N132" s="137"/>
    </row>
    <row r="133" spans="1:14">
      <c r="A133" s="114">
        <f t="shared" si="1"/>
        <v>127</v>
      </c>
      <c r="N133" s="137"/>
    </row>
    <row r="134" spans="1:14">
      <c r="A134" s="114">
        <f t="shared" si="1"/>
        <v>128</v>
      </c>
      <c r="N134" s="137"/>
    </row>
    <row r="135" spans="1:14">
      <c r="A135" s="114">
        <f t="shared" ref="A135:A198" si="2">ROW()-6</f>
        <v>129</v>
      </c>
      <c r="N135" s="137"/>
    </row>
    <row r="136" spans="1:14">
      <c r="A136" s="114">
        <f t="shared" si="2"/>
        <v>130</v>
      </c>
      <c r="N136" s="137"/>
    </row>
    <row r="137" spans="1:14">
      <c r="A137" s="114">
        <f t="shared" si="2"/>
        <v>131</v>
      </c>
      <c r="N137" s="137"/>
    </row>
    <row r="138" spans="1:14">
      <c r="A138" s="114">
        <f t="shared" si="2"/>
        <v>132</v>
      </c>
      <c r="N138" s="137"/>
    </row>
    <row r="139" spans="1:14">
      <c r="A139" s="114">
        <f t="shared" si="2"/>
        <v>133</v>
      </c>
      <c r="N139" s="137"/>
    </row>
    <row r="140" spans="1:14">
      <c r="A140" s="114">
        <f t="shared" si="2"/>
        <v>134</v>
      </c>
      <c r="N140" s="137"/>
    </row>
    <row r="141" spans="1:14">
      <c r="A141" s="114">
        <f t="shared" si="2"/>
        <v>135</v>
      </c>
      <c r="N141" s="137"/>
    </row>
    <row r="142" spans="1:14">
      <c r="A142" s="114">
        <f t="shared" si="2"/>
        <v>136</v>
      </c>
      <c r="N142" s="137"/>
    </row>
    <row r="143" spans="1:14">
      <c r="A143" s="114">
        <f t="shared" si="2"/>
        <v>137</v>
      </c>
      <c r="N143" s="137"/>
    </row>
    <row r="144" spans="1:14">
      <c r="A144" s="114">
        <f t="shared" si="2"/>
        <v>138</v>
      </c>
      <c r="N144" s="137"/>
    </row>
    <row r="145" spans="1:14">
      <c r="A145" s="114">
        <f t="shared" si="2"/>
        <v>139</v>
      </c>
      <c r="N145" s="137"/>
    </row>
    <row r="146" spans="1:14">
      <c r="A146" s="114">
        <f t="shared" si="2"/>
        <v>140</v>
      </c>
      <c r="N146" s="137"/>
    </row>
    <row r="147" spans="1:14">
      <c r="A147" s="114">
        <f t="shared" si="2"/>
        <v>141</v>
      </c>
      <c r="N147" s="137"/>
    </row>
    <row r="148" spans="1:14">
      <c r="A148" s="114">
        <f t="shared" si="2"/>
        <v>142</v>
      </c>
      <c r="N148" s="137"/>
    </row>
    <row r="149" spans="1:14">
      <c r="A149" s="114">
        <f t="shared" si="2"/>
        <v>143</v>
      </c>
      <c r="N149" s="137"/>
    </row>
    <row r="150" spans="1:14">
      <c r="A150" s="114">
        <f t="shared" si="2"/>
        <v>144</v>
      </c>
      <c r="N150" s="137"/>
    </row>
    <row r="151" spans="1:14">
      <c r="A151" s="114">
        <f t="shared" si="2"/>
        <v>145</v>
      </c>
      <c r="N151" s="137"/>
    </row>
    <row r="152" spans="1:14">
      <c r="A152" s="114">
        <f t="shared" si="2"/>
        <v>146</v>
      </c>
      <c r="N152" s="137"/>
    </row>
    <row r="153" spans="1:14">
      <c r="A153" s="114">
        <f t="shared" si="2"/>
        <v>147</v>
      </c>
      <c r="N153" s="137"/>
    </row>
    <row r="154" spans="1:14">
      <c r="A154" s="114">
        <f t="shared" si="2"/>
        <v>148</v>
      </c>
      <c r="N154" s="137"/>
    </row>
    <row r="155" spans="1:14">
      <c r="A155" s="114">
        <f t="shared" si="2"/>
        <v>149</v>
      </c>
      <c r="N155" s="137"/>
    </row>
    <row r="156" spans="1:14">
      <c r="A156" s="114">
        <f t="shared" si="2"/>
        <v>150</v>
      </c>
      <c r="N156" s="137"/>
    </row>
    <row r="157" spans="1:14">
      <c r="A157" s="114">
        <f t="shared" si="2"/>
        <v>151</v>
      </c>
      <c r="N157" s="137"/>
    </row>
    <row r="158" spans="1:14">
      <c r="A158" s="114">
        <f t="shared" si="2"/>
        <v>152</v>
      </c>
      <c r="N158" s="137"/>
    </row>
    <row r="159" spans="1:14">
      <c r="A159" s="114">
        <f t="shared" si="2"/>
        <v>153</v>
      </c>
      <c r="N159" s="137"/>
    </row>
    <row r="160" spans="1:14">
      <c r="A160" s="114">
        <f t="shared" si="2"/>
        <v>154</v>
      </c>
      <c r="N160" s="137"/>
    </row>
    <row r="161" spans="1:14">
      <c r="A161" s="114">
        <f t="shared" si="2"/>
        <v>155</v>
      </c>
      <c r="N161" s="137"/>
    </row>
    <row r="162" spans="1:14">
      <c r="A162" s="114">
        <f t="shared" si="2"/>
        <v>156</v>
      </c>
      <c r="N162" s="137"/>
    </row>
    <row r="163" spans="1:14">
      <c r="A163" s="114">
        <f t="shared" si="2"/>
        <v>157</v>
      </c>
      <c r="N163" s="137"/>
    </row>
    <row r="164" spans="1:14">
      <c r="A164" s="114">
        <f t="shared" si="2"/>
        <v>158</v>
      </c>
      <c r="N164" s="137"/>
    </row>
    <row r="165" spans="1:14">
      <c r="A165" s="114">
        <f t="shared" si="2"/>
        <v>159</v>
      </c>
      <c r="N165" s="137"/>
    </row>
    <row r="166" spans="1:14">
      <c r="A166" s="114">
        <f t="shared" si="2"/>
        <v>160</v>
      </c>
      <c r="N166" s="137"/>
    </row>
    <row r="167" spans="1:14">
      <c r="A167" s="114">
        <f t="shared" si="2"/>
        <v>161</v>
      </c>
      <c r="N167" s="137"/>
    </row>
    <row r="168" spans="1:14">
      <c r="A168" s="114">
        <f t="shared" si="2"/>
        <v>162</v>
      </c>
      <c r="N168" s="137"/>
    </row>
    <row r="169" spans="1:14">
      <c r="A169" s="114">
        <f t="shared" si="2"/>
        <v>163</v>
      </c>
      <c r="N169" s="137"/>
    </row>
    <row r="170" spans="1:14">
      <c r="A170" s="114">
        <f t="shared" si="2"/>
        <v>164</v>
      </c>
      <c r="N170" s="137"/>
    </row>
    <row r="171" spans="1:14">
      <c r="A171" s="114">
        <f t="shared" si="2"/>
        <v>165</v>
      </c>
      <c r="N171" s="137"/>
    </row>
    <row r="172" spans="1:14">
      <c r="A172" s="114">
        <f t="shared" si="2"/>
        <v>166</v>
      </c>
      <c r="N172" s="137"/>
    </row>
    <row r="173" spans="1:14">
      <c r="A173" s="114">
        <f t="shared" si="2"/>
        <v>167</v>
      </c>
      <c r="N173" s="137"/>
    </row>
    <row r="174" spans="1:14">
      <c r="A174" s="114">
        <f t="shared" si="2"/>
        <v>168</v>
      </c>
      <c r="N174" s="137"/>
    </row>
    <row r="175" spans="1:14">
      <c r="A175" s="114">
        <f t="shared" si="2"/>
        <v>169</v>
      </c>
      <c r="N175" s="137"/>
    </row>
    <row r="176" spans="1:14">
      <c r="A176" s="114">
        <f t="shared" si="2"/>
        <v>170</v>
      </c>
      <c r="N176" s="137"/>
    </row>
    <row r="177" spans="1:14">
      <c r="A177" s="114">
        <f t="shared" si="2"/>
        <v>171</v>
      </c>
      <c r="N177" s="137"/>
    </row>
    <row r="178" spans="1:14">
      <c r="A178" s="114">
        <f t="shared" si="2"/>
        <v>172</v>
      </c>
      <c r="N178" s="137"/>
    </row>
    <row r="179" spans="1:14">
      <c r="A179" s="114">
        <f t="shared" si="2"/>
        <v>173</v>
      </c>
      <c r="N179" s="137"/>
    </row>
    <row r="180" spans="1:14">
      <c r="A180" s="114">
        <f t="shared" si="2"/>
        <v>174</v>
      </c>
      <c r="N180" s="137"/>
    </row>
    <row r="181" spans="1:14">
      <c r="A181" s="114">
        <f t="shared" si="2"/>
        <v>175</v>
      </c>
      <c r="N181" s="137"/>
    </row>
    <row r="182" spans="1:14">
      <c r="A182" s="114">
        <f t="shared" si="2"/>
        <v>176</v>
      </c>
      <c r="N182" s="137"/>
    </row>
    <row r="183" spans="1:14">
      <c r="A183" s="114">
        <f t="shared" si="2"/>
        <v>177</v>
      </c>
      <c r="N183" s="137"/>
    </row>
    <row r="184" spans="1:14">
      <c r="A184" s="114">
        <f t="shared" si="2"/>
        <v>178</v>
      </c>
      <c r="N184" s="137"/>
    </row>
    <row r="185" spans="1:14">
      <c r="A185" s="114">
        <f t="shared" si="2"/>
        <v>179</v>
      </c>
      <c r="N185" s="137"/>
    </row>
    <row r="186" spans="1:14">
      <c r="A186" s="114">
        <f t="shared" si="2"/>
        <v>180</v>
      </c>
      <c r="N186" s="137"/>
    </row>
    <row r="187" spans="1:14">
      <c r="A187" s="114">
        <f t="shared" si="2"/>
        <v>181</v>
      </c>
      <c r="N187" s="137"/>
    </row>
    <row r="188" spans="1:14">
      <c r="A188" s="114">
        <f t="shared" si="2"/>
        <v>182</v>
      </c>
      <c r="N188" s="137"/>
    </row>
    <row r="189" spans="1:14">
      <c r="A189" s="114">
        <f t="shared" si="2"/>
        <v>183</v>
      </c>
      <c r="N189" s="137"/>
    </row>
    <row r="190" spans="1:14">
      <c r="A190" s="114">
        <f t="shared" si="2"/>
        <v>184</v>
      </c>
      <c r="N190" s="137"/>
    </row>
    <row r="191" spans="1:14">
      <c r="A191" s="114">
        <f t="shared" si="2"/>
        <v>185</v>
      </c>
      <c r="N191" s="137"/>
    </row>
    <row r="192" spans="1:14">
      <c r="A192" s="114">
        <f t="shared" si="2"/>
        <v>186</v>
      </c>
      <c r="N192" s="137"/>
    </row>
    <row r="193" spans="1:14">
      <c r="A193" s="114">
        <f t="shared" si="2"/>
        <v>187</v>
      </c>
      <c r="N193" s="137"/>
    </row>
    <row r="194" spans="1:14">
      <c r="A194" s="114">
        <f t="shared" si="2"/>
        <v>188</v>
      </c>
      <c r="N194" s="137"/>
    </row>
    <row r="195" spans="1:14">
      <c r="A195" s="114">
        <f t="shared" si="2"/>
        <v>189</v>
      </c>
      <c r="N195" s="137"/>
    </row>
    <row r="196" spans="1:14">
      <c r="A196" s="114">
        <f t="shared" si="2"/>
        <v>190</v>
      </c>
      <c r="N196" s="137"/>
    </row>
    <row r="197" spans="1:14">
      <c r="A197" s="114">
        <f t="shared" si="2"/>
        <v>191</v>
      </c>
      <c r="N197" s="137"/>
    </row>
    <row r="198" spans="1:14">
      <c r="A198" s="114">
        <f t="shared" si="2"/>
        <v>192</v>
      </c>
      <c r="N198" s="137"/>
    </row>
    <row r="199" spans="1:14">
      <c r="A199" s="114">
        <f t="shared" ref="A199:A262" si="3">ROW()-6</f>
        <v>193</v>
      </c>
      <c r="N199" s="137"/>
    </row>
    <row r="200" spans="1:14">
      <c r="A200" s="114">
        <f t="shared" si="3"/>
        <v>194</v>
      </c>
      <c r="N200" s="137"/>
    </row>
    <row r="201" spans="1:14">
      <c r="A201" s="114">
        <f t="shared" si="3"/>
        <v>195</v>
      </c>
      <c r="N201" s="137"/>
    </row>
    <row r="202" spans="1:14">
      <c r="A202" s="114">
        <f t="shared" si="3"/>
        <v>196</v>
      </c>
      <c r="N202" s="137"/>
    </row>
    <row r="203" spans="1:14">
      <c r="A203" s="114">
        <f t="shared" si="3"/>
        <v>197</v>
      </c>
      <c r="N203" s="137"/>
    </row>
    <row r="204" spans="1:14">
      <c r="A204" s="114">
        <f t="shared" si="3"/>
        <v>198</v>
      </c>
      <c r="N204" s="137"/>
    </row>
    <row r="205" spans="1:14">
      <c r="A205" s="114">
        <f t="shared" si="3"/>
        <v>199</v>
      </c>
      <c r="N205" s="137"/>
    </row>
    <row r="206" spans="1:14">
      <c r="A206" s="114">
        <f t="shared" si="3"/>
        <v>200</v>
      </c>
      <c r="N206" s="137"/>
    </row>
    <row r="207" spans="1:14">
      <c r="A207" s="114">
        <f t="shared" si="3"/>
        <v>201</v>
      </c>
      <c r="N207" s="137"/>
    </row>
    <row r="208" spans="1:14">
      <c r="A208" s="114">
        <f t="shared" si="3"/>
        <v>202</v>
      </c>
      <c r="N208" s="137"/>
    </row>
    <row r="209" spans="1:14">
      <c r="A209" s="114">
        <f t="shared" si="3"/>
        <v>203</v>
      </c>
      <c r="N209" s="137"/>
    </row>
    <row r="210" spans="1:14">
      <c r="A210" s="114">
        <f t="shared" si="3"/>
        <v>204</v>
      </c>
      <c r="N210" s="137"/>
    </row>
    <row r="211" spans="1:14">
      <c r="A211" s="114">
        <f t="shared" si="3"/>
        <v>205</v>
      </c>
      <c r="N211" s="137"/>
    </row>
    <row r="212" spans="1:14">
      <c r="A212" s="114">
        <f t="shared" si="3"/>
        <v>206</v>
      </c>
      <c r="N212" s="137"/>
    </row>
    <row r="213" spans="1:14">
      <c r="A213" s="114">
        <f t="shared" si="3"/>
        <v>207</v>
      </c>
      <c r="N213" s="137"/>
    </row>
    <row r="214" spans="1:14">
      <c r="A214" s="114">
        <f t="shared" si="3"/>
        <v>208</v>
      </c>
      <c r="N214" s="137"/>
    </row>
    <row r="215" spans="1:14">
      <c r="A215" s="114">
        <f t="shared" si="3"/>
        <v>209</v>
      </c>
      <c r="N215" s="137"/>
    </row>
    <row r="216" spans="1:14">
      <c r="A216" s="114">
        <f t="shared" si="3"/>
        <v>210</v>
      </c>
      <c r="N216" s="137"/>
    </row>
    <row r="217" spans="1:14">
      <c r="A217" s="114">
        <f t="shared" si="3"/>
        <v>211</v>
      </c>
      <c r="N217" s="137"/>
    </row>
    <row r="218" spans="1:14">
      <c r="A218" s="114">
        <f t="shared" si="3"/>
        <v>212</v>
      </c>
      <c r="N218" s="137"/>
    </row>
    <row r="219" spans="1:14">
      <c r="A219" s="114">
        <f t="shared" si="3"/>
        <v>213</v>
      </c>
      <c r="N219" s="137"/>
    </row>
    <row r="220" spans="1:14">
      <c r="A220" s="114">
        <f t="shared" si="3"/>
        <v>214</v>
      </c>
      <c r="N220" s="137"/>
    </row>
    <row r="221" spans="1:14">
      <c r="A221" s="114">
        <f t="shared" si="3"/>
        <v>215</v>
      </c>
      <c r="N221" s="137"/>
    </row>
    <row r="222" spans="1:14">
      <c r="A222" s="114">
        <f t="shared" si="3"/>
        <v>216</v>
      </c>
      <c r="N222" s="137"/>
    </row>
    <row r="223" spans="1:14">
      <c r="A223" s="114">
        <f t="shared" si="3"/>
        <v>217</v>
      </c>
      <c r="N223" s="137"/>
    </row>
    <row r="224" spans="1:14">
      <c r="A224" s="114">
        <f t="shared" si="3"/>
        <v>218</v>
      </c>
      <c r="N224" s="137"/>
    </row>
    <row r="225" spans="1:14">
      <c r="A225" s="114">
        <f t="shared" si="3"/>
        <v>219</v>
      </c>
      <c r="N225" s="137"/>
    </row>
    <row r="226" spans="1:14">
      <c r="A226" s="114">
        <f t="shared" si="3"/>
        <v>220</v>
      </c>
      <c r="N226" s="137"/>
    </row>
    <row r="227" spans="1:14">
      <c r="A227" s="114">
        <f t="shared" si="3"/>
        <v>221</v>
      </c>
      <c r="N227" s="137"/>
    </row>
    <row r="228" spans="1:14">
      <c r="A228" s="114">
        <f t="shared" si="3"/>
        <v>222</v>
      </c>
      <c r="N228" s="137"/>
    </row>
    <row r="229" spans="1:14">
      <c r="A229" s="114">
        <f t="shared" si="3"/>
        <v>223</v>
      </c>
      <c r="N229" s="137"/>
    </row>
    <row r="230" spans="1:14">
      <c r="A230" s="114">
        <f t="shared" si="3"/>
        <v>224</v>
      </c>
      <c r="N230" s="137"/>
    </row>
    <row r="231" spans="1:14">
      <c r="A231" s="114">
        <f t="shared" si="3"/>
        <v>225</v>
      </c>
      <c r="N231" s="137"/>
    </row>
    <row r="232" spans="1:14">
      <c r="A232" s="114">
        <f t="shared" si="3"/>
        <v>226</v>
      </c>
      <c r="N232" s="137"/>
    </row>
    <row r="233" spans="1:14">
      <c r="A233" s="114">
        <f t="shared" si="3"/>
        <v>227</v>
      </c>
      <c r="N233" s="137"/>
    </row>
    <row r="234" spans="1:14">
      <c r="A234" s="114">
        <f t="shared" si="3"/>
        <v>228</v>
      </c>
      <c r="N234" s="137"/>
    </row>
    <row r="235" spans="1:14">
      <c r="A235" s="114">
        <f t="shared" si="3"/>
        <v>229</v>
      </c>
      <c r="N235" s="137"/>
    </row>
    <row r="236" spans="1:14">
      <c r="A236" s="114">
        <f t="shared" si="3"/>
        <v>230</v>
      </c>
      <c r="N236" s="137"/>
    </row>
    <row r="237" spans="1:14">
      <c r="A237" s="114">
        <f t="shared" si="3"/>
        <v>231</v>
      </c>
      <c r="N237" s="137"/>
    </row>
    <row r="238" spans="1:14">
      <c r="A238" s="114">
        <f t="shared" si="3"/>
        <v>232</v>
      </c>
      <c r="N238" s="137"/>
    </row>
    <row r="239" spans="1:14">
      <c r="A239" s="114">
        <f t="shared" si="3"/>
        <v>233</v>
      </c>
      <c r="N239" s="137"/>
    </row>
    <row r="240" spans="1:14">
      <c r="A240" s="114">
        <f t="shared" si="3"/>
        <v>234</v>
      </c>
      <c r="N240" s="137"/>
    </row>
    <row r="241" spans="1:14">
      <c r="A241" s="114">
        <f t="shared" si="3"/>
        <v>235</v>
      </c>
      <c r="N241" s="137"/>
    </row>
    <row r="242" spans="1:14">
      <c r="A242" s="114">
        <f t="shared" si="3"/>
        <v>236</v>
      </c>
      <c r="N242" s="137"/>
    </row>
    <row r="243" spans="1:14">
      <c r="A243" s="114">
        <f t="shared" si="3"/>
        <v>237</v>
      </c>
      <c r="N243" s="137"/>
    </row>
    <row r="244" spans="1:14">
      <c r="A244" s="114">
        <f t="shared" si="3"/>
        <v>238</v>
      </c>
      <c r="N244" s="137"/>
    </row>
    <row r="245" spans="1:14">
      <c r="A245" s="114">
        <f t="shared" si="3"/>
        <v>239</v>
      </c>
      <c r="N245" s="137"/>
    </row>
    <row r="246" spans="1:14">
      <c r="A246" s="114">
        <f t="shared" si="3"/>
        <v>240</v>
      </c>
      <c r="N246" s="137"/>
    </row>
    <row r="247" spans="1:14">
      <c r="A247" s="114">
        <f t="shared" si="3"/>
        <v>241</v>
      </c>
      <c r="N247" s="137"/>
    </row>
    <row r="248" spans="1:14">
      <c r="A248" s="114">
        <f t="shared" si="3"/>
        <v>242</v>
      </c>
      <c r="N248" s="137"/>
    </row>
    <row r="249" spans="1:14">
      <c r="A249" s="114">
        <f t="shared" si="3"/>
        <v>243</v>
      </c>
      <c r="N249" s="137"/>
    </row>
    <row r="250" spans="1:14">
      <c r="A250" s="114">
        <f t="shared" si="3"/>
        <v>244</v>
      </c>
      <c r="N250" s="137"/>
    </row>
    <row r="251" spans="1:14">
      <c r="A251" s="114">
        <f t="shared" si="3"/>
        <v>245</v>
      </c>
      <c r="N251" s="137"/>
    </row>
    <row r="252" spans="1:14">
      <c r="A252" s="114">
        <f t="shared" si="3"/>
        <v>246</v>
      </c>
      <c r="N252" s="137"/>
    </row>
    <row r="253" spans="1:14">
      <c r="A253" s="114">
        <f t="shared" si="3"/>
        <v>247</v>
      </c>
      <c r="N253" s="137"/>
    </row>
    <row r="254" spans="1:14">
      <c r="A254" s="114">
        <f t="shared" si="3"/>
        <v>248</v>
      </c>
      <c r="N254" s="137"/>
    </row>
    <row r="255" spans="1:14">
      <c r="A255" s="114">
        <f t="shared" si="3"/>
        <v>249</v>
      </c>
      <c r="N255" s="137"/>
    </row>
    <row r="256" spans="1:14">
      <c r="A256" s="114">
        <f t="shared" si="3"/>
        <v>250</v>
      </c>
      <c r="N256" s="137"/>
    </row>
    <row r="257" spans="1:14">
      <c r="A257" s="114">
        <f t="shared" si="3"/>
        <v>251</v>
      </c>
      <c r="N257" s="137"/>
    </row>
    <row r="258" spans="1:14">
      <c r="A258" s="114">
        <f t="shared" si="3"/>
        <v>252</v>
      </c>
      <c r="N258" s="137"/>
    </row>
    <row r="259" spans="1:14">
      <c r="A259" s="114">
        <f t="shared" si="3"/>
        <v>253</v>
      </c>
      <c r="N259" s="137"/>
    </row>
    <row r="260" spans="1:14">
      <c r="A260" s="114">
        <f t="shared" si="3"/>
        <v>254</v>
      </c>
      <c r="N260" s="137"/>
    </row>
    <row r="261" spans="1:14">
      <c r="A261" s="114">
        <f t="shared" si="3"/>
        <v>255</v>
      </c>
      <c r="N261" s="137"/>
    </row>
    <row r="262" spans="1:14">
      <c r="A262" s="114">
        <f t="shared" si="3"/>
        <v>256</v>
      </c>
      <c r="N262" s="137"/>
    </row>
    <row r="263" spans="1:14">
      <c r="A263" s="114">
        <f t="shared" ref="A263:A278" si="4">ROW()-6</f>
        <v>257</v>
      </c>
      <c r="N263" s="137"/>
    </row>
    <row r="264" spans="1:14">
      <c r="A264" s="114">
        <f t="shared" si="4"/>
        <v>258</v>
      </c>
      <c r="N264" s="137"/>
    </row>
    <row r="265" spans="1:14">
      <c r="A265" s="114">
        <f t="shared" si="4"/>
        <v>259</v>
      </c>
      <c r="N265" s="137"/>
    </row>
    <row r="266" spans="1:14">
      <c r="A266" s="114">
        <f t="shared" si="4"/>
        <v>260</v>
      </c>
      <c r="N266" s="137"/>
    </row>
    <row r="267" spans="1:14">
      <c r="A267" s="114">
        <f t="shared" si="4"/>
        <v>261</v>
      </c>
      <c r="N267" s="137"/>
    </row>
    <row r="268" spans="1:14">
      <c r="A268" s="114">
        <f t="shared" si="4"/>
        <v>262</v>
      </c>
      <c r="N268" s="137"/>
    </row>
    <row r="269" spans="1:14">
      <c r="A269" s="114">
        <f t="shared" si="4"/>
        <v>263</v>
      </c>
      <c r="N269" s="137"/>
    </row>
    <row r="270" spans="1:14">
      <c r="A270" s="114">
        <f t="shared" si="4"/>
        <v>264</v>
      </c>
      <c r="N270" s="137"/>
    </row>
    <row r="271" spans="1:14">
      <c r="A271" s="114">
        <f t="shared" si="4"/>
        <v>265</v>
      </c>
      <c r="N271" s="137"/>
    </row>
    <row r="272" spans="1:14">
      <c r="A272" s="114">
        <f t="shared" si="4"/>
        <v>266</v>
      </c>
      <c r="N272" s="137"/>
    </row>
    <row r="273" spans="1:14">
      <c r="A273" s="114">
        <f t="shared" si="4"/>
        <v>267</v>
      </c>
      <c r="N273" s="137"/>
    </row>
    <row r="274" spans="1:14">
      <c r="A274" s="114">
        <f t="shared" si="4"/>
        <v>268</v>
      </c>
      <c r="N274" s="137"/>
    </row>
    <row r="275" spans="1:14">
      <c r="A275" s="114">
        <f t="shared" si="4"/>
        <v>269</v>
      </c>
      <c r="N275" s="137"/>
    </row>
    <row r="276" spans="1:14">
      <c r="A276" s="114">
        <f t="shared" si="4"/>
        <v>270</v>
      </c>
      <c r="N276" s="137"/>
    </row>
    <row r="277" spans="1:14">
      <c r="A277" s="114">
        <f t="shared" si="4"/>
        <v>271</v>
      </c>
      <c r="N277" s="137"/>
    </row>
    <row r="278" spans="1:14">
      <c r="A278" s="114">
        <f t="shared" si="4"/>
        <v>272</v>
      </c>
      <c r="N278" s="137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61EC3-0B8A-427A-B4D7-0E945BFB8EA9}">
  <sheetPr>
    <tabColor rgb="FF00B050"/>
  </sheetPr>
  <dimension ref="A1:S420"/>
  <sheetViews>
    <sheetView workbookViewId="0">
      <selection activeCell="P6" sqref="P6"/>
    </sheetView>
  </sheetViews>
  <sheetFormatPr defaultColWidth="8.85546875" defaultRowHeight="12.75"/>
  <cols>
    <col min="1" max="1" width="16.7109375" customWidth="1"/>
    <col min="2" max="2" width="13.140625" customWidth="1"/>
    <col min="3" max="3" width="10.140625" customWidth="1"/>
    <col min="4" max="4" width="15.7109375" customWidth="1"/>
    <col min="5" max="5" width="20.85546875" customWidth="1"/>
    <col min="6" max="6" width="10.85546875" customWidth="1"/>
    <col min="7" max="7" width="9.140625" customWidth="1"/>
    <col min="11" max="11" width="11.42578125" customWidth="1"/>
    <col min="12" max="12" width="10" customWidth="1"/>
    <col min="14" max="14" width="12.42578125" customWidth="1"/>
    <col min="15" max="15" width="14.28515625" customWidth="1"/>
    <col min="16" max="16" width="19" customWidth="1"/>
    <col min="19" max="19" width="0" hidden="1" customWidth="1"/>
  </cols>
  <sheetData>
    <row r="1" spans="1:19" ht="16.5">
      <c r="A1" s="180" t="s">
        <v>878</v>
      </c>
      <c r="B1" s="161" t="s">
        <v>144</v>
      </c>
      <c r="C1" s="161" t="s">
        <v>825</v>
      </c>
      <c r="D1" s="161" t="s">
        <v>146</v>
      </c>
      <c r="E1" s="161" t="s">
        <v>147</v>
      </c>
      <c r="F1" s="161" t="s">
        <v>148</v>
      </c>
      <c r="G1" s="161" t="s">
        <v>149</v>
      </c>
      <c r="H1" s="161" t="s">
        <v>150</v>
      </c>
      <c r="I1" s="161" t="s">
        <v>151</v>
      </c>
      <c r="J1" s="161" t="s">
        <v>152</v>
      </c>
      <c r="K1" s="164" t="s">
        <v>153</v>
      </c>
      <c r="L1" s="161" t="s">
        <v>154</v>
      </c>
      <c r="M1" s="161" t="s">
        <v>155</v>
      </c>
      <c r="N1" s="161" t="s">
        <v>156</v>
      </c>
      <c r="O1" s="161" t="s">
        <v>879</v>
      </c>
      <c r="P1" t="s">
        <v>158</v>
      </c>
    </row>
    <row r="2" spans="1:19" ht="16.5">
      <c r="A2" s="181" t="s">
        <v>362</v>
      </c>
      <c r="B2" s="177">
        <v>189921</v>
      </c>
      <c r="C2" s="177">
        <v>164907</v>
      </c>
      <c r="D2" s="176" t="s">
        <v>159</v>
      </c>
      <c r="E2" s="176" t="s">
        <v>160</v>
      </c>
      <c r="F2" s="176" t="s">
        <v>161</v>
      </c>
      <c r="G2" s="176" t="s">
        <v>162</v>
      </c>
      <c r="H2" s="177" t="s">
        <v>163</v>
      </c>
      <c r="I2" s="177" t="s">
        <v>164</v>
      </c>
      <c r="J2" s="176" t="s">
        <v>165</v>
      </c>
      <c r="K2" s="182">
        <v>46048</v>
      </c>
      <c r="L2" s="176" t="s">
        <v>11</v>
      </c>
      <c r="M2" s="177">
        <v>50</v>
      </c>
      <c r="N2" s="176" t="s">
        <v>166</v>
      </c>
      <c r="O2" s="177">
        <v>189921</v>
      </c>
      <c r="P2" t="str">
        <f>VLOOKUP(VALUE(C2),Class20251!D:G,4,0)</f>
        <v>Nguyễn Văn Sơn</v>
      </c>
      <c r="S2" t="str" cm="1">
        <f t="array" ref="S2:S76">_xlfn.UNIQUE(D:D)</f>
        <v>Mã học phần</v>
      </c>
    </row>
    <row r="3" spans="1:19" ht="16.5">
      <c r="A3" s="181" t="s">
        <v>362</v>
      </c>
      <c r="B3" s="177">
        <v>189924</v>
      </c>
      <c r="C3" s="177">
        <v>165278</v>
      </c>
      <c r="D3" s="176" t="s">
        <v>159</v>
      </c>
      <c r="E3" s="176" t="s">
        <v>160</v>
      </c>
      <c r="F3" s="176" t="s">
        <v>167</v>
      </c>
      <c r="G3" s="176" t="s">
        <v>168</v>
      </c>
      <c r="H3" s="177" t="s">
        <v>163</v>
      </c>
      <c r="I3" s="177" t="s">
        <v>164</v>
      </c>
      <c r="J3" s="176" t="s">
        <v>165</v>
      </c>
      <c r="K3" s="182">
        <v>46048</v>
      </c>
      <c r="L3" s="176" t="s">
        <v>11</v>
      </c>
      <c r="M3" s="177">
        <v>40</v>
      </c>
      <c r="N3" s="176" t="s">
        <v>166</v>
      </c>
      <c r="O3" s="177">
        <v>189924</v>
      </c>
      <c r="P3" t="str">
        <f>VLOOKUP(VALUE(C3),Class20251!D:G,4,0)</f>
        <v>Nguyễn Duy Hiệp</v>
      </c>
      <c r="S3" t="str">
        <v>IT1108</v>
      </c>
    </row>
    <row r="4" spans="1:19" ht="16.5">
      <c r="A4" s="181" t="s">
        <v>362</v>
      </c>
      <c r="B4" s="177">
        <v>189922</v>
      </c>
      <c r="C4" s="177">
        <v>165278</v>
      </c>
      <c r="D4" s="176" t="s">
        <v>159</v>
      </c>
      <c r="E4" s="176" t="s">
        <v>160</v>
      </c>
      <c r="F4" s="176" t="s">
        <v>167</v>
      </c>
      <c r="G4" s="176" t="s">
        <v>169</v>
      </c>
      <c r="H4" s="177" t="s">
        <v>163</v>
      </c>
      <c r="I4" s="177" t="s">
        <v>164</v>
      </c>
      <c r="J4" s="176" t="s">
        <v>165</v>
      </c>
      <c r="K4" s="182">
        <v>46048</v>
      </c>
      <c r="L4" s="176" t="s">
        <v>12</v>
      </c>
      <c r="M4" s="177">
        <v>20</v>
      </c>
      <c r="N4" s="176" t="s">
        <v>166</v>
      </c>
      <c r="O4" s="177">
        <v>189922</v>
      </c>
      <c r="P4" t="str">
        <f>VLOOKUP(VALUE(C4),Class20251!D:G,4,0)</f>
        <v>Nguyễn Duy Hiệp</v>
      </c>
      <c r="S4" t="str">
        <v>IT1110E</v>
      </c>
    </row>
    <row r="5" spans="1:19" ht="16.5">
      <c r="A5" s="181" t="s">
        <v>362</v>
      </c>
      <c r="B5" s="177">
        <v>189926</v>
      </c>
      <c r="C5" s="177">
        <v>165278</v>
      </c>
      <c r="D5" s="176" t="s">
        <v>159</v>
      </c>
      <c r="E5" s="176" t="s">
        <v>160</v>
      </c>
      <c r="F5" s="176" t="s">
        <v>167</v>
      </c>
      <c r="G5" s="176" t="s">
        <v>170</v>
      </c>
      <c r="H5" s="177" t="s">
        <v>163</v>
      </c>
      <c r="I5" s="177" t="s">
        <v>164</v>
      </c>
      <c r="J5" s="176" t="s">
        <v>165</v>
      </c>
      <c r="K5" s="182">
        <v>46048</v>
      </c>
      <c r="L5" s="176" t="s">
        <v>11</v>
      </c>
      <c r="M5" s="177">
        <v>42</v>
      </c>
      <c r="N5" s="176" t="s">
        <v>166</v>
      </c>
      <c r="O5" s="177">
        <v>189926</v>
      </c>
      <c r="P5" t="str">
        <f>VLOOKUP(VALUE(C5),Class20251!D:G,4,0)</f>
        <v>Nguyễn Duy Hiệp</v>
      </c>
      <c r="S5" t="str">
        <v>IT1110Q</v>
      </c>
    </row>
    <row r="6" spans="1:19" ht="16.5">
      <c r="A6" s="181" t="s">
        <v>362</v>
      </c>
      <c r="B6" s="177">
        <v>189923</v>
      </c>
      <c r="C6" s="177">
        <v>165278</v>
      </c>
      <c r="D6" s="176" t="s">
        <v>159</v>
      </c>
      <c r="E6" s="176" t="s">
        <v>160</v>
      </c>
      <c r="F6" s="176" t="s">
        <v>167</v>
      </c>
      <c r="G6" s="176" t="s">
        <v>171</v>
      </c>
      <c r="H6" s="177" t="s">
        <v>163</v>
      </c>
      <c r="I6" s="177" t="s">
        <v>164</v>
      </c>
      <c r="J6" s="176" t="s">
        <v>165</v>
      </c>
      <c r="K6" s="182">
        <v>46048</v>
      </c>
      <c r="L6" s="176" t="s">
        <v>11</v>
      </c>
      <c r="M6" s="177">
        <v>42</v>
      </c>
      <c r="N6" s="176" t="s">
        <v>166</v>
      </c>
      <c r="O6" s="177">
        <v>189923</v>
      </c>
      <c r="P6" t="str">
        <f>VLOOKUP(VALUE(C6),Class20251!D:G,4,0)</f>
        <v>Nguyễn Duy Hiệp</v>
      </c>
      <c r="S6" t="str">
        <v>IT1130</v>
      </c>
    </row>
    <row r="7" spans="1:19" ht="16.5">
      <c r="A7" s="181" t="s">
        <v>362</v>
      </c>
      <c r="B7" s="177">
        <v>189925</v>
      </c>
      <c r="C7" s="177">
        <v>165278</v>
      </c>
      <c r="D7" s="176" t="s">
        <v>159</v>
      </c>
      <c r="E7" s="176" t="s">
        <v>160</v>
      </c>
      <c r="F7" s="176" t="s">
        <v>167</v>
      </c>
      <c r="G7" s="176" t="s">
        <v>172</v>
      </c>
      <c r="H7" s="177" t="s">
        <v>163</v>
      </c>
      <c r="I7" s="177" t="s">
        <v>164</v>
      </c>
      <c r="J7" s="176" t="s">
        <v>165</v>
      </c>
      <c r="K7" s="182">
        <v>46048</v>
      </c>
      <c r="L7" s="176" t="s">
        <v>11</v>
      </c>
      <c r="M7" s="177">
        <v>40</v>
      </c>
      <c r="N7" s="176" t="s">
        <v>166</v>
      </c>
      <c r="O7" s="177">
        <v>189925</v>
      </c>
      <c r="P7" t="str">
        <f>VLOOKUP(VALUE(C7),Class20251!D:G,4,0)</f>
        <v>Nguyễn Duy Hiệp</v>
      </c>
      <c r="S7" t="str">
        <v>IT1140</v>
      </c>
    </row>
    <row r="8" spans="1:19" ht="16.5">
      <c r="A8" s="181" t="s">
        <v>362</v>
      </c>
      <c r="B8" s="177">
        <v>189929</v>
      </c>
      <c r="C8" s="177">
        <v>165286</v>
      </c>
      <c r="D8" s="176" t="s">
        <v>159</v>
      </c>
      <c r="E8" s="176" t="s">
        <v>160</v>
      </c>
      <c r="F8" s="176" t="s">
        <v>173</v>
      </c>
      <c r="G8" s="176" t="s">
        <v>174</v>
      </c>
      <c r="H8" s="177" t="s">
        <v>163</v>
      </c>
      <c r="I8" s="177" t="s">
        <v>164</v>
      </c>
      <c r="J8" s="176" t="s">
        <v>165</v>
      </c>
      <c r="K8" s="182">
        <v>46048</v>
      </c>
      <c r="L8" s="176" t="s">
        <v>11</v>
      </c>
      <c r="M8" s="177">
        <v>40</v>
      </c>
      <c r="N8" s="176" t="s">
        <v>166</v>
      </c>
      <c r="O8" s="177">
        <v>189929</v>
      </c>
      <c r="P8" t="str">
        <f>VLOOKUP(VALUE(C8),Class20251!D:G,4,0)</f>
        <v>Đoàn Phong Tùng</v>
      </c>
      <c r="S8" t="str">
        <v>IT2000</v>
      </c>
    </row>
    <row r="9" spans="1:19" ht="16.5">
      <c r="A9" s="181" t="s">
        <v>362</v>
      </c>
      <c r="B9" s="177">
        <v>189928</v>
      </c>
      <c r="C9" s="177">
        <v>165286</v>
      </c>
      <c r="D9" s="176" t="s">
        <v>159</v>
      </c>
      <c r="E9" s="176" t="s">
        <v>160</v>
      </c>
      <c r="F9" s="176" t="s">
        <v>173</v>
      </c>
      <c r="G9" s="176" t="s">
        <v>169</v>
      </c>
      <c r="H9" s="177" t="s">
        <v>163</v>
      </c>
      <c r="I9" s="177" t="s">
        <v>164</v>
      </c>
      <c r="J9" s="176" t="s">
        <v>165</v>
      </c>
      <c r="K9" s="182">
        <v>46048</v>
      </c>
      <c r="L9" s="176" t="s">
        <v>12</v>
      </c>
      <c r="M9" s="177">
        <v>12</v>
      </c>
      <c r="N9" s="176" t="s">
        <v>166</v>
      </c>
      <c r="O9" s="177">
        <v>189928</v>
      </c>
      <c r="P9" t="str">
        <f>VLOOKUP(VALUE(C9),Class20251!D:G,4,0)</f>
        <v>Đoàn Phong Tùng</v>
      </c>
      <c r="S9" t="str">
        <v>IT3011</v>
      </c>
    </row>
    <row r="10" spans="1:19" ht="16.5">
      <c r="A10" s="181" t="s">
        <v>362</v>
      </c>
      <c r="B10" s="177">
        <v>189927</v>
      </c>
      <c r="C10" s="177">
        <v>165286</v>
      </c>
      <c r="D10" s="176" t="s">
        <v>159</v>
      </c>
      <c r="E10" s="176" t="s">
        <v>160</v>
      </c>
      <c r="F10" s="176" t="s">
        <v>173</v>
      </c>
      <c r="G10" s="176" t="s">
        <v>175</v>
      </c>
      <c r="H10" s="177" t="s">
        <v>163</v>
      </c>
      <c r="I10" s="177" t="s">
        <v>164</v>
      </c>
      <c r="J10" s="176" t="s">
        <v>165</v>
      </c>
      <c r="K10" s="182">
        <v>46048</v>
      </c>
      <c r="L10" s="176" t="s">
        <v>11</v>
      </c>
      <c r="M10" s="177">
        <v>41</v>
      </c>
      <c r="N10" s="176" t="s">
        <v>166</v>
      </c>
      <c r="O10" s="177">
        <v>189927</v>
      </c>
      <c r="P10" t="str">
        <f>VLOOKUP(VALUE(C10),Class20251!D:G,4,0)</f>
        <v>Đoàn Phong Tùng</v>
      </c>
      <c r="S10" t="str">
        <v>IT3011E</v>
      </c>
    </row>
    <row r="11" spans="1:19" ht="16.5">
      <c r="A11" s="181" t="s">
        <v>362</v>
      </c>
      <c r="B11" s="177">
        <v>189931</v>
      </c>
      <c r="C11" s="177">
        <v>165286</v>
      </c>
      <c r="D11" s="176" t="s">
        <v>159</v>
      </c>
      <c r="E11" s="176" t="s">
        <v>160</v>
      </c>
      <c r="F11" s="176" t="s">
        <v>173</v>
      </c>
      <c r="G11" s="176" t="s">
        <v>176</v>
      </c>
      <c r="H11" s="177" t="s">
        <v>163</v>
      </c>
      <c r="I11" s="177" t="s">
        <v>164</v>
      </c>
      <c r="J11" s="176" t="s">
        <v>165</v>
      </c>
      <c r="K11" s="182">
        <v>46048</v>
      </c>
      <c r="L11" s="176" t="s">
        <v>11</v>
      </c>
      <c r="M11" s="177">
        <v>44</v>
      </c>
      <c r="N11" s="176" t="s">
        <v>166</v>
      </c>
      <c r="O11" s="177">
        <v>189931</v>
      </c>
      <c r="P11" t="str">
        <f>VLOOKUP(VALUE(C11),Class20251!D:G,4,0)</f>
        <v>Đoàn Phong Tùng</v>
      </c>
      <c r="S11" t="str">
        <v>IT3011Q</v>
      </c>
    </row>
    <row r="12" spans="1:19" ht="16.5">
      <c r="A12" s="181" t="s">
        <v>362</v>
      </c>
      <c r="B12" s="177">
        <v>189930</v>
      </c>
      <c r="C12" s="177">
        <v>165286</v>
      </c>
      <c r="D12" s="176" t="s">
        <v>159</v>
      </c>
      <c r="E12" s="176" t="s">
        <v>160</v>
      </c>
      <c r="F12" s="176" t="s">
        <v>173</v>
      </c>
      <c r="G12" s="176" t="s">
        <v>177</v>
      </c>
      <c r="H12" s="177" t="s">
        <v>163</v>
      </c>
      <c r="I12" s="177" t="s">
        <v>164</v>
      </c>
      <c r="J12" s="176" t="s">
        <v>165</v>
      </c>
      <c r="K12" s="182">
        <v>46048</v>
      </c>
      <c r="L12" s="176" t="s">
        <v>11</v>
      </c>
      <c r="M12" s="177">
        <v>41</v>
      </c>
      <c r="N12" s="176" t="s">
        <v>166</v>
      </c>
      <c r="O12" s="177">
        <v>189930</v>
      </c>
      <c r="P12" t="str">
        <f>VLOOKUP(VALUE(C12),Class20251!D:G,4,0)</f>
        <v>Đoàn Phong Tùng</v>
      </c>
      <c r="S12" t="str">
        <v>IT3030</v>
      </c>
    </row>
    <row r="13" spans="1:19" ht="16.5">
      <c r="A13" s="181" t="s">
        <v>362</v>
      </c>
      <c r="B13" s="177">
        <v>189935</v>
      </c>
      <c r="C13" s="177">
        <v>165293</v>
      </c>
      <c r="D13" s="176" t="s">
        <v>159</v>
      </c>
      <c r="E13" s="176" t="s">
        <v>160</v>
      </c>
      <c r="F13" s="176" t="s">
        <v>178</v>
      </c>
      <c r="G13" s="176" t="s">
        <v>179</v>
      </c>
      <c r="H13" s="177" t="s">
        <v>163</v>
      </c>
      <c r="I13" s="177" t="s">
        <v>164</v>
      </c>
      <c r="J13" s="176" t="s">
        <v>165</v>
      </c>
      <c r="K13" s="182">
        <v>46048</v>
      </c>
      <c r="L13" s="176" t="s">
        <v>12</v>
      </c>
      <c r="M13" s="177">
        <v>44</v>
      </c>
      <c r="N13" s="176" t="s">
        <v>166</v>
      </c>
      <c r="O13" s="177">
        <v>189935</v>
      </c>
      <c r="P13" t="str">
        <f>VLOOKUP(VALUE(C13),Class20251!D:G,4,0)</f>
        <v>Ngô Thành Trung</v>
      </c>
      <c r="S13" t="str">
        <v>IT3030E</v>
      </c>
    </row>
    <row r="14" spans="1:19" ht="16.5">
      <c r="A14" s="181" t="s">
        <v>362</v>
      </c>
      <c r="B14" s="177">
        <v>189934</v>
      </c>
      <c r="C14" s="177">
        <v>165293</v>
      </c>
      <c r="D14" s="176" t="s">
        <v>159</v>
      </c>
      <c r="E14" s="176" t="s">
        <v>160</v>
      </c>
      <c r="F14" s="176" t="s">
        <v>178</v>
      </c>
      <c r="G14" s="176" t="s">
        <v>180</v>
      </c>
      <c r="H14" s="177" t="s">
        <v>163</v>
      </c>
      <c r="I14" s="177" t="s">
        <v>164</v>
      </c>
      <c r="J14" s="176" t="s">
        <v>165</v>
      </c>
      <c r="K14" s="182">
        <v>46048</v>
      </c>
      <c r="L14" s="176" t="s">
        <v>12</v>
      </c>
      <c r="M14" s="177">
        <v>47</v>
      </c>
      <c r="N14" s="176" t="s">
        <v>166</v>
      </c>
      <c r="O14" s="177">
        <v>189934</v>
      </c>
      <c r="P14" t="str">
        <f>VLOOKUP(VALUE(C14),Class20251!D:G,4,0)</f>
        <v>Ngô Thành Trung</v>
      </c>
      <c r="S14" t="str">
        <v>IT3034</v>
      </c>
    </row>
    <row r="15" spans="1:19" ht="16.5">
      <c r="A15" s="181" t="s">
        <v>362</v>
      </c>
      <c r="B15" s="177">
        <v>189933</v>
      </c>
      <c r="C15" s="177">
        <v>165293</v>
      </c>
      <c r="D15" s="176" t="s">
        <v>159</v>
      </c>
      <c r="E15" s="176" t="s">
        <v>160</v>
      </c>
      <c r="F15" s="176" t="s">
        <v>178</v>
      </c>
      <c r="G15" s="176" t="s">
        <v>169</v>
      </c>
      <c r="H15" s="177" t="s">
        <v>163</v>
      </c>
      <c r="I15" s="177" t="s">
        <v>164</v>
      </c>
      <c r="J15" s="176" t="s">
        <v>165</v>
      </c>
      <c r="K15" s="182">
        <v>46048</v>
      </c>
      <c r="L15" s="176" t="s">
        <v>12</v>
      </c>
      <c r="M15" s="177">
        <v>7</v>
      </c>
      <c r="N15" s="176" t="s">
        <v>166</v>
      </c>
      <c r="O15" s="177">
        <v>189933</v>
      </c>
      <c r="P15" t="str">
        <f>VLOOKUP(VALUE(C15),Class20251!D:G,4,0)</f>
        <v>Ngô Thành Trung</v>
      </c>
      <c r="S15" t="str">
        <v>IT3070</v>
      </c>
    </row>
    <row r="16" spans="1:19" ht="16.5">
      <c r="A16" s="181" t="s">
        <v>362</v>
      </c>
      <c r="B16" s="177">
        <v>189936</v>
      </c>
      <c r="C16" s="177">
        <v>165293</v>
      </c>
      <c r="D16" s="176" t="s">
        <v>159</v>
      </c>
      <c r="E16" s="176" t="s">
        <v>160</v>
      </c>
      <c r="F16" s="176" t="s">
        <v>178</v>
      </c>
      <c r="G16" s="176" t="s">
        <v>181</v>
      </c>
      <c r="H16" s="177" t="s">
        <v>163</v>
      </c>
      <c r="I16" s="177" t="s">
        <v>164</v>
      </c>
      <c r="J16" s="176" t="s">
        <v>165</v>
      </c>
      <c r="K16" s="182">
        <v>46048</v>
      </c>
      <c r="L16" s="176" t="s">
        <v>12</v>
      </c>
      <c r="M16" s="177">
        <v>44</v>
      </c>
      <c r="N16" s="176" t="s">
        <v>166</v>
      </c>
      <c r="O16" s="177">
        <v>189936</v>
      </c>
      <c r="P16" t="str">
        <f>VLOOKUP(VALUE(C16),Class20251!D:G,4,0)</f>
        <v>Ngô Thành Trung</v>
      </c>
      <c r="S16" t="str">
        <v>IT3080E</v>
      </c>
    </row>
    <row r="17" spans="1:19" ht="16.5">
      <c r="A17" s="181" t="s">
        <v>362</v>
      </c>
      <c r="B17" s="177">
        <v>189932</v>
      </c>
      <c r="C17" s="177">
        <v>165293</v>
      </c>
      <c r="D17" s="176" t="s">
        <v>159</v>
      </c>
      <c r="E17" s="176" t="s">
        <v>160</v>
      </c>
      <c r="F17" s="176" t="s">
        <v>178</v>
      </c>
      <c r="G17" s="176" t="s">
        <v>182</v>
      </c>
      <c r="H17" s="177" t="s">
        <v>163</v>
      </c>
      <c r="I17" s="177" t="s">
        <v>164</v>
      </c>
      <c r="J17" s="176" t="s">
        <v>165</v>
      </c>
      <c r="K17" s="182">
        <v>46048</v>
      </c>
      <c r="L17" s="176" t="s">
        <v>12</v>
      </c>
      <c r="M17" s="177">
        <v>44</v>
      </c>
      <c r="N17" s="176" t="s">
        <v>166</v>
      </c>
      <c r="O17" s="177">
        <v>189932</v>
      </c>
      <c r="P17" t="str">
        <f>VLOOKUP(VALUE(C17),Class20251!D:G,4,0)</f>
        <v>Ngô Thành Trung</v>
      </c>
      <c r="S17" t="str">
        <v>IT3100</v>
      </c>
    </row>
    <row r="18" spans="1:19" ht="16.5">
      <c r="A18" s="181" t="s">
        <v>362</v>
      </c>
      <c r="B18" s="177">
        <v>189941</v>
      </c>
      <c r="C18" s="177">
        <v>164951</v>
      </c>
      <c r="D18" s="176" t="s">
        <v>183</v>
      </c>
      <c r="E18" s="176" t="s">
        <v>160</v>
      </c>
      <c r="F18" s="176" t="s">
        <v>184</v>
      </c>
      <c r="G18" s="176" t="s">
        <v>169</v>
      </c>
      <c r="H18" s="177" t="s">
        <v>163</v>
      </c>
      <c r="I18" s="177" t="s">
        <v>164</v>
      </c>
      <c r="J18" s="176" t="s">
        <v>165</v>
      </c>
      <c r="K18" s="182">
        <v>46048</v>
      </c>
      <c r="L18" s="176" t="s">
        <v>12</v>
      </c>
      <c r="M18" s="177">
        <v>3</v>
      </c>
      <c r="N18" s="176" t="s">
        <v>166</v>
      </c>
      <c r="O18" s="177">
        <v>189941</v>
      </c>
      <c r="P18" t="str">
        <f>VLOOKUP(VALUE(C18),Class20251!D:G,4,0)</f>
        <v>Đàm Quang Tuấn</v>
      </c>
      <c r="S18" t="str">
        <v>IT3100E</v>
      </c>
    </row>
    <row r="19" spans="1:19" ht="16.5">
      <c r="A19" s="181" t="s">
        <v>362</v>
      </c>
      <c r="B19" s="177">
        <v>189940</v>
      </c>
      <c r="C19" s="177">
        <v>164951</v>
      </c>
      <c r="D19" s="176" t="s">
        <v>183</v>
      </c>
      <c r="E19" s="176" t="s">
        <v>160</v>
      </c>
      <c r="F19" s="176" t="s">
        <v>184</v>
      </c>
      <c r="G19" s="176" t="s">
        <v>185</v>
      </c>
      <c r="H19" s="177" t="s">
        <v>163</v>
      </c>
      <c r="I19" s="177" t="s">
        <v>164</v>
      </c>
      <c r="J19" s="176" t="s">
        <v>165</v>
      </c>
      <c r="K19" s="182">
        <v>46048</v>
      </c>
      <c r="L19" s="176" t="s">
        <v>12</v>
      </c>
      <c r="M19" s="177">
        <v>40</v>
      </c>
      <c r="N19" s="176" t="s">
        <v>166</v>
      </c>
      <c r="O19" s="177">
        <v>189940</v>
      </c>
      <c r="P19" t="str">
        <f>VLOOKUP(VALUE(C19),Class20251!D:G,4,0)</f>
        <v>Đàm Quang Tuấn</v>
      </c>
      <c r="S19" t="str">
        <v>IT3120</v>
      </c>
    </row>
    <row r="20" spans="1:19" ht="16.5">
      <c r="A20" s="181" t="s">
        <v>362</v>
      </c>
      <c r="B20" s="177">
        <v>189939</v>
      </c>
      <c r="C20" s="177">
        <v>164951</v>
      </c>
      <c r="D20" s="176" t="s">
        <v>183</v>
      </c>
      <c r="E20" s="176" t="s">
        <v>160</v>
      </c>
      <c r="F20" s="176" t="s">
        <v>184</v>
      </c>
      <c r="G20" s="176" t="s">
        <v>186</v>
      </c>
      <c r="H20" s="177" t="s">
        <v>163</v>
      </c>
      <c r="I20" s="177" t="s">
        <v>164</v>
      </c>
      <c r="J20" s="176" t="s">
        <v>165</v>
      </c>
      <c r="K20" s="182">
        <v>46048</v>
      </c>
      <c r="L20" s="176" t="s">
        <v>12</v>
      </c>
      <c r="M20" s="177">
        <v>36</v>
      </c>
      <c r="N20" s="176" t="s">
        <v>166</v>
      </c>
      <c r="O20" s="177">
        <v>189939</v>
      </c>
      <c r="P20" t="str">
        <f>VLOOKUP(VALUE(C20),Class20251!D:G,4,0)</f>
        <v>Đàm Quang Tuấn</v>
      </c>
      <c r="S20" t="str">
        <v>IT3120E</v>
      </c>
    </row>
    <row r="21" spans="1:19" ht="16.5">
      <c r="A21" s="181" t="s">
        <v>362</v>
      </c>
      <c r="B21" s="177">
        <v>189944</v>
      </c>
      <c r="C21" s="177">
        <v>164952</v>
      </c>
      <c r="D21" s="176" t="s">
        <v>183</v>
      </c>
      <c r="E21" s="176" t="s">
        <v>160</v>
      </c>
      <c r="F21" s="176" t="s">
        <v>187</v>
      </c>
      <c r="G21" s="176" t="s">
        <v>188</v>
      </c>
      <c r="H21" s="177" t="s">
        <v>163</v>
      </c>
      <c r="I21" s="177" t="s">
        <v>164</v>
      </c>
      <c r="J21" s="176" t="s">
        <v>165</v>
      </c>
      <c r="K21" s="182">
        <v>46048</v>
      </c>
      <c r="L21" s="176" t="s">
        <v>12</v>
      </c>
      <c r="M21" s="177">
        <v>45</v>
      </c>
      <c r="N21" s="176" t="s">
        <v>166</v>
      </c>
      <c r="O21" s="177">
        <v>189944</v>
      </c>
      <c r="P21" t="str">
        <f>VLOOKUP(VALUE(C21),Class20251!D:G,4,0)</f>
        <v>Vũ Văn Thiệu</v>
      </c>
      <c r="S21" t="str">
        <v>IT3160</v>
      </c>
    </row>
    <row r="22" spans="1:19" ht="16.5">
      <c r="A22" s="181" t="s">
        <v>362</v>
      </c>
      <c r="B22" s="177">
        <v>189942</v>
      </c>
      <c r="C22" s="177">
        <v>164952</v>
      </c>
      <c r="D22" s="176" t="s">
        <v>183</v>
      </c>
      <c r="E22" s="176" t="s">
        <v>160</v>
      </c>
      <c r="F22" s="176" t="s">
        <v>187</v>
      </c>
      <c r="G22" s="176" t="s">
        <v>169</v>
      </c>
      <c r="H22" s="177" t="s">
        <v>163</v>
      </c>
      <c r="I22" s="177" t="s">
        <v>164</v>
      </c>
      <c r="J22" s="176" t="s">
        <v>165</v>
      </c>
      <c r="K22" s="182">
        <v>46048</v>
      </c>
      <c r="L22" s="176" t="s">
        <v>12</v>
      </c>
      <c r="M22" s="177">
        <v>5</v>
      </c>
      <c r="N22" s="176" t="s">
        <v>166</v>
      </c>
      <c r="O22" s="177">
        <v>189942</v>
      </c>
      <c r="P22" t="str">
        <f>VLOOKUP(VALUE(C22),Class20251!D:G,4,0)</f>
        <v>Vũ Văn Thiệu</v>
      </c>
      <c r="S22" t="str">
        <v>IT3160E</v>
      </c>
    </row>
    <row r="23" spans="1:19" ht="16.5">
      <c r="A23" s="181" t="s">
        <v>362</v>
      </c>
      <c r="B23" s="177">
        <v>189943</v>
      </c>
      <c r="C23" s="177">
        <v>164952</v>
      </c>
      <c r="D23" s="176" t="s">
        <v>183</v>
      </c>
      <c r="E23" s="176" t="s">
        <v>160</v>
      </c>
      <c r="F23" s="176" t="s">
        <v>187</v>
      </c>
      <c r="G23" s="176" t="s">
        <v>189</v>
      </c>
      <c r="H23" s="177" t="s">
        <v>163</v>
      </c>
      <c r="I23" s="177" t="s">
        <v>164</v>
      </c>
      <c r="J23" s="176" t="s">
        <v>165</v>
      </c>
      <c r="K23" s="182">
        <v>46048</v>
      </c>
      <c r="L23" s="176" t="s">
        <v>12</v>
      </c>
      <c r="M23" s="177">
        <v>40</v>
      </c>
      <c r="N23" s="176" t="s">
        <v>166</v>
      </c>
      <c r="O23" s="177">
        <v>189943</v>
      </c>
      <c r="P23" t="str">
        <f>VLOOKUP(VALUE(C23),Class20251!D:G,4,0)</f>
        <v>Vũ Văn Thiệu</v>
      </c>
      <c r="S23" t="str">
        <v>IT3170</v>
      </c>
    </row>
    <row r="24" spans="1:19" ht="16.5">
      <c r="A24" s="181" t="s">
        <v>362</v>
      </c>
      <c r="B24" s="177">
        <v>189946</v>
      </c>
      <c r="C24" s="177">
        <v>161112</v>
      </c>
      <c r="D24" s="176" t="s">
        <v>190</v>
      </c>
      <c r="E24" s="176" t="s">
        <v>191</v>
      </c>
      <c r="F24" s="176" t="s">
        <v>192</v>
      </c>
      <c r="G24" s="176" t="s">
        <v>193</v>
      </c>
      <c r="H24" s="177" t="s">
        <v>163</v>
      </c>
      <c r="I24" s="177" t="s">
        <v>194</v>
      </c>
      <c r="J24" s="176" t="s">
        <v>7</v>
      </c>
      <c r="K24" s="182">
        <v>46061</v>
      </c>
      <c r="L24" s="176" t="s">
        <v>195</v>
      </c>
      <c r="M24" s="177">
        <v>50</v>
      </c>
      <c r="N24" s="176" t="s">
        <v>166</v>
      </c>
      <c r="O24" s="177">
        <v>189946</v>
      </c>
      <c r="P24" t="str">
        <f>VLOOKUP(VALUE(C24),Class20251!D:G,4,0)</f>
        <v>Trương Thị Diệu Linh</v>
      </c>
      <c r="S24" t="str">
        <v>IT3180</v>
      </c>
    </row>
    <row r="25" spans="1:19" ht="16.5">
      <c r="A25" s="181" t="s">
        <v>362</v>
      </c>
      <c r="B25" s="177">
        <v>189947</v>
      </c>
      <c r="C25" s="177">
        <v>161112</v>
      </c>
      <c r="D25" s="176" t="s">
        <v>190</v>
      </c>
      <c r="E25" s="176" t="s">
        <v>191</v>
      </c>
      <c r="F25" s="176" t="s">
        <v>192</v>
      </c>
      <c r="G25" s="176" t="s">
        <v>196</v>
      </c>
      <c r="H25" s="177" t="s">
        <v>163</v>
      </c>
      <c r="I25" s="177" t="s">
        <v>194</v>
      </c>
      <c r="J25" s="176" t="s">
        <v>7</v>
      </c>
      <c r="K25" s="182">
        <v>46061</v>
      </c>
      <c r="L25" s="176" t="s">
        <v>195</v>
      </c>
      <c r="M25" s="177">
        <v>50</v>
      </c>
      <c r="N25" s="176" t="s">
        <v>166</v>
      </c>
      <c r="O25" s="177">
        <v>189947</v>
      </c>
      <c r="P25" t="str">
        <f>VLOOKUP(VALUE(C25),Class20251!D:G,4,0)</f>
        <v>Trương Thị Diệu Linh</v>
      </c>
      <c r="S25" t="str">
        <v>IT3190</v>
      </c>
    </row>
    <row r="26" spans="1:19" ht="16.5">
      <c r="A26" s="181" t="s">
        <v>362</v>
      </c>
      <c r="B26" s="177">
        <v>189945</v>
      </c>
      <c r="C26" s="177">
        <v>161112</v>
      </c>
      <c r="D26" s="176" t="s">
        <v>190</v>
      </c>
      <c r="E26" s="176" t="s">
        <v>191</v>
      </c>
      <c r="F26" s="176" t="s">
        <v>192</v>
      </c>
      <c r="G26" s="176" t="s">
        <v>197</v>
      </c>
      <c r="H26" s="177" t="s">
        <v>163</v>
      </c>
      <c r="I26" s="177" t="s">
        <v>194</v>
      </c>
      <c r="J26" s="176" t="s">
        <v>7</v>
      </c>
      <c r="K26" s="182">
        <v>46061</v>
      </c>
      <c r="L26" s="176" t="s">
        <v>195</v>
      </c>
      <c r="M26" s="177">
        <v>50</v>
      </c>
      <c r="N26" s="176" t="s">
        <v>166</v>
      </c>
      <c r="O26" s="177">
        <v>189945</v>
      </c>
      <c r="P26" t="str">
        <f>VLOOKUP(VALUE(C26),Class20251!D:G,4,0)</f>
        <v>Trương Thị Diệu Linh</v>
      </c>
      <c r="S26" t="str">
        <v>IT3320E</v>
      </c>
    </row>
    <row r="27" spans="1:19" ht="16.5">
      <c r="A27" s="181" t="s">
        <v>362</v>
      </c>
      <c r="B27" s="177">
        <v>189951</v>
      </c>
      <c r="C27" s="177">
        <v>162080</v>
      </c>
      <c r="D27" s="176" t="s">
        <v>42</v>
      </c>
      <c r="E27" s="176" t="s">
        <v>191</v>
      </c>
      <c r="F27" s="176" t="s">
        <v>198</v>
      </c>
      <c r="G27" s="176" t="s">
        <v>199</v>
      </c>
      <c r="H27" s="177" t="s">
        <v>163</v>
      </c>
      <c r="I27" s="177" t="s">
        <v>194</v>
      </c>
      <c r="J27" s="176" t="s">
        <v>880</v>
      </c>
      <c r="K27" s="182">
        <v>46060</v>
      </c>
      <c r="L27" s="176" t="s">
        <v>13</v>
      </c>
      <c r="M27" s="177">
        <v>54</v>
      </c>
      <c r="N27" s="176" t="s">
        <v>166</v>
      </c>
      <c r="O27" s="177">
        <v>189951</v>
      </c>
      <c r="P27" t="str">
        <f>VLOOKUP(VALUE(C27),Class20251!D:G,4,0)</f>
        <v>Bành Thị Quỳnh Mai</v>
      </c>
      <c r="S27" t="str">
        <v>IT4010E</v>
      </c>
    </row>
    <row r="28" spans="1:19" ht="16.5">
      <c r="A28" s="181" t="s">
        <v>362</v>
      </c>
      <c r="B28" s="177">
        <v>189949</v>
      </c>
      <c r="C28" s="177">
        <v>162080</v>
      </c>
      <c r="D28" s="176" t="s">
        <v>42</v>
      </c>
      <c r="E28" s="176" t="s">
        <v>191</v>
      </c>
      <c r="F28" s="176" t="s">
        <v>198</v>
      </c>
      <c r="G28" s="176" t="s">
        <v>196</v>
      </c>
      <c r="H28" s="177" t="s">
        <v>163</v>
      </c>
      <c r="I28" s="177" t="s">
        <v>194</v>
      </c>
      <c r="J28" s="176" t="s">
        <v>880</v>
      </c>
      <c r="K28" s="182">
        <v>46060</v>
      </c>
      <c r="L28" s="176" t="s">
        <v>13</v>
      </c>
      <c r="M28" s="177">
        <v>55</v>
      </c>
      <c r="N28" s="176" t="s">
        <v>166</v>
      </c>
      <c r="O28" s="177">
        <v>189949</v>
      </c>
      <c r="P28" t="str">
        <f>VLOOKUP(VALUE(C28),Class20251!D:G,4,0)</f>
        <v>Bành Thị Quỳnh Mai</v>
      </c>
      <c r="S28" t="str">
        <v>IT4043E</v>
      </c>
    </row>
    <row r="29" spans="1:19" ht="16.5">
      <c r="A29" s="181" t="s">
        <v>362</v>
      </c>
      <c r="B29" s="177">
        <v>189950</v>
      </c>
      <c r="C29" s="177">
        <v>162080</v>
      </c>
      <c r="D29" s="176" t="s">
        <v>42</v>
      </c>
      <c r="E29" s="176" t="s">
        <v>191</v>
      </c>
      <c r="F29" s="176" t="s">
        <v>198</v>
      </c>
      <c r="G29" s="176" t="s">
        <v>193</v>
      </c>
      <c r="H29" s="177" t="s">
        <v>163</v>
      </c>
      <c r="I29" s="177" t="s">
        <v>194</v>
      </c>
      <c r="J29" s="176" t="s">
        <v>880</v>
      </c>
      <c r="K29" s="182">
        <v>46060</v>
      </c>
      <c r="L29" s="176" t="s">
        <v>13</v>
      </c>
      <c r="M29" s="177">
        <v>55</v>
      </c>
      <c r="N29" s="176" t="s">
        <v>166</v>
      </c>
      <c r="O29" s="177">
        <v>189950</v>
      </c>
      <c r="P29" t="str">
        <f>VLOOKUP(VALUE(C29),Class20251!D:G,4,0)</f>
        <v>Bành Thị Quỳnh Mai</v>
      </c>
      <c r="S29" t="str">
        <v>IT4142E</v>
      </c>
    </row>
    <row r="30" spans="1:19" ht="16.5">
      <c r="A30" s="181" t="s">
        <v>362</v>
      </c>
      <c r="B30" s="177">
        <v>189948</v>
      </c>
      <c r="C30" s="177">
        <v>162080</v>
      </c>
      <c r="D30" s="176" t="s">
        <v>42</v>
      </c>
      <c r="E30" s="176" t="s">
        <v>191</v>
      </c>
      <c r="F30" s="176" t="s">
        <v>198</v>
      </c>
      <c r="G30" s="176" t="s">
        <v>197</v>
      </c>
      <c r="H30" s="177" t="s">
        <v>163</v>
      </c>
      <c r="I30" s="177" t="s">
        <v>194</v>
      </c>
      <c r="J30" s="176" t="s">
        <v>880</v>
      </c>
      <c r="K30" s="182">
        <v>46060</v>
      </c>
      <c r="L30" s="176" t="s">
        <v>13</v>
      </c>
      <c r="M30" s="177">
        <v>55</v>
      </c>
      <c r="N30" s="176" t="s">
        <v>166</v>
      </c>
      <c r="O30" s="177">
        <v>189948</v>
      </c>
      <c r="P30" t="str">
        <f>VLOOKUP(VALUE(C30),Class20251!D:G,4,0)</f>
        <v>Bành Thị Quỳnh Mai</v>
      </c>
      <c r="S30" t="str">
        <v>IT4172</v>
      </c>
    </row>
    <row r="31" spans="1:19" ht="16.5">
      <c r="A31" s="181" t="s">
        <v>362</v>
      </c>
      <c r="B31" s="177">
        <v>189953</v>
      </c>
      <c r="C31" s="177">
        <v>162081</v>
      </c>
      <c r="D31" s="176" t="s">
        <v>42</v>
      </c>
      <c r="E31" s="176" t="s">
        <v>191</v>
      </c>
      <c r="F31" s="176" t="s">
        <v>198</v>
      </c>
      <c r="G31" s="176" t="s">
        <v>193</v>
      </c>
      <c r="H31" s="177" t="s">
        <v>163</v>
      </c>
      <c r="I31" s="177" t="s">
        <v>194</v>
      </c>
      <c r="J31" s="176" t="s">
        <v>880</v>
      </c>
      <c r="K31" s="182">
        <v>46060</v>
      </c>
      <c r="L31" s="176" t="s">
        <v>13</v>
      </c>
      <c r="M31" s="177">
        <v>51</v>
      </c>
      <c r="N31" s="176" t="s">
        <v>166</v>
      </c>
      <c r="O31" s="177">
        <v>189953</v>
      </c>
      <c r="P31" t="str">
        <f>VLOOKUP(VALUE(C31),Class20251!D:G,4,0)</f>
        <v>Ngô Quỳnh Thu</v>
      </c>
      <c r="S31" t="str">
        <v>IT4210</v>
      </c>
    </row>
    <row r="32" spans="1:19" ht="16.5">
      <c r="A32" s="181" t="s">
        <v>362</v>
      </c>
      <c r="B32" s="177">
        <v>189952</v>
      </c>
      <c r="C32" s="177">
        <v>162081</v>
      </c>
      <c r="D32" s="176" t="s">
        <v>42</v>
      </c>
      <c r="E32" s="176" t="s">
        <v>191</v>
      </c>
      <c r="F32" s="176" t="s">
        <v>198</v>
      </c>
      <c r="G32" s="176" t="s">
        <v>196</v>
      </c>
      <c r="H32" s="177" t="s">
        <v>163</v>
      </c>
      <c r="I32" s="177" t="s">
        <v>194</v>
      </c>
      <c r="J32" s="176" t="s">
        <v>880</v>
      </c>
      <c r="K32" s="182">
        <v>46060</v>
      </c>
      <c r="L32" s="176" t="s">
        <v>13</v>
      </c>
      <c r="M32" s="177">
        <v>51</v>
      </c>
      <c r="N32" s="176" t="s">
        <v>166</v>
      </c>
      <c r="O32" s="177">
        <v>189952</v>
      </c>
      <c r="P32" t="str">
        <f>VLOOKUP(VALUE(C32),Class20251!D:G,4,0)</f>
        <v>Ngô Quỳnh Thu</v>
      </c>
      <c r="S32" t="str">
        <v>IT4244</v>
      </c>
    </row>
    <row r="33" spans="1:19" ht="16.5">
      <c r="A33" s="181" t="s">
        <v>362</v>
      </c>
      <c r="B33" s="177">
        <v>189954</v>
      </c>
      <c r="C33" s="177">
        <v>162081</v>
      </c>
      <c r="D33" s="176" t="s">
        <v>42</v>
      </c>
      <c r="E33" s="176" t="s">
        <v>191</v>
      </c>
      <c r="F33" s="176" t="s">
        <v>198</v>
      </c>
      <c r="G33" s="176" t="s">
        <v>197</v>
      </c>
      <c r="H33" s="177" t="s">
        <v>163</v>
      </c>
      <c r="I33" s="177" t="s">
        <v>194</v>
      </c>
      <c r="J33" s="176" t="s">
        <v>880</v>
      </c>
      <c r="K33" s="182">
        <v>46060</v>
      </c>
      <c r="L33" s="176" t="s">
        <v>13</v>
      </c>
      <c r="M33" s="177">
        <v>50</v>
      </c>
      <c r="N33" s="176" t="s">
        <v>166</v>
      </c>
      <c r="O33" s="177">
        <v>189954</v>
      </c>
      <c r="P33" t="str">
        <f>VLOOKUP(VALUE(C33),Class20251!D:G,4,0)</f>
        <v>Ngô Quỳnh Thu</v>
      </c>
      <c r="S33" t="str">
        <v>IT4263</v>
      </c>
    </row>
    <row r="34" spans="1:19" ht="16.5">
      <c r="A34" s="181" t="s">
        <v>362</v>
      </c>
      <c r="B34" s="177">
        <v>189959</v>
      </c>
      <c r="C34" s="177">
        <v>162603</v>
      </c>
      <c r="D34" s="176" t="s">
        <v>200</v>
      </c>
      <c r="E34" s="176" t="s">
        <v>191</v>
      </c>
      <c r="F34" s="176" t="s">
        <v>201</v>
      </c>
      <c r="G34" s="176" t="s">
        <v>199</v>
      </c>
      <c r="H34" s="177" t="s">
        <v>163</v>
      </c>
      <c r="I34" s="177" t="s">
        <v>194</v>
      </c>
      <c r="J34" s="176" t="s">
        <v>7</v>
      </c>
      <c r="K34" s="182">
        <v>46061</v>
      </c>
      <c r="L34" s="176" t="s">
        <v>195</v>
      </c>
      <c r="M34" s="177">
        <v>50</v>
      </c>
      <c r="N34" s="176" t="s">
        <v>166</v>
      </c>
      <c r="O34" s="177">
        <v>189959</v>
      </c>
      <c r="P34" t="str">
        <f>VLOOKUP(VALUE(C34),Class20251!D:G,4,0)</f>
        <v>Vũ Đức Vượng</v>
      </c>
      <c r="S34" t="str">
        <v>IT4409</v>
      </c>
    </row>
    <row r="35" spans="1:19" ht="16.5">
      <c r="A35" s="181" t="s">
        <v>362</v>
      </c>
      <c r="B35" s="177">
        <v>189955</v>
      </c>
      <c r="C35" s="177">
        <v>162603</v>
      </c>
      <c r="D35" s="176" t="s">
        <v>200</v>
      </c>
      <c r="E35" s="176" t="s">
        <v>191</v>
      </c>
      <c r="F35" s="176" t="s">
        <v>201</v>
      </c>
      <c r="G35" s="176" t="s">
        <v>202</v>
      </c>
      <c r="H35" s="177" t="s">
        <v>163</v>
      </c>
      <c r="I35" s="177" t="s">
        <v>194</v>
      </c>
      <c r="J35" s="176" t="s">
        <v>7</v>
      </c>
      <c r="K35" s="182">
        <v>46061</v>
      </c>
      <c r="L35" s="176" t="s">
        <v>195</v>
      </c>
      <c r="M35" s="177">
        <v>49</v>
      </c>
      <c r="N35" s="176" t="s">
        <v>166</v>
      </c>
      <c r="O35" s="177">
        <v>189955</v>
      </c>
      <c r="P35" t="str">
        <f>VLOOKUP(VALUE(C35),Class20251!D:G,4,0)</f>
        <v>Vũ Đức Vượng</v>
      </c>
      <c r="S35" t="str">
        <v>IT4441</v>
      </c>
    </row>
    <row r="36" spans="1:19" ht="16.5">
      <c r="A36" s="181" t="s">
        <v>362</v>
      </c>
      <c r="B36" s="177">
        <v>189958</v>
      </c>
      <c r="C36" s="177">
        <v>162603</v>
      </c>
      <c r="D36" s="176" t="s">
        <v>200</v>
      </c>
      <c r="E36" s="176" t="s">
        <v>191</v>
      </c>
      <c r="F36" s="176" t="s">
        <v>201</v>
      </c>
      <c r="G36" s="176" t="s">
        <v>196</v>
      </c>
      <c r="H36" s="177" t="s">
        <v>163</v>
      </c>
      <c r="I36" s="177" t="s">
        <v>194</v>
      </c>
      <c r="J36" s="176" t="s">
        <v>7</v>
      </c>
      <c r="K36" s="182">
        <v>46061</v>
      </c>
      <c r="L36" s="176" t="s">
        <v>195</v>
      </c>
      <c r="M36" s="177">
        <v>50</v>
      </c>
      <c r="N36" s="176" t="s">
        <v>166</v>
      </c>
      <c r="O36" s="177">
        <v>189958</v>
      </c>
      <c r="P36" t="str">
        <f>VLOOKUP(VALUE(C36),Class20251!D:G,4,0)</f>
        <v>Vũ Đức Vượng</v>
      </c>
      <c r="S36" t="str">
        <v>IT4490</v>
      </c>
    </row>
    <row r="37" spans="1:19" ht="16.5">
      <c r="A37" s="181" t="s">
        <v>362</v>
      </c>
      <c r="B37" s="177">
        <v>189957</v>
      </c>
      <c r="C37" s="177">
        <v>162603</v>
      </c>
      <c r="D37" s="176" t="s">
        <v>200</v>
      </c>
      <c r="E37" s="176" t="s">
        <v>191</v>
      </c>
      <c r="F37" s="176" t="s">
        <v>201</v>
      </c>
      <c r="G37" s="176" t="s">
        <v>193</v>
      </c>
      <c r="H37" s="177" t="s">
        <v>163</v>
      </c>
      <c r="I37" s="177" t="s">
        <v>194</v>
      </c>
      <c r="J37" s="176" t="s">
        <v>7</v>
      </c>
      <c r="K37" s="182">
        <v>46061</v>
      </c>
      <c r="L37" s="176" t="s">
        <v>195</v>
      </c>
      <c r="M37" s="177">
        <v>50</v>
      </c>
      <c r="N37" s="176" t="s">
        <v>166</v>
      </c>
      <c r="O37" s="177">
        <v>189957</v>
      </c>
      <c r="P37" t="str">
        <f>VLOOKUP(VALUE(C37),Class20251!D:G,4,0)</f>
        <v>Vũ Đức Vượng</v>
      </c>
      <c r="S37" t="str">
        <v>IT4508E</v>
      </c>
    </row>
    <row r="38" spans="1:19" ht="16.5">
      <c r="A38" s="181" t="s">
        <v>362</v>
      </c>
      <c r="B38" s="177">
        <v>189956</v>
      </c>
      <c r="C38" s="177">
        <v>162603</v>
      </c>
      <c r="D38" s="176" t="s">
        <v>200</v>
      </c>
      <c r="E38" s="176" t="s">
        <v>191</v>
      </c>
      <c r="F38" s="176" t="s">
        <v>201</v>
      </c>
      <c r="G38" s="176" t="s">
        <v>197</v>
      </c>
      <c r="H38" s="177" t="s">
        <v>163</v>
      </c>
      <c r="I38" s="177" t="s">
        <v>194</v>
      </c>
      <c r="J38" s="176" t="s">
        <v>7</v>
      </c>
      <c r="K38" s="182">
        <v>46061</v>
      </c>
      <c r="L38" s="176" t="s">
        <v>195</v>
      </c>
      <c r="M38" s="177">
        <v>50</v>
      </c>
      <c r="N38" s="176" t="s">
        <v>166</v>
      </c>
      <c r="O38" s="177">
        <v>189956</v>
      </c>
      <c r="P38" t="str">
        <f>VLOOKUP(VALUE(C38),Class20251!D:G,4,0)</f>
        <v>Vũ Đức Vượng</v>
      </c>
      <c r="S38" t="str">
        <v>IT4593</v>
      </c>
    </row>
    <row r="39" spans="1:19" ht="16.5">
      <c r="A39" s="181" t="s">
        <v>362</v>
      </c>
      <c r="B39" s="177">
        <v>189961</v>
      </c>
      <c r="C39" s="177">
        <v>162604</v>
      </c>
      <c r="D39" s="176" t="s">
        <v>200</v>
      </c>
      <c r="E39" s="176" t="s">
        <v>191</v>
      </c>
      <c r="F39" s="176" t="s">
        <v>203</v>
      </c>
      <c r="G39" s="176" t="s">
        <v>199</v>
      </c>
      <c r="H39" s="177" t="s">
        <v>163</v>
      </c>
      <c r="I39" s="177" t="s">
        <v>194</v>
      </c>
      <c r="J39" s="176" t="s">
        <v>7</v>
      </c>
      <c r="K39" s="182">
        <v>46061</v>
      </c>
      <c r="L39" s="176" t="s">
        <v>195</v>
      </c>
      <c r="M39" s="177">
        <v>50</v>
      </c>
      <c r="N39" s="176" t="s">
        <v>166</v>
      </c>
      <c r="O39" s="177">
        <v>189961</v>
      </c>
      <c r="P39" t="str">
        <f>VLOOKUP(VALUE(C39),Class20251!D:G,4,0)</f>
        <v>Đinh Thị Hà Ly</v>
      </c>
      <c r="S39" t="str">
        <v>IT4613</v>
      </c>
    </row>
    <row r="40" spans="1:19" ht="16.5">
      <c r="A40" s="181" t="s">
        <v>362</v>
      </c>
      <c r="B40" s="177">
        <v>189962</v>
      </c>
      <c r="C40" s="177">
        <v>162604</v>
      </c>
      <c r="D40" s="176" t="s">
        <v>200</v>
      </c>
      <c r="E40" s="176" t="s">
        <v>191</v>
      </c>
      <c r="F40" s="176" t="s">
        <v>203</v>
      </c>
      <c r="G40" s="176" t="s">
        <v>202</v>
      </c>
      <c r="H40" s="177" t="s">
        <v>163</v>
      </c>
      <c r="I40" s="177" t="s">
        <v>194</v>
      </c>
      <c r="J40" s="176" t="s">
        <v>7</v>
      </c>
      <c r="K40" s="182">
        <v>46061</v>
      </c>
      <c r="L40" s="176" t="s">
        <v>195</v>
      </c>
      <c r="M40" s="177">
        <v>49</v>
      </c>
      <c r="N40" s="176" t="s">
        <v>166</v>
      </c>
      <c r="O40" s="177">
        <v>189962</v>
      </c>
      <c r="P40" t="str">
        <f>VLOOKUP(VALUE(C40),Class20251!D:G,4,0)</f>
        <v>Đinh Thị Hà Ly</v>
      </c>
      <c r="S40" t="str">
        <v>IT4651</v>
      </c>
    </row>
    <row r="41" spans="1:19" ht="16.5">
      <c r="A41" s="181" t="s">
        <v>362</v>
      </c>
      <c r="B41" s="177">
        <v>189964</v>
      </c>
      <c r="C41" s="177">
        <v>162604</v>
      </c>
      <c r="D41" s="176" t="s">
        <v>200</v>
      </c>
      <c r="E41" s="176" t="s">
        <v>191</v>
      </c>
      <c r="F41" s="176" t="s">
        <v>203</v>
      </c>
      <c r="G41" s="176" t="s">
        <v>193</v>
      </c>
      <c r="H41" s="177" t="s">
        <v>163</v>
      </c>
      <c r="I41" s="177" t="s">
        <v>194</v>
      </c>
      <c r="J41" s="176" t="s">
        <v>7</v>
      </c>
      <c r="K41" s="182">
        <v>46061</v>
      </c>
      <c r="L41" s="176" t="s">
        <v>195</v>
      </c>
      <c r="M41" s="177">
        <v>50</v>
      </c>
      <c r="N41" s="176" t="s">
        <v>166</v>
      </c>
      <c r="O41" s="177">
        <v>189964</v>
      </c>
      <c r="P41" t="str">
        <f>VLOOKUP(VALUE(C41),Class20251!D:G,4,0)</f>
        <v>Đinh Thị Hà Ly</v>
      </c>
      <c r="S41" t="str">
        <v>IT4653</v>
      </c>
    </row>
    <row r="42" spans="1:19" ht="16.5">
      <c r="A42" s="181" t="s">
        <v>362</v>
      </c>
      <c r="B42" s="177">
        <v>189960</v>
      </c>
      <c r="C42" s="177">
        <v>162604</v>
      </c>
      <c r="D42" s="176" t="s">
        <v>200</v>
      </c>
      <c r="E42" s="176" t="s">
        <v>191</v>
      </c>
      <c r="F42" s="176" t="s">
        <v>203</v>
      </c>
      <c r="G42" s="176" t="s">
        <v>196</v>
      </c>
      <c r="H42" s="177" t="s">
        <v>163</v>
      </c>
      <c r="I42" s="177" t="s">
        <v>194</v>
      </c>
      <c r="J42" s="176" t="s">
        <v>7</v>
      </c>
      <c r="K42" s="182">
        <v>46061</v>
      </c>
      <c r="L42" s="176" t="s">
        <v>195</v>
      </c>
      <c r="M42" s="177">
        <v>50</v>
      </c>
      <c r="N42" s="176" t="s">
        <v>166</v>
      </c>
      <c r="O42" s="177">
        <v>189960</v>
      </c>
      <c r="P42" t="str">
        <f>VLOOKUP(VALUE(C42),Class20251!D:G,4,0)</f>
        <v>Đinh Thị Hà Ly</v>
      </c>
      <c r="S42" t="str">
        <v>IT4663</v>
      </c>
    </row>
    <row r="43" spans="1:19" ht="16.5">
      <c r="A43" s="181" t="s">
        <v>362</v>
      </c>
      <c r="B43" s="177">
        <v>189963</v>
      </c>
      <c r="C43" s="177">
        <v>162604</v>
      </c>
      <c r="D43" s="176" t="s">
        <v>200</v>
      </c>
      <c r="E43" s="176" t="s">
        <v>191</v>
      </c>
      <c r="F43" s="176" t="s">
        <v>203</v>
      </c>
      <c r="G43" s="176" t="s">
        <v>197</v>
      </c>
      <c r="H43" s="177" t="s">
        <v>163</v>
      </c>
      <c r="I43" s="177" t="s">
        <v>194</v>
      </c>
      <c r="J43" s="176" t="s">
        <v>7</v>
      </c>
      <c r="K43" s="182">
        <v>46061</v>
      </c>
      <c r="L43" s="176" t="s">
        <v>195</v>
      </c>
      <c r="M43" s="177">
        <v>50</v>
      </c>
      <c r="N43" s="176" t="s">
        <v>166</v>
      </c>
      <c r="O43" s="177">
        <v>189963</v>
      </c>
      <c r="P43" t="str">
        <f>VLOOKUP(VALUE(C43),Class20251!D:G,4,0)</f>
        <v>Đinh Thị Hà Ly</v>
      </c>
      <c r="S43" t="str">
        <v>IT4681</v>
      </c>
    </row>
    <row r="44" spans="1:19" ht="16.5">
      <c r="A44" s="181" t="s">
        <v>362</v>
      </c>
      <c r="B44" s="177">
        <v>189969</v>
      </c>
      <c r="C44" s="177">
        <v>162755</v>
      </c>
      <c r="D44" s="176" t="s">
        <v>200</v>
      </c>
      <c r="E44" s="176" t="s">
        <v>191</v>
      </c>
      <c r="F44" s="176" t="s">
        <v>204</v>
      </c>
      <c r="G44" s="176" t="s">
        <v>193</v>
      </c>
      <c r="H44" s="177" t="s">
        <v>163</v>
      </c>
      <c r="I44" s="177" t="s">
        <v>194</v>
      </c>
      <c r="J44" s="176" t="s">
        <v>7</v>
      </c>
      <c r="K44" s="182">
        <v>46061</v>
      </c>
      <c r="L44" s="176" t="s">
        <v>195</v>
      </c>
      <c r="M44" s="177">
        <v>50</v>
      </c>
      <c r="N44" s="176" t="s">
        <v>166</v>
      </c>
      <c r="O44" s="177">
        <v>189969</v>
      </c>
      <c r="P44" t="str">
        <f>VLOOKUP(VALUE(C44),Class20251!D:G,4,0)</f>
        <v>Ngô Thành Trung</v>
      </c>
      <c r="S44" t="str">
        <v>IT4735</v>
      </c>
    </row>
    <row r="45" spans="1:19" ht="16.5">
      <c r="A45" s="181" t="s">
        <v>362</v>
      </c>
      <c r="B45" s="177">
        <v>189967</v>
      </c>
      <c r="C45" s="177">
        <v>162755</v>
      </c>
      <c r="D45" s="176" t="s">
        <v>200</v>
      </c>
      <c r="E45" s="176" t="s">
        <v>191</v>
      </c>
      <c r="F45" s="176" t="s">
        <v>204</v>
      </c>
      <c r="G45" s="176" t="s">
        <v>196</v>
      </c>
      <c r="H45" s="177" t="s">
        <v>163</v>
      </c>
      <c r="I45" s="177" t="s">
        <v>194</v>
      </c>
      <c r="J45" s="176" t="s">
        <v>7</v>
      </c>
      <c r="K45" s="182">
        <v>46061</v>
      </c>
      <c r="L45" s="176" t="s">
        <v>195</v>
      </c>
      <c r="M45" s="177">
        <v>50</v>
      </c>
      <c r="N45" s="176" t="s">
        <v>166</v>
      </c>
      <c r="O45" s="177">
        <v>189967</v>
      </c>
      <c r="P45" t="str">
        <f>VLOOKUP(VALUE(C45),Class20251!D:G,4,0)</f>
        <v>Ngô Thành Trung</v>
      </c>
      <c r="S45" t="str">
        <v>IT4772</v>
      </c>
    </row>
    <row r="46" spans="1:19" ht="16.5">
      <c r="A46" s="181" t="s">
        <v>362</v>
      </c>
      <c r="B46" s="177">
        <v>189968</v>
      </c>
      <c r="C46" s="177">
        <v>162755</v>
      </c>
      <c r="D46" s="176" t="s">
        <v>200</v>
      </c>
      <c r="E46" s="176" t="s">
        <v>191</v>
      </c>
      <c r="F46" s="176" t="s">
        <v>204</v>
      </c>
      <c r="G46" s="176" t="s">
        <v>199</v>
      </c>
      <c r="H46" s="177" t="s">
        <v>163</v>
      </c>
      <c r="I46" s="177" t="s">
        <v>194</v>
      </c>
      <c r="J46" s="176" t="s">
        <v>7</v>
      </c>
      <c r="K46" s="182">
        <v>46061</v>
      </c>
      <c r="L46" s="176" t="s">
        <v>195</v>
      </c>
      <c r="M46" s="177">
        <v>50</v>
      </c>
      <c r="N46" s="176" t="s">
        <v>166</v>
      </c>
      <c r="O46" s="177">
        <v>189968</v>
      </c>
      <c r="P46" t="str">
        <f>VLOOKUP(VALUE(C46),Class20251!D:G,4,0)</f>
        <v>Ngô Thành Trung</v>
      </c>
      <c r="S46" t="str">
        <v>IT4785</v>
      </c>
    </row>
    <row r="47" spans="1:19" ht="16.5">
      <c r="A47" s="181" t="s">
        <v>362</v>
      </c>
      <c r="B47" s="177">
        <v>189966</v>
      </c>
      <c r="C47" s="177">
        <v>162755</v>
      </c>
      <c r="D47" s="176" t="s">
        <v>200</v>
      </c>
      <c r="E47" s="176" t="s">
        <v>191</v>
      </c>
      <c r="F47" s="176" t="s">
        <v>204</v>
      </c>
      <c r="G47" s="176" t="s">
        <v>197</v>
      </c>
      <c r="H47" s="177" t="s">
        <v>163</v>
      </c>
      <c r="I47" s="177" t="s">
        <v>194</v>
      </c>
      <c r="J47" s="176" t="s">
        <v>7</v>
      </c>
      <c r="K47" s="182">
        <v>46061</v>
      </c>
      <c r="L47" s="176" t="s">
        <v>195</v>
      </c>
      <c r="M47" s="177">
        <v>50</v>
      </c>
      <c r="N47" s="176" t="s">
        <v>166</v>
      </c>
      <c r="O47" s="177">
        <v>189966</v>
      </c>
      <c r="P47" t="str">
        <f>VLOOKUP(VALUE(C47),Class20251!D:G,4,0)</f>
        <v>Ngô Thành Trung</v>
      </c>
      <c r="S47" t="str">
        <v>IT4785E</v>
      </c>
    </row>
    <row r="48" spans="1:19" ht="16.5">
      <c r="A48" s="181" t="s">
        <v>362</v>
      </c>
      <c r="B48" s="177">
        <v>189965</v>
      </c>
      <c r="C48" s="177">
        <v>162755</v>
      </c>
      <c r="D48" s="176" t="s">
        <v>200</v>
      </c>
      <c r="E48" s="176" t="s">
        <v>191</v>
      </c>
      <c r="F48" s="176" t="s">
        <v>204</v>
      </c>
      <c r="G48" s="176" t="s">
        <v>202</v>
      </c>
      <c r="H48" s="177" t="s">
        <v>163</v>
      </c>
      <c r="I48" s="177" t="s">
        <v>194</v>
      </c>
      <c r="J48" s="176" t="s">
        <v>7</v>
      </c>
      <c r="K48" s="182">
        <v>46061</v>
      </c>
      <c r="L48" s="176" t="s">
        <v>195</v>
      </c>
      <c r="M48" s="177">
        <v>50</v>
      </c>
      <c r="N48" s="176" t="s">
        <v>166</v>
      </c>
      <c r="O48" s="177">
        <v>189965</v>
      </c>
      <c r="P48" t="str">
        <f>VLOOKUP(VALUE(C48),Class20251!D:G,4,0)</f>
        <v>Ngô Thành Trung</v>
      </c>
      <c r="S48" t="str">
        <v>IT4788</v>
      </c>
    </row>
    <row r="49" spans="1:19" ht="16.5">
      <c r="A49" s="181" t="s">
        <v>362</v>
      </c>
      <c r="B49" s="177">
        <v>189975</v>
      </c>
      <c r="C49" s="177">
        <v>163217</v>
      </c>
      <c r="D49" s="176" t="s">
        <v>200</v>
      </c>
      <c r="E49" s="176" t="s">
        <v>191</v>
      </c>
      <c r="F49" s="176" t="s">
        <v>205</v>
      </c>
      <c r="G49" s="176" t="s">
        <v>206</v>
      </c>
      <c r="H49" s="177" t="s">
        <v>163</v>
      </c>
      <c r="I49" s="177" t="s">
        <v>194</v>
      </c>
      <c r="J49" s="176" t="s">
        <v>7</v>
      </c>
      <c r="K49" s="182">
        <v>46061</v>
      </c>
      <c r="L49" s="176" t="s">
        <v>195</v>
      </c>
      <c r="M49" s="177">
        <v>48</v>
      </c>
      <c r="N49" s="176" t="s">
        <v>166</v>
      </c>
      <c r="O49" s="177">
        <v>189975</v>
      </c>
      <c r="P49" t="str">
        <f>VLOOKUP(VALUE(C49),Class20251!D:G,4,0)</f>
        <v>Đỗ Tuấn Anh</v>
      </c>
      <c r="S49" t="str">
        <v>IT4815E</v>
      </c>
    </row>
    <row r="50" spans="1:19" ht="16.5">
      <c r="A50" s="181" t="s">
        <v>362</v>
      </c>
      <c r="B50" s="177">
        <v>189971</v>
      </c>
      <c r="C50" s="177">
        <v>163217</v>
      </c>
      <c r="D50" s="176" t="s">
        <v>200</v>
      </c>
      <c r="E50" s="176" t="s">
        <v>191</v>
      </c>
      <c r="F50" s="176" t="s">
        <v>205</v>
      </c>
      <c r="G50" s="176" t="s">
        <v>197</v>
      </c>
      <c r="H50" s="177" t="s">
        <v>163</v>
      </c>
      <c r="I50" s="177" t="s">
        <v>194</v>
      </c>
      <c r="J50" s="176" t="s">
        <v>7</v>
      </c>
      <c r="K50" s="182">
        <v>46061</v>
      </c>
      <c r="L50" s="176" t="s">
        <v>195</v>
      </c>
      <c r="M50" s="177">
        <v>48</v>
      </c>
      <c r="N50" s="176" t="s">
        <v>166</v>
      </c>
      <c r="O50" s="177">
        <v>189971</v>
      </c>
      <c r="P50" t="str">
        <f>VLOOKUP(VALUE(C50),Class20251!D:G,4,0)</f>
        <v>Đỗ Tuấn Anh</v>
      </c>
      <c r="S50" t="str">
        <v>IT4868E</v>
      </c>
    </row>
    <row r="51" spans="1:19" ht="16.5">
      <c r="A51" s="181" t="s">
        <v>362</v>
      </c>
      <c r="B51" s="177">
        <v>189972</v>
      </c>
      <c r="C51" s="177">
        <v>163217</v>
      </c>
      <c r="D51" s="176" t="s">
        <v>200</v>
      </c>
      <c r="E51" s="176" t="s">
        <v>191</v>
      </c>
      <c r="F51" s="176" t="s">
        <v>205</v>
      </c>
      <c r="G51" s="176" t="s">
        <v>199</v>
      </c>
      <c r="H51" s="177" t="s">
        <v>163</v>
      </c>
      <c r="I51" s="177" t="s">
        <v>194</v>
      </c>
      <c r="J51" s="176" t="s">
        <v>7</v>
      </c>
      <c r="K51" s="182">
        <v>46061</v>
      </c>
      <c r="L51" s="176" t="s">
        <v>195</v>
      </c>
      <c r="M51" s="177">
        <v>48</v>
      </c>
      <c r="N51" s="176" t="s">
        <v>166</v>
      </c>
      <c r="O51" s="177">
        <v>189972</v>
      </c>
      <c r="P51" t="str">
        <f>VLOOKUP(VALUE(C51),Class20251!D:G,4,0)</f>
        <v>Đỗ Tuấn Anh</v>
      </c>
      <c r="S51" t="str">
        <v>IT4930</v>
      </c>
    </row>
    <row r="52" spans="1:19" ht="16.5">
      <c r="A52" s="181" t="s">
        <v>362</v>
      </c>
      <c r="B52" s="177">
        <v>189973</v>
      </c>
      <c r="C52" s="177">
        <v>163217</v>
      </c>
      <c r="D52" s="176" t="s">
        <v>200</v>
      </c>
      <c r="E52" s="176" t="s">
        <v>191</v>
      </c>
      <c r="F52" s="176" t="s">
        <v>205</v>
      </c>
      <c r="G52" s="176" t="s">
        <v>193</v>
      </c>
      <c r="H52" s="177" t="s">
        <v>163</v>
      </c>
      <c r="I52" s="177" t="s">
        <v>194</v>
      </c>
      <c r="J52" s="176" t="s">
        <v>7</v>
      </c>
      <c r="K52" s="182">
        <v>46061</v>
      </c>
      <c r="L52" s="176" t="s">
        <v>195</v>
      </c>
      <c r="M52" s="177">
        <v>49</v>
      </c>
      <c r="N52" s="176" t="s">
        <v>166</v>
      </c>
      <c r="O52" s="177">
        <v>189973</v>
      </c>
      <c r="P52" t="str">
        <f>VLOOKUP(VALUE(C52),Class20251!D:G,4,0)</f>
        <v>Đỗ Tuấn Anh</v>
      </c>
      <c r="S52" t="str">
        <v>IT4931</v>
      </c>
    </row>
    <row r="53" spans="1:19" ht="16.5">
      <c r="A53" s="181" t="s">
        <v>362</v>
      </c>
      <c r="B53" s="177">
        <v>189974</v>
      </c>
      <c r="C53" s="177">
        <v>163217</v>
      </c>
      <c r="D53" s="176" t="s">
        <v>200</v>
      </c>
      <c r="E53" s="176" t="s">
        <v>191</v>
      </c>
      <c r="F53" s="176" t="s">
        <v>205</v>
      </c>
      <c r="G53" s="176" t="s">
        <v>202</v>
      </c>
      <c r="H53" s="177" t="s">
        <v>163</v>
      </c>
      <c r="I53" s="177" t="s">
        <v>194</v>
      </c>
      <c r="J53" s="176" t="s">
        <v>7</v>
      </c>
      <c r="K53" s="182">
        <v>46061</v>
      </c>
      <c r="L53" s="176" t="s">
        <v>195</v>
      </c>
      <c r="M53" s="177">
        <v>48</v>
      </c>
      <c r="N53" s="176" t="s">
        <v>166</v>
      </c>
      <c r="O53" s="177">
        <v>189974</v>
      </c>
      <c r="P53" t="str">
        <f>VLOOKUP(VALUE(C53),Class20251!D:G,4,0)</f>
        <v>Đỗ Tuấn Anh</v>
      </c>
      <c r="S53" t="str">
        <v>IT5409</v>
      </c>
    </row>
    <row r="54" spans="1:19" ht="16.5">
      <c r="A54" s="181" t="s">
        <v>362</v>
      </c>
      <c r="B54" s="177">
        <v>189970</v>
      </c>
      <c r="C54" s="177">
        <v>163217</v>
      </c>
      <c r="D54" s="176" t="s">
        <v>200</v>
      </c>
      <c r="E54" s="176" t="s">
        <v>191</v>
      </c>
      <c r="F54" s="176" t="s">
        <v>205</v>
      </c>
      <c r="G54" s="176" t="s">
        <v>196</v>
      </c>
      <c r="H54" s="177" t="s">
        <v>163</v>
      </c>
      <c r="I54" s="177" t="s">
        <v>194</v>
      </c>
      <c r="J54" s="176" t="s">
        <v>7</v>
      </c>
      <c r="K54" s="182">
        <v>46061</v>
      </c>
      <c r="L54" s="176" t="s">
        <v>195</v>
      </c>
      <c r="M54" s="177">
        <v>49</v>
      </c>
      <c r="N54" s="176" t="s">
        <v>166</v>
      </c>
      <c r="O54" s="177">
        <v>189970</v>
      </c>
      <c r="P54" t="str">
        <f>VLOOKUP(VALUE(C54),Class20251!D:G,4,0)</f>
        <v>Đỗ Tuấn Anh</v>
      </c>
      <c r="S54" t="str">
        <v>IT5411</v>
      </c>
    </row>
    <row r="55" spans="1:19" ht="16.5">
      <c r="A55" s="181" t="s">
        <v>362</v>
      </c>
      <c r="B55" s="177">
        <v>189980</v>
      </c>
      <c r="C55" s="177">
        <v>163218</v>
      </c>
      <c r="D55" s="176" t="s">
        <v>200</v>
      </c>
      <c r="E55" s="176" t="s">
        <v>191</v>
      </c>
      <c r="F55" s="176" t="s">
        <v>205</v>
      </c>
      <c r="G55" s="176" t="s">
        <v>199</v>
      </c>
      <c r="H55" s="177" t="s">
        <v>163</v>
      </c>
      <c r="I55" s="177" t="s">
        <v>194</v>
      </c>
      <c r="J55" s="176" t="s">
        <v>7</v>
      </c>
      <c r="K55" s="182">
        <v>46061</v>
      </c>
      <c r="L55" s="176" t="s">
        <v>195</v>
      </c>
      <c r="M55" s="177">
        <v>50</v>
      </c>
      <c r="N55" s="176" t="s">
        <v>166</v>
      </c>
      <c r="O55" s="177">
        <v>189980</v>
      </c>
      <c r="P55" t="str">
        <f>VLOOKUP(VALUE(C55),Class20251!D:G,4,0)</f>
        <v>Đinh Thị Hà Ly</v>
      </c>
      <c r="S55" t="str">
        <v>IT5412</v>
      </c>
    </row>
    <row r="56" spans="1:19" ht="16.5">
      <c r="A56" s="181" t="s">
        <v>362</v>
      </c>
      <c r="B56" s="177">
        <v>189977</v>
      </c>
      <c r="C56" s="177">
        <v>163218</v>
      </c>
      <c r="D56" s="176" t="s">
        <v>200</v>
      </c>
      <c r="E56" s="176" t="s">
        <v>191</v>
      </c>
      <c r="F56" s="176" t="s">
        <v>205</v>
      </c>
      <c r="G56" s="176" t="s">
        <v>196</v>
      </c>
      <c r="H56" s="177" t="s">
        <v>163</v>
      </c>
      <c r="I56" s="177" t="s">
        <v>194</v>
      </c>
      <c r="J56" s="176" t="s">
        <v>7</v>
      </c>
      <c r="K56" s="182">
        <v>46061</v>
      </c>
      <c r="L56" s="176" t="s">
        <v>195</v>
      </c>
      <c r="M56" s="177">
        <v>50</v>
      </c>
      <c r="N56" s="176" t="s">
        <v>166</v>
      </c>
      <c r="O56" s="177">
        <v>189977</v>
      </c>
      <c r="P56" t="str">
        <f>VLOOKUP(VALUE(C56),Class20251!D:G,4,0)</f>
        <v>Đinh Thị Hà Ly</v>
      </c>
      <c r="S56" t="str">
        <v>IT5425</v>
      </c>
    </row>
    <row r="57" spans="1:19" ht="16.5">
      <c r="A57" s="181" t="s">
        <v>362</v>
      </c>
      <c r="B57" s="177">
        <v>189978</v>
      </c>
      <c r="C57" s="177">
        <v>163218</v>
      </c>
      <c r="D57" s="176" t="s">
        <v>200</v>
      </c>
      <c r="E57" s="176" t="s">
        <v>191</v>
      </c>
      <c r="F57" s="176" t="s">
        <v>205</v>
      </c>
      <c r="G57" s="176" t="s">
        <v>193</v>
      </c>
      <c r="H57" s="177" t="s">
        <v>163</v>
      </c>
      <c r="I57" s="177" t="s">
        <v>194</v>
      </c>
      <c r="J57" s="176" t="s">
        <v>7</v>
      </c>
      <c r="K57" s="182">
        <v>46061</v>
      </c>
      <c r="L57" s="176" t="s">
        <v>195</v>
      </c>
      <c r="M57" s="177">
        <v>51</v>
      </c>
      <c r="N57" s="176" t="s">
        <v>166</v>
      </c>
      <c r="O57" s="177">
        <v>189978</v>
      </c>
      <c r="P57" t="str">
        <f>VLOOKUP(VALUE(C57),Class20251!D:G,4,0)</f>
        <v>Đinh Thị Hà Ly</v>
      </c>
      <c r="S57" t="str">
        <v>IT3323</v>
      </c>
    </row>
    <row r="58" spans="1:19" ht="16.5">
      <c r="A58" s="181" t="s">
        <v>362</v>
      </c>
      <c r="B58" s="177">
        <v>189979</v>
      </c>
      <c r="C58" s="177">
        <v>163218</v>
      </c>
      <c r="D58" s="176" t="s">
        <v>200</v>
      </c>
      <c r="E58" s="176" t="s">
        <v>191</v>
      </c>
      <c r="F58" s="176" t="s">
        <v>205</v>
      </c>
      <c r="G58" s="176" t="s">
        <v>202</v>
      </c>
      <c r="H58" s="177" t="s">
        <v>163</v>
      </c>
      <c r="I58" s="177" t="s">
        <v>194</v>
      </c>
      <c r="J58" s="176" t="s">
        <v>7</v>
      </c>
      <c r="K58" s="182">
        <v>46061</v>
      </c>
      <c r="L58" s="176" t="s">
        <v>195</v>
      </c>
      <c r="M58" s="177">
        <v>50</v>
      </c>
      <c r="N58" s="176" t="s">
        <v>166</v>
      </c>
      <c r="O58" s="177">
        <v>189979</v>
      </c>
      <c r="P58" t="str">
        <f>VLOOKUP(VALUE(C58),Class20251!D:G,4,0)</f>
        <v>Đinh Thị Hà Ly</v>
      </c>
      <c r="S58" t="str">
        <v>IT4735E</v>
      </c>
    </row>
    <row r="59" spans="1:19" ht="16.5">
      <c r="A59" s="181" t="s">
        <v>362</v>
      </c>
      <c r="B59" s="177">
        <v>189976</v>
      </c>
      <c r="C59" s="177">
        <v>163218</v>
      </c>
      <c r="D59" s="176" t="s">
        <v>200</v>
      </c>
      <c r="E59" s="176" t="s">
        <v>191</v>
      </c>
      <c r="F59" s="176" t="s">
        <v>205</v>
      </c>
      <c r="G59" s="176" t="s">
        <v>197</v>
      </c>
      <c r="H59" s="177" t="s">
        <v>163</v>
      </c>
      <c r="I59" s="177" t="s">
        <v>194</v>
      </c>
      <c r="J59" s="176" t="s">
        <v>7</v>
      </c>
      <c r="K59" s="182">
        <v>46061</v>
      </c>
      <c r="L59" s="176" t="s">
        <v>195</v>
      </c>
      <c r="M59" s="177">
        <v>50</v>
      </c>
      <c r="N59" s="176" t="s">
        <v>166</v>
      </c>
      <c r="O59" s="177">
        <v>189976</v>
      </c>
      <c r="P59" t="str">
        <f>VLOOKUP(VALUE(C59),Class20251!D:G,4,0)</f>
        <v>Đinh Thị Hà Ly</v>
      </c>
      <c r="S59" t="str">
        <v>IT4651E</v>
      </c>
    </row>
    <row r="60" spans="1:19" ht="16.5">
      <c r="A60" s="181" t="s">
        <v>362</v>
      </c>
      <c r="B60" s="177">
        <v>189982</v>
      </c>
      <c r="C60" s="177">
        <v>163219</v>
      </c>
      <c r="D60" s="176" t="s">
        <v>200</v>
      </c>
      <c r="E60" s="176" t="s">
        <v>191</v>
      </c>
      <c r="F60" s="176" t="s">
        <v>205</v>
      </c>
      <c r="G60" s="176" t="s">
        <v>196</v>
      </c>
      <c r="H60" s="177" t="s">
        <v>163</v>
      </c>
      <c r="I60" s="177" t="s">
        <v>194</v>
      </c>
      <c r="J60" s="176" t="s">
        <v>7</v>
      </c>
      <c r="K60" s="182">
        <v>46061</v>
      </c>
      <c r="L60" s="176" t="s">
        <v>195</v>
      </c>
      <c r="M60" s="177">
        <v>49</v>
      </c>
      <c r="N60" s="176" t="s">
        <v>166</v>
      </c>
      <c r="O60" s="177">
        <v>189982</v>
      </c>
      <c r="P60" t="str">
        <f>VLOOKUP(VALUE(C60),Class20251!D:G,4,0)</f>
        <v>Trần Quang Đức</v>
      </c>
      <c r="S60" t="str">
        <v>IT4441E</v>
      </c>
    </row>
    <row r="61" spans="1:19" ht="16.5">
      <c r="A61" s="181" t="s">
        <v>362</v>
      </c>
      <c r="B61" s="177">
        <v>189986</v>
      </c>
      <c r="C61" s="177">
        <v>163219</v>
      </c>
      <c r="D61" s="176" t="s">
        <v>200</v>
      </c>
      <c r="E61" s="176" t="s">
        <v>191</v>
      </c>
      <c r="F61" s="176" t="s">
        <v>205</v>
      </c>
      <c r="G61" s="176" t="s">
        <v>197</v>
      </c>
      <c r="H61" s="177" t="s">
        <v>163</v>
      </c>
      <c r="I61" s="177" t="s">
        <v>194</v>
      </c>
      <c r="J61" s="176" t="s">
        <v>7</v>
      </c>
      <c r="K61" s="182">
        <v>46061</v>
      </c>
      <c r="L61" s="176" t="s">
        <v>195</v>
      </c>
      <c r="M61" s="177">
        <v>48</v>
      </c>
      <c r="N61" s="176" t="s">
        <v>166</v>
      </c>
      <c r="O61" s="177">
        <v>189986</v>
      </c>
      <c r="P61" t="str">
        <f>VLOOKUP(VALUE(C61),Class20251!D:G,4,0)</f>
        <v>Trần Quang Đức</v>
      </c>
      <c r="S61" t="str">
        <v>IT4015E</v>
      </c>
    </row>
    <row r="62" spans="1:19" ht="16.5">
      <c r="A62" s="181" t="s">
        <v>362</v>
      </c>
      <c r="B62" s="177">
        <v>189983</v>
      </c>
      <c r="C62" s="177">
        <v>163219</v>
      </c>
      <c r="D62" s="176" t="s">
        <v>200</v>
      </c>
      <c r="E62" s="176" t="s">
        <v>191</v>
      </c>
      <c r="F62" s="176" t="s">
        <v>205</v>
      </c>
      <c r="G62" s="176" t="s">
        <v>199</v>
      </c>
      <c r="H62" s="177" t="s">
        <v>163</v>
      </c>
      <c r="I62" s="177" t="s">
        <v>194</v>
      </c>
      <c r="J62" s="176" t="s">
        <v>7</v>
      </c>
      <c r="K62" s="182">
        <v>46061</v>
      </c>
      <c r="L62" s="176" t="s">
        <v>195</v>
      </c>
      <c r="M62" s="177">
        <v>48</v>
      </c>
      <c r="N62" s="176" t="s">
        <v>166</v>
      </c>
      <c r="O62" s="177">
        <v>189983</v>
      </c>
      <c r="P62" t="str">
        <f>VLOOKUP(VALUE(C62),Class20251!D:G,4,0)</f>
        <v>Trần Quang Đức</v>
      </c>
      <c r="S62" t="str">
        <v>IT4082</v>
      </c>
    </row>
    <row r="63" spans="1:19" ht="16.5">
      <c r="A63" s="181" t="s">
        <v>362</v>
      </c>
      <c r="B63" s="177">
        <v>189985</v>
      </c>
      <c r="C63" s="177">
        <v>163219</v>
      </c>
      <c r="D63" s="176" t="s">
        <v>200</v>
      </c>
      <c r="E63" s="176" t="s">
        <v>191</v>
      </c>
      <c r="F63" s="176" t="s">
        <v>205</v>
      </c>
      <c r="G63" s="176" t="s">
        <v>202</v>
      </c>
      <c r="H63" s="177" t="s">
        <v>163</v>
      </c>
      <c r="I63" s="177" t="s">
        <v>194</v>
      </c>
      <c r="J63" s="176" t="s">
        <v>7</v>
      </c>
      <c r="K63" s="182">
        <v>46061</v>
      </c>
      <c r="L63" s="176" t="s">
        <v>195</v>
      </c>
      <c r="M63" s="177">
        <v>48</v>
      </c>
      <c r="N63" s="176" t="s">
        <v>166</v>
      </c>
      <c r="O63" s="177">
        <v>189985</v>
      </c>
      <c r="P63" t="str">
        <f>VLOOKUP(VALUE(C63),Class20251!D:G,4,0)</f>
        <v>Trần Quang Đức</v>
      </c>
      <c r="S63" t="str">
        <v>IT4015</v>
      </c>
    </row>
    <row r="64" spans="1:19" ht="16.5">
      <c r="A64" s="181" t="s">
        <v>362</v>
      </c>
      <c r="B64" s="177">
        <v>189981</v>
      </c>
      <c r="C64" s="177">
        <v>163219</v>
      </c>
      <c r="D64" s="176" t="s">
        <v>200</v>
      </c>
      <c r="E64" s="176" t="s">
        <v>191</v>
      </c>
      <c r="F64" s="176" t="s">
        <v>205</v>
      </c>
      <c r="G64" s="176" t="s">
        <v>193</v>
      </c>
      <c r="H64" s="177" t="s">
        <v>163</v>
      </c>
      <c r="I64" s="177" t="s">
        <v>194</v>
      </c>
      <c r="J64" s="176" t="s">
        <v>7</v>
      </c>
      <c r="K64" s="182">
        <v>46061</v>
      </c>
      <c r="L64" s="176" t="s">
        <v>195</v>
      </c>
      <c r="M64" s="177">
        <v>49</v>
      </c>
      <c r="N64" s="176" t="s">
        <v>166</v>
      </c>
      <c r="O64" s="177">
        <v>189981</v>
      </c>
      <c r="P64" t="str">
        <f>VLOOKUP(VALUE(C64),Class20251!D:G,4,0)</f>
        <v>Trần Quang Đức</v>
      </c>
      <c r="S64" t="str">
        <v>IT3080</v>
      </c>
    </row>
    <row r="65" spans="1:19" ht="16.5">
      <c r="A65" s="181" t="s">
        <v>362</v>
      </c>
      <c r="B65" s="177">
        <v>189984</v>
      </c>
      <c r="C65" s="177">
        <v>163219</v>
      </c>
      <c r="D65" s="176" t="s">
        <v>200</v>
      </c>
      <c r="E65" s="176" t="s">
        <v>191</v>
      </c>
      <c r="F65" s="176" t="s">
        <v>205</v>
      </c>
      <c r="G65" s="176" t="s">
        <v>206</v>
      </c>
      <c r="H65" s="177" t="s">
        <v>163</v>
      </c>
      <c r="I65" s="177" t="s">
        <v>194</v>
      </c>
      <c r="J65" s="176" t="s">
        <v>7</v>
      </c>
      <c r="K65" s="182">
        <v>46061</v>
      </c>
      <c r="L65" s="176" t="s">
        <v>195</v>
      </c>
      <c r="M65" s="177">
        <v>48</v>
      </c>
      <c r="N65" s="176" t="s">
        <v>166</v>
      </c>
      <c r="O65" s="177">
        <v>189984</v>
      </c>
      <c r="P65" t="str">
        <f>VLOOKUP(VALUE(C65),Class20251!D:G,4,0)</f>
        <v>Trần Quang Đức</v>
      </c>
      <c r="S65" t="str">
        <v>IT3292E</v>
      </c>
    </row>
    <row r="66" spans="1:19" ht="16.5">
      <c r="A66" s="181" t="s">
        <v>362</v>
      </c>
      <c r="B66" s="177">
        <v>189988</v>
      </c>
      <c r="C66" s="177">
        <v>163418</v>
      </c>
      <c r="D66" s="176" t="s">
        <v>200</v>
      </c>
      <c r="E66" s="176" t="s">
        <v>191</v>
      </c>
      <c r="F66" s="176" t="s">
        <v>207</v>
      </c>
      <c r="G66" s="176" t="s">
        <v>193</v>
      </c>
      <c r="H66" s="177" t="s">
        <v>163</v>
      </c>
      <c r="I66" s="177" t="s">
        <v>194</v>
      </c>
      <c r="J66" s="176" t="s">
        <v>7</v>
      </c>
      <c r="K66" s="182">
        <v>46061</v>
      </c>
      <c r="L66" s="176" t="s">
        <v>195</v>
      </c>
      <c r="M66" s="177">
        <v>50</v>
      </c>
      <c r="N66" s="176" t="s">
        <v>166</v>
      </c>
      <c r="O66" s="177">
        <v>189988</v>
      </c>
      <c r="P66" t="str">
        <f>VLOOKUP(VALUE(C66),Class20251!D:G,4,0)</f>
        <v>Vũ Văn Thiệu</v>
      </c>
      <c r="S66" t="str">
        <v>IT4082E</v>
      </c>
    </row>
    <row r="67" spans="1:19" ht="16.5">
      <c r="A67" s="181" t="s">
        <v>362</v>
      </c>
      <c r="B67" s="177">
        <v>189989</v>
      </c>
      <c r="C67" s="177">
        <v>163418</v>
      </c>
      <c r="D67" s="176" t="s">
        <v>200</v>
      </c>
      <c r="E67" s="176" t="s">
        <v>191</v>
      </c>
      <c r="F67" s="176" t="s">
        <v>207</v>
      </c>
      <c r="G67" s="176" t="s">
        <v>196</v>
      </c>
      <c r="H67" s="177" t="s">
        <v>163</v>
      </c>
      <c r="I67" s="177" t="s">
        <v>194</v>
      </c>
      <c r="J67" s="176" t="s">
        <v>7</v>
      </c>
      <c r="K67" s="182">
        <v>46061</v>
      </c>
      <c r="L67" s="176" t="s">
        <v>195</v>
      </c>
      <c r="M67" s="177">
        <v>50</v>
      </c>
      <c r="N67" s="176" t="s">
        <v>166</v>
      </c>
      <c r="O67" s="177">
        <v>189989</v>
      </c>
      <c r="P67" t="str">
        <f>VLOOKUP(VALUE(C67),Class20251!D:G,4,0)</f>
        <v>Vũ Văn Thiệu</v>
      </c>
      <c r="S67" t="str">
        <v>IT4593E</v>
      </c>
    </row>
    <row r="68" spans="1:19" ht="16.5">
      <c r="A68" s="181" t="s">
        <v>362</v>
      </c>
      <c r="B68" s="177">
        <v>189987</v>
      </c>
      <c r="C68" s="177">
        <v>163418</v>
      </c>
      <c r="D68" s="176" t="s">
        <v>200</v>
      </c>
      <c r="E68" s="176" t="s">
        <v>191</v>
      </c>
      <c r="F68" s="176" t="s">
        <v>207</v>
      </c>
      <c r="G68" s="176" t="s">
        <v>197</v>
      </c>
      <c r="H68" s="177" t="s">
        <v>163</v>
      </c>
      <c r="I68" s="177" t="s">
        <v>194</v>
      </c>
      <c r="J68" s="176" t="s">
        <v>7</v>
      </c>
      <c r="K68" s="182">
        <v>46061</v>
      </c>
      <c r="L68" s="176" t="s">
        <v>195</v>
      </c>
      <c r="M68" s="177">
        <v>50</v>
      </c>
      <c r="N68" s="176" t="s">
        <v>166</v>
      </c>
      <c r="O68" s="177">
        <v>189987</v>
      </c>
      <c r="P68" t="str">
        <f>VLOOKUP(VALUE(C68),Class20251!D:G,4,0)</f>
        <v>Vũ Văn Thiệu</v>
      </c>
      <c r="S68" t="str">
        <v>IT3420</v>
      </c>
    </row>
    <row r="69" spans="1:19" ht="16.5">
      <c r="A69" s="181" t="s">
        <v>362</v>
      </c>
      <c r="B69" s="177">
        <v>189990</v>
      </c>
      <c r="C69" s="177">
        <v>163418</v>
      </c>
      <c r="D69" s="176" t="s">
        <v>200</v>
      </c>
      <c r="E69" s="176" t="s">
        <v>191</v>
      </c>
      <c r="F69" s="176" t="s">
        <v>207</v>
      </c>
      <c r="G69" s="176" t="s">
        <v>199</v>
      </c>
      <c r="H69" s="177" t="s">
        <v>163</v>
      </c>
      <c r="I69" s="177" t="s">
        <v>194</v>
      </c>
      <c r="J69" s="176" t="s">
        <v>7</v>
      </c>
      <c r="K69" s="182">
        <v>46061</v>
      </c>
      <c r="L69" s="176" t="s">
        <v>195</v>
      </c>
      <c r="M69" s="177">
        <v>50</v>
      </c>
      <c r="N69" s="176" t="s">
        <v>166</v>
      </c>
      <c r="O69" s="177">
        <v>189990</v>
      </c>
      <c r="P69" t="str">
        <f>VLOOKUP(VALUE(C69),Class20251!D:G,4,0)</f>
        <v>Vũ Văn Thiệu</v>
      </c>
      <c r="S69" t="str">
        <v>IT3230</v>
      </c>
    </row>
    <row r="70" spans="1:19" ht="16.5">
      <c r="A70" s="181" t="s">
        <v>362</v>
      </c>
      <c r="B70" s="177">
        <v>189991</v>
      </c>
      <c r="C70" s="177">
        <v>163418</v>
      </c>
      <c r="D70" s="176" t="s">
        <v>200</v>
      </c>
      <c r="E70" s="176" t="s">
        <v>191</v>
      </c>
      <c r="F70" s="176" t="s">
        <v>207</v>
      </c>
      <c r="G70" s="176" t="s">
        <v>206</v>
      </c>
      <c r="H70" s="177" t="s">
        <v>163</v>
      </c>
      <c r="I70" s="177" t="s">
        <v>194</v>
      </c>
      <c r="J70" s="176" t="s">
        <v>7</v>
      </c>
      <c r="K70" s="182">
        <v>46061</v>
      </c>
      <c r="L70" s="176" t="s">
        <v>195</v>
      </c>
      <c r="M70" s="177">
        <v>50</v>
      </c>
      <c r="N70" s="176" t="s">
        <v>166</v>
      </c>
      <c r="O70" s="177">
        <v>189991</v>
      </c>
      <c r="P70" t="str">
        <f>VLOOKUP(VALUE(C70),Class20251!D:G,4,0)</f>
        <v>Vũ Văn Thiệu</v>
      </c>
      <c r="S70" t="str">
        <v>IT3020E</v>
      </c>
    </row>
    <row r="71" spans="1:19" ht="16.5">
      <c r="A71" s="181" t="s">
        <v>362</v>
      </c>
      <c r="B71" s="177">
        <v>189993</v>
      </c>
      <c r="C71" s="177">
        <v>163418</v>
      </c>
      <c r="D71" s="176" t="s">
        <v>200</v>
      </c>
      <c r="E71" s="176" t="s">
        <v>191</v>
      </c>
      <c r="F71" s="176" t="s">
        <v>207</v>
      </c>
      <c r="G71" s="176" t="s">
        <v>202</v>
      </c>
      <c r="H71" s="177" t="s">
        <v>163</v>
      </c>
      <c r="I71" s="177" t="s">
        <v>194</v>
      </c>
      <c r="J71" s="176" t="s">
        <v>7</v>
      </c>
      <c r="K71" s="182">
        <v>46061</v>
      </c>
      <c r="L71" s="176" t="s">
        <v>195</v>
      </c>
      <c r="M71" s="177">
        <v>50</v>
      </c>
      <c r="N71" s="176" t="s">
        <v>166</v>
      </c>
      <c r="O71" s="177">
        <v>189993</v>
      </c>
      <c r="P71" t="str">
        <f>VLOOKUP(VALUE(C71),Class20251!D:G,4,0)</f>
        <v>Vũ Văn Thiệu</v>
      </c>
      <c r="S71" t="str">
        <v>IT3170E</v>
      </c>
    </row>
    <row r="72" spans="1:19" ht="16.5">
      <c r="A72" s="181" t="s">
        <v>362</v>
      </c>
      <c r="B72" s="177">
        <v>189992</v>
      </c>
      <c r="C72" s="177">
        <v>163418</v>
      </c>
      <c r="D72" s="176" t="s">
        <v>200</v>
      </c>
      <c r="E72" s="176" t="s">
        <v>191</v>
      </c>
      <c r="F72" s="176" t="s">
        <v>207</v>
      </c>
      <c r="G72" s="176" t="s">
        <v>208</v>
      </c>
      <c r="H72" s="177" t="s">
        <v>163</v>
      </c>
      <c r="I72" s="177" t="s">
        <v>194</v>
      </c>
      <c r="J72" s="176" t="s">
        <v>7</v>
      </c>
      <c r="K72" s="182">
        <v>46061</v>
      </c>
      <c r="L72" s="176" t="s">
        <v>195</v>
      </c>
      <c r="M72" s="177">
        <v>50</v>
      </c>
      <c r="N72" s="176" t="s">
        <v>166</v>
      </c>
      <c r="O72" s="177">
        <v>189992</v>
      </c>
      <c r="P72" t="str">
        <f>VLOOKUP(VALUE(C72),Class20251!D:G,4,0)</f>
        <v>Vũ Văn Thiệu</v>
      </c>
      <c r="S72" t="str">
        <v>IT3283E</v>
      </c>
    </row>
    <row r="73" spans="1:19" ht="16.5">
      <c r="A73" s="181" t="s">
        <v>362</v>
      </c>
      <c r="B73" s="177">
        <v>189995</v>
      </c>
      <c r="C73" s="177">
        <v>163419</v>
      </c>
      <c r="D73" s="176" t="s">
        <v>200</v>
      </c>
      <c r="E73" s="176" t="s">
        <v>191</v>
      </c>
      <c r="F73" s="176" t="s">
        <v>207</v>
      </c>
      <c r="G73" s="176" t="s">
        <v>196</v>
      </c>
      <c r="H73" s="177" t="s">
        <v>163</v>
      </c>
      <c r="I73" s="177" t="s">
        <v>194</v>
      </c>
      <c r="J73" s="176" t="s">
        <v>7</v>
      </c>
      <c r="K73" s="182">
        <v>46061</v>
      </c>
      <c r="L73" s="176" t="s">
        <v>195</v>
      </c>
      <c r="M73" s="177">
        <v>57</v>
      </c>
      <c r="N73" s="176" t="s">
        <v>166</v>
      </c>
      <c r="O73" s="177">
        <v>189995</v>
      </c>
      <c r="P73" t="str">
        <f>VLOOKUP(VALUE(C73),Class20251!D:G,4,0)</f>
        <v>Nguyễn Bá Ngọc</v>
      </c>
      <c r="S73" t="str">
        <v>IT3280E</v>
      </c>
    </row>
    <row r="74" spans="1:19" ht="16.5">
      <c r="A74" s="181" t="s">
        <v>362</v>
      </c>
      <c r="B74" s="177">
        <v>189996</v>
      </c>
      <c r="C74" s="177">
        <v>163419</v>
      </c>
      <c r="D74" s="176" t="s">
        <v>200</v>
      </c>
      <c r="E74" s="176" t="s">
        <v>191</v>
      </c>
      <c r="F74" s="176" t="s">
        <v>207</v>
      </c>
      <c r="G74" s="176" t="s">
        <v>193</v>
      </c>
      <c r="H74" s="177" t="s">
        <v>163</v>
      </c>
      <c r="I74" s="177" t="s">
        <v>194</v>
      </c>
      <c r="J74" s="176" t="s">
        <v>7</v>
      </c>
      <c r="K74" s="182">
        <v>46061</v>
      </c>
      <c r="L74" s="176" t="s">
        <v>195</v>
      </c>
      <c r="M74" s="177">
        <v>57</v>
      </c>
      <c r="N74" s="176" t="s">
        <v>166</v>
      </c>
      <c r="O74" s="177">
        <v>189996</v>
      </c>
      <c r="P74" t="str">
        <f>VLOOKUP(VALUE(C74),Class20251!D:G,4,0)</f>
        <v>Nguyễn Bá Ngọc</v>
      </c>
      <c r="S74" t="str">
        <v>IT3210</v>
      </c>
    </row>
    <row r="75" spans="1:19" ht="16.5">
      <c r="A75" s="181" t="s">
        <v>362</v>
      </c>
      <c r="B75" s="177">
        <v>189994</v>
      </c>
      <c r="C75" s="177">
        <v>163419</v>
      </c>
      <c r="D75" s="176" t="s">
        <v>200</v>
      </c>
      <c r="E75" s="176" t="s">
        <v>191</v>
      </c>
      <c r="F75" s="176" t="s">
        <v>207</v>
      </c>
      <c r="G75" s="176" t="s">
        <v>197</v>
      </c>
      <c r="H75" s="177" t="s">
        <v>163</v>
      </c>
      <c r="I75" s="177" t="s">
        <v>194</v>
      </c>
      <c r="J75" s="176" t="s">
        <v>7</v>
      </c>
      <c r="K75" s="182">
        <v>46061</v>
      </c>
      <c r="L75" s="176" t="s">
        <v>195</v>
      </c>
      <c r="M75" s="177">
        <v>57</v>
      </c>
      <c r="N75" s="176" t="s">
        <v>166</v>
      </c>
      <c r="O75" s="177">
        <v>189994</v>
      </c>
      <c r="P75" t="str">
        <f>VLOOKUP(VALUE(C75),Class20251!D:G,4,0)</f>
        <v>Nguyễn Bá Ngọc</v>
      </c>
      <c r="S75" t="str">
        <v>IT3220</v>
      </c>
    </row>
    <row r="76" spans="1:19" ht="16.5">
      <c r="A76" s="181" t="s">
        <v>362</v>
      </c>
      <c r="B76" s="177">
        <v>189997</v>
      </c>
      <c r="C76" s="177">
        <v>163419</v>
      </c>
      <c r="D76" s="176" t="s">
        <v>200</v>
      </c>
      <c r="E76" s="176" t="s">
        <v>191</v>
      </c>
      <c r="F76" s="176" t="s">
        <v>207</v>
      </c>
      <c r="G76" s="176" t="s">
        <v>199</v>
      </c>
      <c r="H76" s="177" t="s">
        <v>163</v>
      </c>
      <c r="I76" s="177" t="s">
        <v>194</v>
      </c>
      <c r="J76" s="176" t="s">
        <v>7</v>
      </c>
      <c r="K76" s="182">
        <v>46061</v>
      </c>
      <c r="L76" s="176" t="s">
        <v>195</v>
      </c>
      <c r="M76" s="177">
        <v>57</v>
      </c>
      <c r="N76" s="176" t="s">
        <v>166</v>
      </c>
      <c r="O76" s="177">
        <v>189997</v>
      </c>
      <c r="P76" t="str">
        <f>VLOOKUP(VALUE(C76),Class20251!D:G,4,0)</f>
        <v>Nguyễn Bá Ngọc</v>
      </c>
      <c r="S76">
        <v>0</v>
      </c>
    </row>
    <row r="77" spans="1:19" ht="16.5">
      <c r="A77" s="181" t="s">
        <v>362</v>
      </c>
      <c r="B77" s="177">
        <v>190001</v>
      </c>
      <c r="C77" s="177">
        <v>163526</v>
      </c>
      <c r="D77" s="176" t="s">
        <v>200</v>
      </c>
      <c r="E77" s="176" t="s">
        <v>191</v>
      </c>
      <c r="F77" s="176" t="s">
        <v>209</v>
      </c>
      <c r="G77" s="176" t="s">
        <v>196</v>
      </c>
      <c r="H77" s="177" t="s">
        <v>163</v>
      </c>
      <c r="I77" s="177" t="s">
        <v>194</v>
      </c>
      <c r="J77" s="176" t="s">
        <v>7</v>
      </c>
      <c r="K77" s="182">
        <v>46061</v>
      </c>
      <c r="L77" s="176" t="s">
        <v>195</v>
      </c>
      <c r="M77" s="177">
        <v>50</v>
      </c>
      <c r="N77" s="176" t="s">
        <v>166</v>
      </c>
      <c r="O77" s="177">
        <v>190001</v>
      </c>
      <c r="P77" t="str">
        <f>VLOOKUP(VALUE(C77),Class20251!D:G,4,0)</f>
        <v>Trịnh Anh Phúc</v>
      </c>
    </row>
    <row r="78" spans="1:19" ht="16.5">
      <c r="A78" s="181" t="s">
        <v>362</v>
      </c>
      <c r="B78" s="177">
        <v>189999</v>
      </c>
      <c r="C78" s="177">
        <v>163526</v>
      </c>
      <c r="D78" s="176" t="s">
        <v>200</v>
      </c>
      <c r="E78" s="176" t="s">
        <v>191</v>
      </c>
      <c r="F78" s="176" t="s">
        <v>209</v>
      </c>
      <c r="G78" s="176" t="s">
        <v>202</v>
      </c>
      <c r="H78" s="177" t="s">
        <v>163</v>
      </c>
      <c r="I78" s="177" t="s">
        <v>194</v>
      </c>
      <c r="J78" s="176" t="s">
        <v>7</v>
      </c>
      <c r="K78" s="182">
        <v>46061</v>
      </c>
      <c r="L78" s="176" t="s">
        <v>195</v>
      </c>
      <c r="M78" s="177">
        <v>50</v>
      </c>
      <c r="N78" s="176" t="s">
        <v>166</v>
      </c>
      <c r="O78" s="177">
        <v>189999</v>
      </c>
      <c r="P78" t="str">
        <f>VLOOKUP(VALUE(C78),Class20251!D:G,4,0)</f>
        <v>Trịnh Anh Phúc</v>
      </c>
    </row>
    <row r="79" spans="1:19" ht="16.5">
      <c r="A79" s="181" t="s">
        <v>362</v>
      </c>
      <c r="B79" s="177">
        <v>189998</v>
      </c>
      <c r="C79" s="177">
        <v>163526</v>
      </c>
      <c r="D79" s="176" t="s">
        <v>200</v>
      </c>
      <c r="E79" s="176" t="s">
        <v>191</v>
      </c>
      <c r="F79" s="176" t="s">
        <v>209</v>
      </c>
      <c r="G79" s="176" t="s">
        <v>193</v>
      </c>
      <c r="H79" s="177" t="s">
        <v>163</v>
      </c>
      <c r="I79" s="177" t="s">
        <v>194</v>
      </c>
      <c r="J79" s="176" t="s">
        <v>7</v>
      </c>
      <c r="K79" s="182">
        <v>46061</v>
      </c>
      <c r="L79" s="176" t="s">
        <v>195</v>
      </c>
      <c r="M79" s="177">
        <v>50</v>
      </c>
      <c r="N79" s="176" t="s">
        <v>166</v>
      </c>
      <c r="O79" s="177">
        <v>189998</v>
      </c>
      <c r="P79" t="str">
        <f>VLOOKUP(VALUE(C79),Class20251!D:G,4,0)</f>
        <v>Trịnh Anh Phúc</v>
      </c>
    </row>
    <row r="80" spans="1:19" ht="16.5">
      <c r="A80" s="181" t="s">
        <v>362</v>
      </c>
      <c r="B80" s="177">
        <v>190002</v>
      </c>
      <c r="C80" s="177">
        <v>163526</v>
      </c>
      <c r="D80" s="176" t="s">
        <v>200</v>
      </c>
      <c r="E80" s="176" t="s">
        <v>191</v>
      </c>
      <c r="F80" s="176" t="s">
        <v>209</v>
      </c>
      <c r="G80" s="176" t="s">
        <v>199</v>
      </c>
      <c r="H80" s="177" t="s">
        <v>163</v>
      </c>
      <c r="I80" s="177" t="s">
        <v>194</v>
      </c>
      <c r="J80" s="176" t="s">
        <v>7</v>
      </c>
      <c r="K80" s="182">
        <v>46061</v>
      </c>
      <c r="L80" s="176" t="s">
        <v>195</v>
      </c>
      <c r="M80" s="177">
        <v>50</v>
      </c>
      <c r="N80" s="176" t="s">
        <v>166</v>
      </c>
      <c r="O80" s="177">
        <v>190002</v>
      </c>
      <c r="P80" t="str">
        <f>VLOOKUP(VALUE(C80),Class20251!D:G,4,0)</f>
        <v>Trịnh Anh Phúc</v>
      </c>
    </row>
    <row r="81" spans="1:16" ht="16.5">
      <c r="A81" s="181" t="s">
        <v>362</v>
      </c>
      <c r="B81" s="177">
        <v>190000</v>
      </c>
      <c r="C81" s="177">
        <v>163526</v>
      </c>
      <c r="D81" s="176" t="s">
        <v>200</v>
      </c>
      <c r="E81" s="176" t="s">
        <v>191</v>
      </c>
      <c r="F81" s="176" t="s">
        <v>209</v>
      </c>
      <c r="G81" s="176" t="s">
        <v>197</v>
      </c>
      <c r="H81" s="177" t="s">
        <v>163</v>
      </c>
      <c r="I81" s="177" t="s">
        <v>194</v>
      </c>
      <c r="J81" s="176" t="s">
        <v>7</v>
      </c>
      <c r="K81" s="182">
        <v>46061</v>
      </c>
      <c r="L81" s="176" t="s">
        <v>195</v>
      </c>
      <c r="M81" s="177">
        <v>50</v>
      </c>
      <c r="N81" s="176" t="s">
        <v>166</v>
      </c>
      <c r="O81" s="177">
        <v>190000</v>
      </c>
      <c r="P81" t="str">
        <f>VLOOKUP(VALUE(C81),Class20251!D:G,4,0)</f>
        <v>Trịnh Anh Phúc</v>
      </c>
    </row>
    <row r="82" spans="1:16" ht="16.5">
      <c r="A82" s="181" t="s">
        <v>362</v>
      </c>
      <c r="B82" s="177">
        <v>190005</v>
      </c>
      <c r="C82" s="177">
        <v>163787</v>
      </c>
      <c r="D82" s="176" t="s">
        <v>200</v>
      </c>
      <c r="E82" s="176" t="s">
        <v>191</v>
      </c>
      <c r="F82" s="176" t="s">
        <v>210</v>
      </c>
      <c r="G82" s="176" t="s">
        <v>196</v>
      </c>
      <c r="H82" s="177" t="s">
        <v>163</v>
      </c>
      <c r="I82" s="177" t="s">
        <v>194</v>
      </c>
      <c r="J82" s="176" t="s">
        <v>7</v>
      </c>
      <c r="K82" s="182">
        <v>46061</v>
      </c>
      <c r="L82" s="176" t="s">
        <v>195</v>
      </c>
      <c r="M82" s="177">
        <v>50</v>
      </c>
      <c r="N82" s="176" t="s">
        <v>166</v>
      </c>
      <c r="O82" s="177">
        <v>190005</v>
      </c>
      <c r="P82" t="str">
        <f>VLOOKUP(VALUE(C82),Class20251!D:G,4,0)</f>
        <v>Ban Hà Bằng</v>
      </c>
    </row>
    <row r="83" spans="1:16" ht="16.5">
      <c r="A83" s="181" t="s">
        <v>362</v>
      </c>
      <c r="B83" s="177">
        <v>190006</v>
      </c>
      <c r="C83" s="177">
        <v>163787</v>
      </c>
      <c r="D83" s="176" t="s">
        <v>200</v>
      </c>
      <c r="E83" s="176" t="s">
        <v>191</v>
      </c>
      <c r="F83" s="176" t="s">
        <v>210</v>
      </c>
      <c r="G83" s="176" t="s">
        <v>199</v>
      </c>
      <c r="H83" s="177" t="s">
        <v>163</v>
      </c>
      <c r="I83" s="177" t="s">
        <v>194</v>
      </c>
      <c r="J83" s="176" t="s">
        <v>7</v>
      </c>
      <c r="K83" s="182">
        <v>46061</v>
      </c>
      <c r="L83" s="176" t="s">
        <v>195</v>
      </c>
      <c r="M83" s="177">
        <v>49</v>
      </c>
      <c r="N83" s="176" t="s">
        <v>166</v>
      </c>
      <c r="O83" s="177">
        <v>190006</v>
      </c>
      <c r="P83" t="str">
        <f>VLOOKUP(VALUE(C83),Class20251!D:G,4,0)</f>
        <v>Ban Hà Bằng</v>
      </c>
    </row>
    <row r="84" spans="1:16" ht="16.5">
      <c r="A84" s="181" t="s">
        <v>362</v>
      </c>
      <c r="B84" s="177">
        <v>190004</v>
      </c>
      <c r="C84" s="177">
        <v>163787</v>
      </c>
      <c r="D84" s="176" t="s">
        <v>200</v>
      </c>
      <c r="E84" s="176" t="s">
        <v>191</v>
      </c>
      <c r="F84" s="176" t="s">
        <v>210</v>
      </c>
      <c r="G84" s="176" t="s">
        <v>193</v>
      </c>
      <c r="H84" s="177" t="s">
        <v>163</v>
      </c>
      <c r="I84" s="177" t="s">
        <v>194</v>
      </c>
      <c r="J84" s="176" t="s">
        <v>7</v>
      </c>
      <c r="K84" s="182">
        <v>46061</v>
      </c>
      <c r="L84" s="176" t="s">
        <v>195</v>
      </c>
      <c r="M84" s="177">
        <v>50</v>
      </c>
      <c r="N84" s="176" t="s">
        <v>166</v>
      </c>
      <c r="O84" s="177">
        <v>190004</v>
      </c>
      <c r="P84" t="str">
        <f>VLOOKUP(VALUE(C84),Class20251!D:G,4,0)</f>
        <v>Ban Hà Bằng</v>
      </c>
    </row>
    <row r="85" spans="1:16" ht="16.5">
      <c r="A85" s="181" t="s">
        <v>362</v>
      </c>
      <c r="B85" s="177">
        <v>190003</v>
      </c>
      <c r="C85" s="177">
        <v>163787</v>
      </c>
      <c r="D85" s="176" t="s">
        <v>200</v>
      </c>
      <c r="E85" s="176" t="s">
        <v>191</v>
      </c>
      <c r="F85" s="176" t="s">
        <v>210</v>
      </c>
      <c r="G85" s="176" t="s">
        <v>197</v>
      </c>
      <c r="H85" s="177" t="s">
        <v>163</v>
      </c>
      <c r="I85" s="177" t="s">
        <v>194</v>
      </c>
      <c r="J85" s="176" t="s">
        <v>7</v>
      </c>
      <c r="K85" s="182">
        <v>46061</v>
      </c>
      <c r="L85" s="176" t="s">
        <v>195</v>
      </c>
      <c r="M85" s="177">
        <v>50</v>
      </c>
      <c r="N85" s="176" t="s">
        <v>166</v>
      </c>
      <c r="O85" s="177">
        <v>190003</v>
      </c>
      <c r="P85" t="str">
        <f>VLOOKUP(VALUE(C85),Class20251!D:G,4,0)</f>
        <v>Ban Hà Bằng</v>
      </c>
    </row>
    <row r="86" spans="1:16" ht="16.5">
      <c r="A86" s="181" t="s">
        <v>362</v>
      </c>
      <c r="B86" s="177">
        <v>190007</v>
      </c>
      <c r="C86" s="177">
        <v>163788</v>
      </c>
      <c r="D86" s="176" t="s">
        <v>200</v>
      </c>
      <c r="E86" s="176" t="s">
        <v>191</v>
      </c>
      <c r="F86" s="176" t="s">
        <v>210</v>
      </c>
      <c r="G86" s="176" t="s">
        <v>196</v>
      </c>
      <c r="H86" s="177" t="s">
        <v>163</v>
      </c>
      <c r="I86" s="177" t="s">
        <v>194</v>
      </c>
      <c r="J86" s="176" t="s">
        <v>7</v>
      </c>
      <c r="K86" s="182">
        <v>46061</v>
      </c>
      <c r="L86" s="176" t="s">
        <v>195</v>
      </c>
      <c r="M86" s="177">
        <v>50</v>
      </c>
      <c r="N86" s="176" t="s">
        <v>166</v>
      </c>
      <c r="O86" s="177">
        <v>190007</v>
      </c>
      <c r="P86" t="str">
        <f>VLOOKUP(VALUE(C86),Class20251!D:G,4,0)</f>
        <v>Đỗ Tiến Dũng</v>
      </c>
    </row>
    <row r="87" spans="1:16" ht="16.5">
      <c r="A87" s="181" t="s">
        <v>362</v>
      </c>
      <c r="B87" s="177">
        <v>190010</v>
      </c>
      <c r="C87" s="177">
        <v>163788</v>
      </c>
      <c r="D87" s="176" t="s">
        <v>200</v>
      </c>
      <c r="E87" s="176" t="s">
        <v>191</v>
      </c>
      <c r="F87" s="176" t="s">
        <v>210</v>
      </c>
      <c r="G87" s="176" t="s">
        <v>199</v>
      </c>
      <c r="H87" s="177" t="s">
        <v>163</v>
      </c>
      <c r="I87" s="177" t="s">
        <v>194</v>
      </c>
      <c r="J87" s="176" t="s">
        <v>7</v>
      </c>
      <c r="K87" s="182">
        <v>46061</v>
      </c>
      <c r="L87" s="176" t="s">
        <v>195</v>
      </c>
      <c r="M87" s="177">
        <v>50</v>
      </c>
      <c r="N87" s="176" t="s">
        <v>166</v>
      </c>
      <c r="O87" s="177">
        <v>190010</v>
      </c>
      <c r="P87" t="str">
        <f>VLOOKUP(VALUE(C87),Class20251!D:G,4,0)</f>
        <v>Đỗ Tiến Dũng</v>
      </c>
    </row>
    <row r="88" spans="1:16" ht="16.5">
      <c r="A88" s="181" t="s">
        <v>362</v>
      </c>
      <c r="B88" s="177">
        <v>190009</v>
      </c>
      <c r="C88" s="177">
        <v>163788</v>
      </c>
      <c r="D88" s="176" t="s">
        <v>200</v>
      </c>
      <c r="E88" s="176" t="s">
        <v>191</v>
      </c>
      <c r="F88" s="176" t="s">
        <v>210</v>
      </c>
      <c r="G88" s="176" t="s">
        <v>193</v>
      </c>
      <c r="H88" s="177" t="s">
        <v>163</v>
      </c>
      <c r="I88" s="177" t="s">
        <v>194</v>
      </c>
      <c r="J88" s="176" t="s">
        <v>7</v>
      </c>
      <c r="K88" s="182">
        <v>46061</v>
      </c>
      <c r="L88" s="176" t="s">
        <v>195</v>
      </c>
      <c r="M88" s="177">
        <v>50</v>
      </c>
      <c r="N88" s="176" t="s">
        <v>166</v>
      </c>
      <c r="O88" s="177">
        <v>190009</v>
      </c>
      <c r="P88" t="str">
        <f>VLOOKUP(VALUE(C88),Class20251!D:G,4,0)</f>
        <v>Đỗ Tiến Dũng</v>
      </c>
    </row>
    <row r="89" spans="1:16" ht="16.5">
      <c r="A89" s="181" t="s">
        <v>362</v>
      </c>
      <c r="B89" s="177">
        <v>190008</v>
      </c>
      <c r="C89" s="177">
        <v>163788</v>
      </c>
      <c r="D89" s="176" t="s">
        <v>200</v>
      </c>
      <c r="E89" s="176" t="s">
        <v>191</v>
      </c>
      <c r="F89" s="176" t="s">
        <v>210</v>
      </c>
      <c r="G89" s="176" t="s">
        <v>197</v>
      </c>
      <c r="H89" s="177" t="s">
        <v>163</v>
      </c>
      <c r="I89" s="177" t="s">
        <v>194</v>
      </c>
      <c r="J89" s="176" t="s">
        <v>7</v>
      </c>
      <c r="K89" s="182">
        <v>46061</v>
      </c>
      <c r="L89" s="176" t="s">
        <v>195</v>
      </c>
      <c r="M89" s="177">
        <v>50</v>
      </c>
      <c r="N89" s="176" t="s">
        <v>166</v>
      </c>
      <c r="O89" s="177">
        <v>190008</v>
      </c>
      <c r="P89" t="str">
        <f>VLOOKUP(VALUE(C89),Class20251!D:G,4,0)</f>
        <v>Đỗ Tiến Dũng</v>
      </c>
    </row>
    <row r="90" spans="1:16" ht="16.5">
      <c r="A90" s="181" t="s">
        <v>362</v>
      </c>
      <c r="B90" s="177">
        <v>190013</v>
      </c>
      <c r="C90" s="177">
        <v>163925</v>
      </c>
      <c r="D90" s="176" t="s">
        <v>200</v>
      </c>
      <c r="E90" s="176" t="s">
        <v>191</v>
      </c>
      <c r="F90" s="176" t="s">
        <v>211</v>
      </c>
      <c r="G90" s="176" t="s">
        <v>197</v>
      </c>
      <c r="H90" s="177" t="s">
        <v>163</v>
      </c>
      <c r="I90" s="177" t="s">
        <v>194</v>
      </c>
      <c r="J90" s="176" t="s">
        <v>7</v>
      </c>
      <c r="K90" s="182">
        <v>46061</v>
      </c>
      <c r="L90" s="176" t="s">
        <v>195</v>
      </c>
      <c r="M90" s="177">
        <v>50</v>
      </c>
      <c r="N90" s="176" t="s">
        <v>166</v>
      </c>
      <c r="O90" s="177">
        <v>190013</v>
      </c>
      <c r="P90" t="str">
        <f>VLOOKUP(VALUE(C90),Class20251!D:G,4,0)</f>
        <v>Vũ Đức Vượng</v>
      </c>
    </row>
    <row r="91" spans="1:16" ht="16.5">
      <c r="A91" s="181" t="s">
        <v>362</v>
      </c>
      <c r="B91" s="177">
        <v>190012</v>
      </c>
      <c r="C91" s="177">
        <v>163925</v>
      </c>
      <c r="D91" s="176" t="s">
        <v>200</v>
      </c>
      <c r="E91" s="176" t="s">
        <v>191</v>
      </c>
      <c r="F91" s="176" t="s">
        <v>211</v>
      </c>
      <c r="G91" s="176" t="s">
        <v>196</v>
      </c>
      <c r="H91" s="177" t="s">
        <v>163</v>
      </c>
      <c r="I91" s="177" t="s">
        <v>194</v>
      </c>
      <c r="J91" s="176" t="s">
        <v>7</v>
      </c>
      <c r="K91" s="182">
        <v>46061</v>
      </c>
      <c r="L91" s="176" t="s">
        <v>195</v>
      </c>
      <c r="M91" s="177">
        <v>50</v>
      </c>
      <c r="N91" s="176" t="s">
        <v>166</v>
      </c>
      <c r="O91" s="177">
        <v>190012</v>
      </c>
      <c r="P91" t="str">
        <f>VLOOKUP(VALUE(C91),Class20251!D:G,4,0)</f>
        <v>Vũ Đức Vượng</v>
      </c>
    </row>
    <row r="92" spans="1:16" ht="16.5">
      <c r="A92" s="181" t="s">
        <v>362</v>
      </c>
      <c r="B92" s="177">
        <v>190011</v>
      </c>
      <c r="C92" s="177">
        <v>163925</v>
      </c>
      <c r="D92" s="176" t="s">
        <v>200</v>
      </c>
      <c r="E92" s="176" t="s">
        <v>191</v>
      </c>
      <c r="F92" s="176" t="s">
        <v>211</v>
      </c>
      <c r="G92" s="176" t="s">
        <v>193</v>
      </c>
      <c r="H92" s="177" t="s">
        <v>163</v>
      </c>
      <c r="I92" s="177" t="s">
        <v>194</v>
      </c>
      <c r="J92" s="176" t="s">
        <v>7</v>
      </c>
      <c r="K92" s="182">
        <v>46061</v>
      </c>
      <c r="L92" s="176" t="s">
        <v>195</v>
      </c>
      <c r="M92" s="177">
        <v>50</v>
      </c>
      <c r="N92" s="176" t="s">
        <v>166</v>
      </c>
      <c r="O92" s="177">
        <v>190011</v>
      </c>
      <c r="P92" t="str">
        <f>VLOOKUP(VALUE(C92),Class20251!D:G,4,0)</f>
        <v>Vũ Đức Vượng</v>
      </c>
    </row>
    <row r="93" spans="1:16" ht="16.5">
      <c r="A93" s="181" t="s">
        <v>362</v>
      </c>
      <c r="B93" s="177">
        <v>190014</v>
      </c>
      <c r="C93" s="177">
        <v>163925</v>
      </c>
      <c r="D93" s="176" t="s">
        <v>200</v>
      </c>
      <c r="E93" s="176" t="s">
        <v>191</v>
      </c>
      <c r="F93" s="176" t="s">
        <v>211</v>
      </c>
      <c r="G93" s="176" t="s">
        <v>202</v>
      </c>
      <c r="H93" s="177" t="s">
        <v>163</v>
      </c>
      <c r="I93" s="177" t="s">
        <v>194</v>
      </c>
      <c r="J93" s="176" t="s">
        <v>7</v>
      </c>
      <c r="K93" s="182">
        <v>46061</v>
      </c>
      <c r="L93" s="176" t="s">
        <v>195</v>
      </c>
      <c r="M93" s="177">
        <v>50</v>
      </c>
      <c r="N93" s="176" t="s">
        <v>166</v>
      </c>
      <c r="O93" s="177">
        <v>190014</v>
      </c>
      <c r="P93" t="str">
        <f>VLOOKUP(VALUE(C93),Class20251!D:G,4,0)</f>
        <v>Vũ Đức Vượng</v>
      </c>
    </row>
    <row r="94" spans="1:16" ht="16.5">
      <c r="A94" s="181" t="s">
        <v>362</v>
      </c>
      <c r="B94" s="177">
        <v>190015</v>
      </c>
      <c r="C94" s="177">
        <v>163925</v>
      </c>
      <c r="D94" s="176" t="s">
        <v>200</v>
      </c>
      <c r="E94" s="176" t="s">
        <v>191</v>
      </c>
      <c r="F94" s="176" t="s">
        <v>211</v>
      </c>
      <c r="G94" s="176" t="s">
        <v>199</v>
      </c>
      <c r="H94" s="177" t="s">
        <v>163</v>
      </c>
      <c r="I94" s="177" t="s">
        <v>194</v>
      </c>
      <c r="J94" s="176" t="s">
        <v>7</v>
      </c>
      <c r="K94" s="182">
        <v>46061</v>
      </c>
      <c r="L94" s="176" t="s">
        <v>195</v>
      </c>
      <c r="M94" s="177">
        <v>50</v>
      </c>
      <c r="N94" s="176" t="s">
        <v>166</v>
      </c>
      <c r="O94" s="177">
        <v>190015</v>
      </c>
      <c r="P94" t="str">
        <f>VLOOKUP(VALUE(C94),Class20251!D:G,4,0)</f>
        <v>Vũ Đức Vượng</v>
      </c>
    </row>
    <row r="95" spans="1:16" ht="16.5">
      <c r="A95" s="181" t="s">
        <v>362</v>
      </c>
      <c r="B95" s="177">
        <v>190032</v>
      </c>
      <c r="C95" s="177">
        <v>165279</v>
      </c>
      <c r="D95" s="176" t="s">
        <v>212</v>
      </c>
      <c r="E95" s="176" t="s">
        <v>213</v>
      </c>
      <c r="F95" s="176" t="s">
        <v>214</v>
      </c>
      <c r="G95" s="176" t="s">
        <v>169</v>
      </c>
      <c r="H95" s="177" t="s">
        <v>163</v>
      </c>
      <c r="I95" s="177" t="s">
        <v>194</v>
      </c>
      <c r="J95" s="176" t="s">
        <v>215</v>
      </c>
      <c r="K95" s="182">
        <v>46057</v>
      </c>
      <c r="L95" s="176" t="s">
        <v>11</v>
      </c>
      <c r="M95" s="177">
        <v>5</v>
      </c>
      <c r="N95" s="176" t="s">
        <v>166</v>
      </c>
      <c r="O95" s="177">
        <v>190032</v>
      </c>
      <c r="P95" t="str">
        <f>VLOOKUP(VALUE(C95),Class20251!D:G,4,0)</f>
        <v>Tạ Hải Tùng</v>
      </c>
    </row>
    <row r="96" spans="1:16" ht="16.5">
      <c r="A96" s="181" t="s">
        <v>362</v>
      </c>
      <c r="B96" s="177">
        <v>190033</v>
      </c>
      <c r="C96" s="177">
        <v>165279</v>
      </c>
      <c r="D96" s="176" t="s">
        <v>212</v>
      </c>
      <c r="E96" s="176" t="s">
        <v>213</v>
      </c>
      <c r="F96" s="176" t="s">
        <v>214</v>
      </c>
      <c r="G96" s="176" t="s">
        <v>182</v>
      </c>
      <c r="H96" s="177" t="s">
        <v>163</v>
      </c>
      <c r="I96" s="177" t="s">
        <v>194</v>
      </c>
      <c r="J96" s="176" t="s">
        <v>215</v>
      </c>
      <c r="K96" s="182">
        <v>46057</v>
      </c>
      <c r="L96" s="176" t="s">
        <v>11</v>
      </c>
      <c r="M96" s="177">
        <v>44</v>
      </c>
      <c r="N96" s="176" t="s">
        <v>166</v>
      </c>
      <c r="O96" s="177">
        <v>190033</v>
      </c>
      <c r="P96" t="str">
        <f>VLOOKUP(VALUE(C96),Class20251!D:G,4,0)</f>
        <v>Tạ Hải Tùng</v>
      </c>
    </row>
    <row r="97" spans="1:18" ht="16.5">
      <c r="A97" s="181" t="s">
        <v>362</v>
      </c>
      <c r="B97" s="177">
        <v>190035</v>
      </c>
      <c r="C97" s="177">
        <v>165279</v>
      </c>
      <c r="D97" s="176" t="s">
        <v>212</v>
      </c>
      <c r="E97" s="176" t="s">
        <v>213</v>
      </c>
      <c r="F97" s="176" t="s">
        <v>214</v>
      </c>
      <c r="G97" s="176" t="s">
        <v>180</v>
      </c>
      <c r="H97" s="177" t="s">
        <v>163</v>
      </c>
      <c r="I97" s="177" t="s">
        <v>194</v>
      </c>
      <c r="J97" s="176" t="s">
        <v>215</v>
      </c>
      <c r="K97" s="182">
        <v>46057</v>
      </c>
      <c r="L97" s="176" t="s">
        <v>11</v>
      </c>
      <c r="M97" s="177">
        <v>47</v>
      </c>
      <c r="N97" s="176" t="s">
        <v>166</v>
      </c>
      <c r="O97" s="177">
        <v>190035</v>
      </c>
      <c r="P97" t="str">
        <f>VLOOKUP(VALUE(C97),Class20251!D:G,4,0)</f>
        <v>Tạ Hải Tùng</v>
      </c>
    </row>
    <row r="98" spans="1:18" ht="16.5">
      <c r="A98" s="181" t="s">
        <v>362</v>
      </c>
      <c r="B98" s="177">
        <v>190034</v>
      </c>
      <c r="C98" s="177">
        <v>165279</v>
      </c>
      <c r="D98" s="176" t="s">
        <v>212</v>
      </c>
      <c r="E98" s="176" t="s">
        <v>213</v>
      </c>
      <c r="F98" s="176" t="s">
        <v>214</v>
      </c>
      <c r="G98" s="176" t="s">
        <v>177</v>
      </c>
      <c r="H98" s="177" t="s">
        <v>163</v>
      </c>
      <c r="I98" s="177" t="s">
        <v>194</v>
      </c>
      <c r="J98" s="176" t="s">
        <v>215</v>
      </c>
      <c r="K98" s="182">
        <v>46057</v>
      </c>
      <c r="L98" s="176" t="s">
        <v>11</v>
      </c>
      <c r="M98" s="177">
        <v>41</v>
      </c>
      <c r="N98" s="176" t="s">
        <v>166</v>
      </c>
      <c r="O98" s="177">
        <v>190034</v>
      </c>
      <c r="P98" t="str">
        <f>VLOOKUP(VALUE(C98),Class20251!D:G,4,0)</f>
        <v>Tạ Hải Tùng</v>
      </c>
    </row>
    <row r="99" spans="1:18" ht="16.5">
      <c r="A99" s="181" t="s">
        <v>362</v>
      </c>
      <c r="B99" s="177">
        <v>190036</v>
      </c>
      <c r="C99" s="177">
        <v>165279</v>
      </c>
      <c r="D99" s="176" t="s">
        <v>212</v>
      </c>
      <c r="E99" s="176" t="s">
        <v>213</v>
      </c>
      <c r="F99" s="176" t="s">
        <v>214</v>
      </c>
      <c r="G99" s="176" t="s">
        <v>162</v>
      </c>
      <c r="H99" s="177" t="s">
        <v>163</v>
      </c>
      <c r="I99" s="177" t="s">
        <v>194</v>
      </c>
      <c r="J99" s="176" t="s">
        <v>215</v>
      </c>
      <c r="K99" s="182">
        <v>46057</v>
      </c>
      <c r="L99" s="176" t="s">
        <v>11</v>
      </c>
      <c r="M99" s="177">
        <v>50</v>
      </c>
      <c r="N99" s="176" t="s">
        <v>166</v>
      </c>
      <c r="O99" s="177">
        <v>190036</v>
      </c>
      <c r="P99" t="str">
        <f>VLOOKUP(VALUE(C99),Class20251!D:G,4,0)</f>
        <v>Tạ Hải Tùng</v>
      </c>
    </row>
    <row r="100" spans="1:18" ht="16.5">
      <c r="A100" s="181" t="s">
        <v>362</v>
      </c>
      <c r="B100" s="177">
        <v>190037</v>
      </c>
      <c r="C100" s="177">
        <v>165279</v>
      </c>
      <c r="D100" s="176" t="s">
        <v>212</v>
      </c>
      <c r="E100" s="176" t="s">
        <v>213</v>
      </c>
      <c r="F100" s="176" t="s">
        <v>214</v>
      </c>
      <c r="G100" s="176" t="s">
        <v>175</v>
      </c>
      <c r="H100" s="177" t="s">
        <v>163</v>
      </c>
      <c r="I100" s="177" t="s">
        <v>194</v>
      </c>
      <c r="J100" s="176" t="s">
        <v>215</v>
      </c>
      <c r="K100" s="182">
        <v>46057</v>
      </c>
      <c r="L100" s="176" t="s">
        <v>11</v>
      </c>
      <c r="M100" s="177">
        <v>41</v>
      </c>
      <c r="N100" s="176" t="s">
        <v>166</v>
      </c>
      <c r="O100" s="177">
        <v>190037</v>
      </c>
      <c r="P100" t="str">
        <f>VLOOKUP(VALUE(C100),Class20251!D:G,4,0)</f>
        <v>Tạ Hải Tùng</v>
      </c>
    </row>
    <row r="101" spans="1:18" ht="16.5">
      <c r="A101" s="181" t="s">
        <v>362</v>
      </c>
      <c r="B101" s="177">
        <v>190029</v>
      </c>
      <c r="C101" s="177">
        <v>165279</v>
      </c>
      <c r="D101" s="176" t="s">
        <v>212</v>
      </c>
      <c r="E101" s="176" t="s">
        <v>213</v>
      </c>
      <c r="F101" s="176" t="s">
        <v>214</v>
      </c>
      <c r="G101" s="176" t="s">
        <v>176</v>
      </c>
      <c r="H101" s="177" t="s">
        <v>163</v>
      </c>
      <c r="I101" s="177" t="s">
        <v>194</v>
      </c>
      <c r="J101" s="176" t="s">
        <v>215</v>
      </c>
      <c r="K101" s="182">
        <v>46057</v>
      </c>
      <c r="L101" s="176" t="s">
        <v>11</v>
      </c>
      <c r="M101" s="177">
        <v>44</v>
      </c>
      <c r="N101" s="176" t="s">
        <v>166</v>
      </c>
      <c r="O101" s="177">
        <v>190029</v>
      </c>
      <c r="P101" t="str">
        <f>VLOOKUP(VALUE(C101),Class20251!D:G,4,0)</f>
        <v>Tạ Hải Tùng</v>
      </c>
    </row>
    <row r="102" spans="1:18" ht="16.5">
      <c r="A102" s="181" t="s">
        <v>362</v>
      </c>
      <c r="B102" s="177">
        <v>190030</v>
      </c>
      <c r="C102" s="177">
        <v>165279</v>
      </c>
      <c r="D102" s="176" t="s">
        <v>212</v>
      </c>
      <c r="E102" s="176" t="s">
        <v>213</v>
      </c>
      <c r="F102" s="176" t="s">
        <v>214</v>
      </c>
      <c r="G102" s="176" t="s">
        <v>170</v>
      </c>
      <c r="H102" s="177" t="s">
        <v>163</v>
      </c>
      <c r="I102" s="177" t="s">
        <v>194</v>
      </c>
      <c r="J102" s="176" t="s">
        <v>215</v>
      </c>
      <c r="K102" s="182">
        <v>46057</v>
      </c>
      <c r="L102" s="176" t="s">
        <v>11</v>
      </c>
      <c r="M102" s="177">
        <v>42</v>
      </c>
      <c r="N102" s="176" t="s">
        <v>166</v>
      </c>
      <c r="O102" s="177">
        <v>190030</v>
      </c>
      <c r="P102" t="str">
        <f>VLOOKUP(VALUE(C102),Class20251!D:G,4,0)</f>
        <v>Tạ Hải Tùng</v>
      </c>
    </row>
    <row r="103" spans="1:18" ht="16.5">
      <c r="A103" s="181" t="s">
        <v>362</v>
      </c>
      <c r="B103" s="177">
        <v>190039</v>
      </c>
      <c r="C103" s="177">
        <v>165279</v>
      </c>
      <c r="D103" s="176" t="s">
        <v>212</v>
      </c>
      <c r="E103" s="176" t="s">
        <v>213</v>
      </c>
      <c r="F103" s="176" t="s">
        <v>214</v>
      </c>
      <c r="G103" s="176" t="s">
        <v>181</v>
      </c>
      <c r="H103" s="177" t="s">
        <v>163</v>
      </c>
      <c r="I103" s="177" t="s">
        <v>194</v>
      </c>
      <c r="J103" s="176" t="s">
        <v>215</v>
      </c>
      <c r="K103" s="182">
        <v>46057</v>
      </c>
      <c r="L103" s="176" t="s">
        <v>11</v>
      </c>
      <c r="M103" s="177">
        <v>44</v>
      </c>
      <c r="N103" s="176" t="s">
        <v>166</v>
      </c>
      <c r="O103" s="177">
        <v>190039</v>
      </c>
      <c r="P103" t="str">
        <f>VLOOKUP(VALUE(C103),Class20251!D:G,4,0)</f>
        <v>Tạ Hải Tùng</v>
      </c>
    </row>
    <row r="104" spans="1:18" ht="16.5">
      <c r="A104" s="181" t="s">
        <v>362</v>
      </c>
      <c r="B104" s="177">
        <v>190038</v>
      </c>
      <c r="C104" s="177">
        <v>165279</v>
      </c>
      <c r="D104" s="176" t="s">
        <v>212</v>
      </c>
      <c r="E104" s="176" t="s">
        <v>213</v>
      </c>
      <c r="F104" s="176" t="s">
        <v>214</v>
      </c>
      <c r="G104" s="176" t="s">
        <v>172</v>
      </c>
      <c r="H104" s="177" t="s">
        <v>163</v>
      </c>
      <c r="I104" s="177" t="s">
        <v>194</v>
      </c>
      <c r="J104" s="176" t="s">
        <v>215</v>
      </c>
      <c r="K104" s="182">
        <v>46057</v>
      </c>
      <c r="L104" s="176" t="s">
        <v>11</v>
      </c>
      <c r="M104" s="177">
        <v>40</v>
      </c>
      <c r="N104" s="176" t="s">
        <v>166</v>
      </c>
      <c r="O104" s="177">
        <v>190038</v>
      </c>
      <c r="P104" t="str">
        <f>VLOOKUP(VALUE(C104),Class20251!D:G,4,0)</f>
        <v>Tạ Hải Tùng</v>
      </c>
    </row>
    <row r="105" spans="1:18" ht="16.5">
      <c r="A105" s="181" t="s">
        <v>362</v>
      </c>
      <c r="B105" s="177">
        <v>190040</v>
      </c>
      <c r="C105" s="177">
        <v>165279</v>
      </c>
      <c r="D105" s="176" t="s">
        <v>212</v>
      </c>
      <c r="E105" s="176" t="s">
        <v>213</v>
      </c>
      <c r="F105" s="176" t="s">
        <v>214</v>
      </c>
      <c r="G105" s="176" t="s">
        <v>179</v>
      </c>
      <c r="H105" s="177" t="s">
        <v>163</v>
      </c>
      <c r="I105" s="177" t="s">
        <v>194</v>
      </c>
      <c r="J105" s="176" t="s">
        <v>215</v>
      </c>
      <c r="K105" s="182">
        <v>46057</v>
      </c>
      <c r="L105" s="176" t="s">
        <v>11</v>
      </c>
      <c r="M105" s="177">
        <v>44</v>
      </c>
      <c r="N105" s="176" t="s">
        <v>166</v>
      </c>
      <c r="O105" s="177">
        <v>190040</v>
      </c>
      <c r="P105" t="str">
        <f>VLOOKUP(VALUE(C105),Class20251!D:G,4,0)</f>
        <v>Tạ Hải Tùng</v>
      </c>
    </row>
    <row r="106" spans="1:18" ht="16.5">
      <c r="A106" s="181" t="s">
        <v>362</v>
      </c>
      <c r="B106" s="177">
        <v>190031</v>
      </c>
      <c r="C106" s="177">
        <v>165279</v>
      </c>
      <c r="D106" s="176" t="s">
        <v>212</v>
      </c>
      <c r="E106" s="176" t="s">
        <v>213</v>
      </c>
      <c r="F106" s="176" t="s">
        <v>214</v>
      </c>
      <c r="G106" s="176" t="s">
        <v>174</v>
      </c>
      <c r="H106" s="177" t="s">
        <v>163</v>
      </c>
      <c r="I106" s="177" t="s">
        <v>194</v>
      </c>
      <c r="J106" s="176" t="s">
        <v>215</v>
      </c>
      <c r="K106" s="182">
        <v>46057</v>
      </c>
      <c r="L106" s="176" t="s">
        <v>11</v>
      </c>
      <c r="M106" s="177">
        <v>40</v>
      </c>
      <c r="N106" s="176" t="s">
        <v>166</v>
      </c>
      <c r="O106" s="177">
        <v>190031</v>
      </c>
      <c r="P106" t="str">
        <f>VLOOKUP(VALUE(C106),Class20251!D:G,4,0)</f>
        <v>Tạ Hải Tùng</v>
      </c>
    </row>
    <row r="107" spans="1:18" ht="16.5">
      <c r="A107" s="181" t="s">
        <v>362</v>
      </c>
      <c r="B107" s="177">
        <v>190042</v>
      </c>
      <c r="C107" s="177">
        <v>165279</v>
      </c>
      <c r="D107" s="176" t="s">
        <v>212</v>
      </c>
      <c r="E107" s="176" t="s">
        <v>213</v>
      </c>
      <c r="F107" s="176" t="s">
        <v>214</v>
      </c>
      <c r="G107" s="176" t="s">
        <v>171</v>
      </c>
      <c r="H107" s="177" t="s">
        <v>163</v>
      </c>
      <c r="I107" s="177" t="s">
        <v>194</v>
      </c>
      <c r="J107" s="176" t="s">
        <v>215</v>
      </c>
      <c r="K107" s="182">
        <v>46057</v>
      </c>
      <c r="L107" s="176" t="s">
        <v>11</v>
      </c>
      <c r="M107" s="177">
        <v>42</v>
      </c>
      <c r="N107" s="176" t="s">
        <v>166</v>
      </c>
      <c r="O107" s="177">
        <v>190042</v>
      </c>
      <c r="P107" t="str">
        <f>VLOOKUP(VALUE(C107),Class20251!D:G,4,0)</f>
        <v>Tạ Hải Tùng</v>
      </c>
    </row>
    <row r="108" spans="1:18" ht="16.5">
      <c r="A108" s="181" t="s">
        <v>362</v>
      </c>
      <c r="B108" s="177">
        <v>190041</v>
      </c>
      <c r="C108" s="177">
        <v>165279</v>
      </c>
      <c r="D108" s="176" t="s">
        <v>212</v>
      </c>
      <c r="E108" s="176" t="s">
        <v>213</v>
      </c>
      <c r="F108" s="176" t="s">
        <v>214</v>
      </c>
      <c r="G108" s="176" t="s">
        <v>168</v>
      </c>
      <c r="H108" s="177" t="s">
        <v>163</v>
      </c>
      <c r="I108" s="177" t="s">
        <v>194</v>
      </c>
      <c r="J108" s="176" t="s">
        <v>215</v>
      </c>
      <c r="K108" s="182">
        <v>46057</v>
      </c>
      <c r="L108" s="176" t="s">
        <v>11</v>
      </c>
      <c r="M108" s="177">
        <v>40</v>
      </c>
      <c r="N108" s="176" t="s">
        <v>166</v>
      </c>
      <c r="O108" s="177">
        <v>190041</v>
      </c>
      <c r="P108" t="str">
        <f>VLOOKUP(VALUE(C108),Class20251!D:G,4,0)</f>
        <v>Tạ Hải Tùng</v>
      </c>
    </row>
    <row r="109" spans="1:18" ht="16.5">
      <c r="A109" s="181" t="s">
        <v>362</v>
      </c>
      <c r="B109" s="177">
        <v>190073</v>
      </c>
      <c r="C109" s="177">
        <v>161538</v>
      </c>
      <c r="D109" s="176" t="s">
        <v>216</v>
      </c>
      <c r="E109" s="176" t="s">
        <v>217</v>
      </c>
      <c r="F109" s="176" t="s">
        <v>218</v>
      </c>
      <c r="G109" s="176" t="s">
        <v>169</v>
      </c>
      <c r="H109" s="177" t="s">
        <v>163</v>
      </c>
      <c r="I109" s="177" t="s">
        <v>194</v>
      </c>
      <c r="J109" s="176" t="s">
        <v>215</v>
      </c>
      <c r="K109" s="182">
        <v>46057</v>
      </c>
      <c r="L109" s="176" t="s">
        <v>14</v>
      </c>
      <c r="M109" s="177">
        <v>39</v>
      </c>
      <c r="N109" s="176" t="s">
        <v>166</v>
      </c>
      <c r="O109" s="177">
        <v>190073</v>
      </c>
      <c r="P109" t="str">
        <f>VLOOKUP(VALUE(C109),Class20251!D:G,4,0)</f>
        <v>Nguyễn Tuấn Dũng</v>
      </c>
    </row>
    <row r="110" spans="1:18" ht="16.5">
      <c r="A110" s="181" t="s">
        <v>362</v>
      </c>
      <c r="B110" s="177">
        <v>190074</v>
      </c>
      <c r="C110" s="177">
        <v>162409</v>
      </c>
      <c r="D110" s="176" t="s">
        <v>216</v>
      </c>
      <c r="E110" s="176" t="s">
        <v>217</v>
      </c>
      <c r="F110" s="176" t="s">
        <v>219</v>
      </c>
      <c r="G110" s="176" t="s">
        <v>196</v>
      </c>
      <c r="H110" s="177" t="s">
        <v>163</v>
      </c>
      <c r="I110" s="177" t="s">
        <v>194</v>
      </c>
      <c r="J110" s="176" t="s">
        <v>215</v>
      </c>
      <c r="K110" s="182">
        <v>46057</v>
      </c>
      <c r="L110" s="176" t="s">
        <v>13</v>
      </c>
      <c r="M110" s="177">
        <v>62</v>
      </c>
      <c r="N110" s="176" t="s">
        <v>166</v>
      </c>
      <c r="O110" s="177">
        <v>190074</v>
      </c>
      <c r="P110" t="str">
        <f>VLOOKUP(VALUE(C110),Class20251!D:G,4,0)</f>
        <v>Nguyễn Quốc Tuấn</v>
      </c>
      <c r="R110">
        <f>248/37</f>
        <v>6.7027027027027026</v>
      </c>
    </row>
    <row r="111" spans="1:18" ht="16.5">
      <c r="A111" s="181" t="s">
        <v>362</v>
      </c>
      <c r="B111" s="177">
        <v>190075</v>
      </c>
      <c r="C111" s="177">
        <v>162409</v>
      </c>
      <c r="D111" s="176" t="s">
        <v>216</v>
      </c>
      <c r="E111" s="176" t="s">
        <v>217</v>
      </c>
      <c r="F111" s="176" t="s">
        <v>219</v>
      </c>
      <c r="G111" s="176" t="s">
        <v>193</v>
      </c>
      <c r="H111" s="177" t="s">
        <v>163</v>
      </c>
      <c r="I111" s="177" t="s">
        <v>194</v>
      </c>
      <c r="J111" s="176" t="s">
        <v>215</v>
      </c>
      <c r="K111" s="182">
        <v>46057</v>
      </c>
      <c r="L111" s="176" t="s">
        <v>13</v>
      </c>
      <c r="M111" s="177">
        <v>62</v>
      </c>
      <c r="N111" s="176" t="s">
        <v>166</v>
      </c>
      <c r="O111" s="177">
        <v>190075</v>
      </c>
      <c r="P111" t="str">
        <f>VLOOKUP(VALUE(C111),Class20251!D:G,4,0)</f>
        <v>Nguyễn Quốc Tuấn</v>
      </c>
    </row>
    <row r="112" spans="1:18" ht="16.5">
      <c r="A112" s="181" t="s">
        <v>362</v>
      </c>
      <c r="B112" s="177">
        <v>190076</v>
      </c>
      <c r="C112" s="177">
        <v>162410</v>
      </c>
      <c r="D112" s="176" t="s">
        <v>216</v>
      </c>
      <c r="E112" s="176" t="s">
        <v>217</v>
      </c>
      <c r="F112" s="176" t="s">
        <v>220</v>
      </c>
      <c r="G112" s="176" t="s">
        <v>193</v>
      </c>
      <c r="H112" s="177" t="s">
        <v>163</v>
      </c>
      <c r="I112" s="177" t="s">
        <v>194</v>
      </c>
      <c r="J112" s="176" t="s">
        <v>215</v>
      </c>
      <c r="K112" s="182">
        <v>46057</v>
      </c>
      <c r="L112" s="176" t="s">
        <v>13</v>
      </c>
      <c r="M112" s="177">
        <v>62</v>
      </c>
      <c r="N112" s="176" t="s">
        <v>166</v>
      </c>
      <c r="O112" s="177">
        <v>190076</v>
      </c>
      <c r="P112" t="str">
        <f>VLOOKUP(VALUE(C112),Class20251!D:G,4,0)</f>
        <v>Nguyễn Duy Hiệp</v>
      </c>
    </row>
    <row r="113" spans="1:16" ht="16.5">
      <c r="A113" s="181" t="s">
        <v>362</v>
      </c>
      <c r="B113" s="177">
        <v>190077</v>
      </c>
      <c r="C113" s="177">
        <v>162410</v>
      </c>
      <c r="D113" s="176" t="s">
        <v>216</v>
      </c>
      <c r="E113" s="176" t="s">
        <v>217</v>
      </c>
      <c r="F113" s="176" t="s">
        <v>220</v>
      </c>
      <c r="G113" s="176" t="s">
        <v>196</v>
      </c>
      <c r="H113" s="177" t="s">
        <v>163</v>
      </c>
      <c r="I113" s="177" t="s">
        <v>194</v>
      </c>
      <c r="J113" s="176" t="s">
        <v>215</v>
      </c>
      <c r="K113" s="182">
        <v>46057</v>
      </c>
      <c r="L113" s="176" t="s">
        <v>13</v>
      </c>
      <c r="M113" s="177">
        <v>62</v>
      </c>
      <c r="N113" s="176" t="s">
        <v>166</v>
      </c>
      <c r="O113" s="177">
        <v>190077</v>
      </c>
      <c r="P113" t="str">
        <f>VLOOKUP(VALUE(C113),Class20251!D:G,4,0)</f>
        <v>Nguyễn Duy Hiệp</v>
      </c>
    </row>
    <row r="114" spans="1:16" ht="16.5">
      <c r="A114" s="181" t="s">
        <v>362</v>
      </c>
      <c r="B114" s="177">
        <v>190085</v>
      </c>
      <c r="C114" s="177">
        <v>161737</v>
      </c>
      <c r="D114" s="176" t="s">
        <v>221</v>
      </c>
      <c r="E114" s="176" t="s">
        <v>217</v>
      </c>
      <c r="F114" s="176" t="s">
        <v>222</v>
      </c>
      <c r="G114" s="176" t="s">
        <v>169</v>
      </c>
      <c r="H114" s="177" t="s">
        <v>163</v>
      </c>
      <c r="I114" s="177" t="s">
        <v>194</v>
      </c>
      <c r="J114" s="176" t="s">
        <v>215</v>
      </c>
      <c r="K114" s="182">
        <v>46057</v>
      </c>
      <c r="L114" s="176" t="s">
        <v>13</v>
      </c>
      <c r="M114" s="177">
        <v>45</v>
      </c>
      <c r="N114" s="176" t="s">
        <v>166</v>
      </c>
      <c r="O114" s="177">
        <v>190085</v>
      </c>
      <c r="P114" t="str">
        <f>VLOOKUP(VALUE(C114),Class20251!D:G,4,0)</f>
        <v>Phạm Quang Dũng</v>
      </c>
    </row>
    <row r="115" spans="1:16" ht="16.5">
      <c r="A115" s="181" t="s">
        <v>362</v>
      </c>
      <c r="B115" s="177">
        <v>190086</v>
      </c>
      <c r="C115" s="177">
        <v>161738</v>
      </c>
      <c r="D115" s="176" t="s">
        <v>221</v>
      </c>
      <c r="E115" s="176" t="s">
        <v>217</v>
      </c>
      <c r="F115" s="176" t="s">
        <v>222</v>
      </c>
      <c r="G115" s="176" t="s">
        <v>169</v>
      </c>
      <c r="H115" s="177" t="s">
        <v>163</v>
      </c>
      <c r="I115" s="177" t="s">
        <v>194</v>
      </c>
      <c r="J115" s="176" t="s">
        <v>215</v>
      </c>
      <c r="K115" s="182">
        <v>46057</v>
      </c>
      <c r="L115" s="176" t="s">
        <v>13</v>
      </c>
      <c r="M115" s="177">
        <v>58</v>
      </c>
      <c r="N115" s="176" t="s">
        <v>166</v>
      </c>
      <c r="O115" s="177">
        <v>190086</v>
      </c>
      <c r="P115" t="str">
        <f>VLOOKUP(VALUE(C115),Class20251!D:G,4,0)</f>
        <v>Michel Toulouse</v>
      </c>
    </row>
    <row r="116" spans="1:16" ht="16.5">
      <c r="A116" s="181" t="s">
        <v>362</v>
      </c>
      <c r="B116" s="177">
        <v>190087</v>
      </c>
      <c r="C116" s="177">
        <v>161113</v>
      </c>
      <c r="D116" s="176" t="s">
        <v>223</v>
      </c>
      <c r="E116" s="176" t="s">
        <v>217</v>
      </c>
      <c r="F116" s="176" t="s">
        <v>224</v>
      </c>
      <c r="G116" s="176" t="s">
        <v>169</v>
      </c>
      <c r="H116" s="177" t="s">
        <v>163</v>
      </c>
      <c r="I116" s="177" t="s">
        <v>194</v>
      </c>
      <c r="J116" s="176" t="s">
        <v>215</v>
      </c>
      <c r="K116" s="182">
        <v>46057</v>
      </c>
      <c r="L116" s="176" t="s">
        <v>13</v>
      </c>
      <c r="M116" s="177">
        <v>40</v>
      </c>
      <c r="N116" s="176" t="s">
        <v>166</v>
      </c>
      <c r="O116" s="177">
        <v>190087</v>
      </c>
      <c r="P116" t="str">
        <f>VLOOKUP(VALUE(C116),Class20251!D:G,4,0)</f>
        <v>Nguyễn Văn Sơn</v>
      </c>
    </row>
    <row r="117" spans="1:16" ht="16.5">
      <c r="A117" s="181" t="s">
        <v>362</v>
      </c>
      <c r="B117" s="177">
        <v>190093</v>
      </c>
      <c r="C117" s="177">
        <v>161552</v>
      </c>
      <c r="D117" s="176" t="s">
        <v>225</v>
      </c>
      <c r="E117" s="176" t="s">
        <v>226</v>
      </c>
      <c r="F117" s="176" t="s">
        <v>227</v>
      </c>
      <c r="G117" s="176" t="s">
        <v>169</v>
      </c>
      <c r="H117" s="177" t="s">
        <v>163</v>
      </c>
      <c r="I117" s="177" t="s">
        <v>228</v>
      </c>
      <c r="J117" s="176" t="s">
        <v>215</v>
      </c>
      <c r="K117" s="182">
        <v>46043</v>
      </c>
      <c r="L117" s="176" t="s">
        <v>15</v>
      </c>
      <c r="M117" s="177">
        <v>49</v>
      </c>
      <c r="N117" s="176" t="s">
        <v>166</v>
      </c>
      <c r="O117" s="177">
        <v>190093</v>
      </c>
      <c r="P117" t="str">
        <f>VLOOKUP(VALUE(C117),Class20251!D:G,4,0)</f>
        <v>Nguyễn Kim Khánh</v>
      </c>
    </row>
    <row r="118" spans="1:16" ht="16.5">
      <c r="A118" s="181" t="s">
        <v>362</v>
      </c>
      <c r="B118" s="177">
        <v>190096</v>
      </c>
      <c r="C118" s="177">
        <v>162255</v>
      </c>
      <c r="D118" s="176" t="s">
        <v>225</v>
      </c>
      <c r="E118" s="176" t="s">
        <v>226</v>
      </c>
      <c r="F118" s="176" t="s">
        <v>229</v>
      </c>
      <c r="G118" s="176" t="s">
        <v>196</v>
      </c>
      <c r="H118" s="177" t="s">
        <v>163</v>
      </c>
      <c r="I118" s="177" t="s">
        <v>228</v>
      </c>
      <c r="J118" s="176" t="s">
        <v>215</v>
      </c>
      <c r="K118" s="182">
        <v>46043</v>
      </c>
      <c r="L118" s="176" t="s">
        <v>15</v>
      </c>
      <c r="M118" s="177">
        <v>50</v>
      </c>
      <c r="N118" s="176" t="s">
        <v>166</v>
      </c>
      <c r="O118" s="177">
        <v>190096</v>
      </c>
      <c r="P118" t="str">
        <f>VLOOKUP(VALUE(C118),Class20251!D:G,4,0)</f>
        <v>Nguyễn Đức Tiến</v>
      </c>
    </row>
    <row r="119" spans="1:16" ht="16.5">
      <c r="A119" s="181" t="s">
        <v>362</v>
      </c>
      <c r="B119" s="177">
        <v>190094</v>
      </c>
      <c r="C119" s="177">
        <v>162255</v>
      </c>
      <c r="D119" s="176" t="s">
        <v>225</v>
      </c>
      <c r="E119" s="176" t="s">
        <v>226</v>
      </c>
      <c r="F119" s="176" t="s">
        <v>229</v>
      </c>
      <c r="G119" s="176" t="s">
        <v>193</v>
      </c>
      <c r="H119" s="177" t="s">
        <v>163</v>
      </c>
      <c r="I119" s="177" t="s">
        <v>228</v>
      </c>
      <c r="J119" s="176" t="s">
        <v>215</v>
      </c>
      <c r="K119" s="182">
        <v>46043</v>
      </c>
      <c r="L119" s="176" t="s">
        <v>15</v>
      </c>
      <c r="M119" s="177">
        <v>51</v>
      </c>
      <c r="N119" s="176" t="s">
        <v>166</v>
      </c>
      <c r="O119" s="177">
        <v>190094</v>
      </c>
      <c r="P119" t="str">
        <f>VLOOKUP(VALUE(C119),Class20251!D:G,4,0)</f>
        <v>Nguyễn Đức Tiến</v>
      </c>
    </row>
    <row r="120" spans="1:16" ht="16.5">
      <c r="A120" s="181" t="s">
        <v>362</v>
      </c>
      <c r="B120" s="177">
        <v>190095</v>
      </c>
      <c r="C120" s="177">
        <v>162255</v>
      </c>
      <c r="D120" s="176" t="s">
        <v>225</v>
      </c>
      <c r="E120" s="176" t="s">
        <v>226</v>
      </c>
      <c r="F120" s="176" t="s">
        <v>229</v>
      </c>
      <c r="G120" s="176" t="s">
        <v>197</v>
      </c>
      <c r="H120" s="177" t="s">
        <v>163</v>
      </c>
      <c r="I120" s="177" t="s">
        <v>228</v>
      </c>
      <c r="J120" s="176" t="s">
        <v>215</v>
      </c>
      <c r="K120" s="182">
        <v>46043</v>
      </c>
      <c r="L120" s="176" t="s">
        <v>15</v>
      </c>
      <c r="M120" s="177">
        <v>50</v>
      </c>
      <c r="N120" s="176" t="s">
        <v>166</v>
      </c>
      <c r="O120" s="177">
        <v>190095</v>
      </c>
      <c r="P120" t="str">
        <f>VLOOKUP(VALUE(C120),Class20251!D:G,4,0)</f>
        <v>Nguyễn Đức Tiến</v>
      </c>
    </row>
    <row r="121" spans="1:16" ht="16.5">
      <c r="A121" s="181" t="s">
        <v>362</v>
      </c>
      <c r="B121" s="177">
        <v>190099</v>
      </c>
      <c r="C121" s="177">
        <v>162256</v>
      </c>
      <c r="D121" s="176" t="s">
        <v>225</v>
      </c>
      <c r="E121" s="176" t="s">
        <v>226</v>
      </c>
      <c r="F121" s="176" t="s">
        <v>229</v>
      </c>
      <c r="G121" s="176" t="s">
        <v>193</v>
      </c>
      <c r="H121" s="177" t="s">
        <v>163</v>
      </c>
      <c r="I121" s="177" t="s">
        <v>228</v>
      </c>
      <c r="J121" s="176" t="s">
        <v>215</v>
      </c>
      <c r="K121" s="182">
        <v>46043</v>
      </c>
      <c r="L121" s="176" t="s">
        <v>15</v>
      </c>
      <c r="M121" s="177">
        <v>50</v>
      </c>
      <c r="N121" s="176" t="s">
        <v>166</v>
      </c>
      <c r="O121" s="177">
        <v>190099</v>
      </c>
      <c r="P121" t="str">
        <f>VLOOKUP(VALUE(C121),Class20251!D:G,4,0)</f>
        <v>Nguyễn Kim Khánh</v>
      </c>
    </row>
    <row r="122" spans="1:16" ht="16.5">
      <c r="A122" s="181" t="s">
        <v>362</v>
      </c>
      <c r="B122" s="177">
        <v>190098</v>
      </c>
      <c r="C122" s="177">
        <v>162256</v>
      </c>
      <c r="D122" s="176" t="s">
        <v>225</v>
      </c>
      <c r="E122" s="176" t="s">
        <v>226</v>
      </c>
      <c r="F122" s="176" t="s">
        <v>229</v>
      </c>
      <c r="G122" s="176" t="s">
        <v>196</v>
      </c>
      <c r="H122" s="177" t="s">
        <v>163</v>
      </c>
      <c r="I122" s="177" t="s">
        <v>228</v>
      </c>
      <c r="J122" s="176" t="s">
        <v>215</v>
      </c>
      <c r="K122" s="182">
        <v>46043</v>
      </c>
      <c r="L122" s="176" t="s">
        <v>15</v>
      </c>
      <c r="M122" s="177">
        <v>49</v>
      </c>
      <c r="N122" s="176" t="s">
        <v>166</v>
      </c>
      <c r="O122" s="177">
        <v>190098</v>
      </c>
      <c r="P122" t="str">
        <f>VLOOKUP(VALUE(C122),Class20251!D:G,4,0)</f>
        <v>Nguyễn Kim Khánh</v>
      </c>
    </row>
    <row r="123" spans="1:16" ht="16.5">
      <c r="A123" s="181" t="s">
        <v>362</v>
      </c>
      <c r="B123" s="177">
        <v>190097</v>
      </c>
      <c r="C123" s="177">
        <v>162256</v>
      </c>
      <c r="D123" s="176" t="s">
        <v>225</v>
      </c>
      <c r="E123" s="176" t="s">
        <v>226</v>
      </c>
      <c r="F123" s="176" t="s">
        <v>229</v>
      </c>
      <c r="G123" s="176" t="s">
        <v>197</v>
      </c>
      <c r="H123" s="177" t="s">
        <v>163</v>
      </c>
      <c r="I123" s="177" t="s">
        <v>228</v>
      </c>
      <c r="J123" s="176" t="s">
        <v>215</v>
      </c>
      <c r="K123" s="183">
        <v>161382</v>
      </c>
      <c r="L123" s="176" t="s">
        <v>15</v>
      </c>
      <c r="M123" s="177">
        <v>49</v>
      </c>
      <c r="N123" s="176" t="s">
        <v>166</v>
      </c>
      <c r="O123" s="177">
        <v>190097</v>
      </c>
      <c r="P123" t="str">
        <f>VLOOKUP(VALUE(C123),Class20251!D:G,4,0)</f>
        <v>Nguyễn Kim Khánh</v>
      </c>
    </row>
    <row r="124" spans="1:16" ht="16.5">
      <c r="A124" s="181" t="s">
        <v>362</v>
      </c>
      <c r="B124" s="177">
        <v>190100</v>
      </c>
      <c r="C124" s="177">
        <v>162257</v>
      </c>
      <c r="D124" s="176" t="s">
        <v>225</v>
      </c>
      <c r="E124" s="176" t="s">
        <v>226</v>
      </c>
      <c r="F124" s="176" t="s">
        <v>229</v>
      </c>
      <c r="G124" s="176" t="s">
        <v>196</v>
      </c>
      <c r="H124" s="177" t="s">
        <v>163</v>
      </c>
      <c r="I124" s="177" t="s">
        <v>228</v>
      </c>
      <c r="J124" s="176" t="s">
        <v>215</v>
      </c>
      <c r="K124" s="182">
        <v>46043</v>
      </c>
      <c r="L124" s="176" t="s">
        <v>15</v>
      </c>
      <c r="M124" s="177">
        <v>50</v>
      </c>
      <c r="N124" s="176" t="s">
        <v>166</v>
      </c>
      <c r="O124" s="177">
        <v>190100</v>
      </c>
      <c r="P124" t="str">
        <f>VLOOKUP(VALUE(C124),Class20251!D:G,4,0)</f>
        <v>Hoàng Văn Hiệp</v>
      </c>
    </row>
    <row r="125" spans="1:16" ht="16.5">
      <c r="A125" s="181" t="s">
        <v>362</v>
      </c>
      <c r="B125" s="177">
        <v>190101</v>
      </c>
      <c r="C125" s="177">
        <v>162257</v>
      </c>
      <c r="D125" s="176" t="s">
        <v>225</v>
      </c>
      <c r="E125" s="176" t="s">
        <v>226</v>
      </c>
      <c r="F125" s="176" t="s">
        <v>229</v>
      </c>
      <c r="G125" s="176" t="s">
        <v>193</v>
      </c>
      <c r="H125" s="177" t="s">
        <v>163</v>
      </c>
      <c r="I125" s="177" t="s">
        <v>228</v>
      </c>
      <c r="J125" s="176" t="s">
        <v>215</v>
      </c>
      <c r="K125" s="182">
        <v>46043</v>
      </c>
      <c r="L125" s="176" t="s">
        <v>15</v>
      </c>
      <c r="M125" s="177">
        <v>50</v>
      </c>
      <c r="N125" s="176" t="s">
        <v>166</v>
      </c>
      <c r="O125" s="177">
        <v>190101</v>
      </c>
      <c r="P125" t="str">
        <f>VLOOKUP(VALUE(C125),Class20251!D:G,4,0)</f>
        <v>Hoàng Văn Hiệp</v>
      </c>
    </row>
    <row r="126" spans="1:16" ht="16.5">
      <c r="A126" s="181" t="s">
        <v>362</v>
      </c>
      <c r="B126" s="177">
        <v>190102</v>
      </c>
      <c r="C126" s="177">
        <v>162257</v>
      </c>
      <c r="D126" s="176" t="s">
        <v>225</v>
      </c>
      <c r="E126" s="176" t="s">
        <v>226</v>
      </c>
      <c r="F126" s="176" t="s">
        <v>229</v>
      </c>
      <c r="G126" s="176" t="s">
        <v>197</v>
      </c>
      <c r="H126" s="177" t="s">
        <v>163</v>
      </c>
      <c r="I126" s="177" t="s">
        <v>228</v>
      </c>
      <c r="J126" s="176" t="s">
        <v>215</v>
      </c>
      <c r="K126" s="182">
        <v>46043</v>
      </c>
      <c r="L126" s="176" t="s">
        <v>15</v>
      </c>
      <c r="M126" s="177">
        <v>49</v>
      </c>
      <c r="N126" s="176" t="s">
        <v>166</v>
      </c>
      <c r="O126" s="177">
        <v>190102</v>
      </c>
      <c r="P126" t="str">
        <f>VLOOKUP(VALUE(C126),Class20251!D:G,4,0)</f>
        <v>Hoàng Văn Hiệp</v>
      </c>
    </row>
    <row r="127" spans="1:16" ht="16.5">
      <c r="A127" s="181" t="s">
        <v>362</v>
      </c>
      <c r="B127" s="177">
        <v>190105</v>
      </c>
      <c r="C127" s="177">
        <v>162258</v>
      </c>
      <c r="D127" s="176" t="s">
        <v>225</v>
      </c>
      <c r="E127" s="176" t="s">
        <v>226</v>
      </c>
      <c r="F127" s="176" t="s">
        <v>229</v>
      </c>
      <c r="G127" s="176" t="s">
        <v>193</v>
      </c>
      <c r="H127" s="177" t="s">
        <v>163</v>
      </c>
      <c r="I127" s="177" t="s">
        <v>228</v>
      </c>
      <c r="J127" s="176" t="s">
        <v>215</v>
      </c>
      <c r="K127" s="182">
        <v>46043</v>
      </c>
      <c r="L127" s="176" t="s">
        <v>15</v>
      </c>
      <c r="M127" s="177">
        <v>51</v>
      </c>
      <c r="N127" s="176" t="s">
        <v>166</v>
      </c>
      <c r="O127" s="177">
        <v>190105</v>
      </c>
      <c r="P127" t="str">
        <f>VLOOKUP(VALUE(C127),Class20251!D:G,4,0)</f>
        <v>Phạm Ngọc Hưng</v>
      </c>
    </row>
    <row r="128" spans="1:16" ht="16.5">
      <c r="A128" s="181" t="s">
        <v>362</v>
      </c>
      <c r="B128" s="177">
        <v>190104</v>
      </c>
      <c r="C128" s="177">
        <v>162258</v>
      </c>
      <c r="D128" s="176" t="s">
        <v>225</v>
      </c>
      <c r="E128" s="176" t="s">
        <v>226</v>
      </c>
      <c r="F128" s="176" t="s">
        <v>229</v>
      </c>
      <c r="G128" s="176" t="s">
        <v>196</v>
      </c>
      <c r="H128" s="177" t="s">
        <v>163</v>
      </c>
      <c r="I128" s="177" t="s">
        <v>228</v>
      </c>
      <c r="J128" s="176" t="s">
        <v>215</v>
      </c>
      <c r="K128" s="182">
        <v>46043</v>
      </c>
      <c r="L128" s="176" t="s">
        <v>15</v>
      </c>
      <c r="M128" s="177">
        <v>50</v>
      </c>
      <c r="N128" s="176" t="s">
        <v>166</v>
      </c>
      <c r="O128" s="177">
        <v>190104</v>
      </c>
      <c r="P128" t="str">
        <f>VLOOKUP(VALUE(C128),Class20251!D:G,4,0)</f>
        <v>Phạm Ngọc Hưng</v>
      </c>
    </row>
    <row r="129" spans="1:16" ht="16.5">
      <c r="A129" s="181" t="s">
        <v>362</v>
      </c>
      <c r="B129" s="177">
        <v>190103</v>
      </c>
      <c r="C129" s="177">
        <v>162258</v>
      </c>
      <c r="D129" s="176" t="s">
        <v>225</v>
      </c>
      <c r="E129" s="176" t="s">
        <v>226</v>
      </c>
      <c r="F129" s="176" t="s">
        <v>229</v>
      </c>
      <c r="G129" s="176" t="s">
        <v>197</v>
      </c>
      <c r="H129" s="177" t="s">
        <v>163</v>
      </c>
      <c r="I129" s="177" t="s">
        <v>228</v>
      </c>
      <c r="J129" s="176" t="s">
        <v>215</v>
      </c>
      <c r="K129" s="182">
        <v>46043</v>
      </c>
      <c r="L129" s="176" t="s">
        <v>15</v>
      </c>
      <c r="M129" s="177">
        <v>50</v>
      </c>
      <c r="N129" s="176" t="s">
        <v>166</v>
      </c>
      <c r="O129" s="177">
        <v>190103</v>
      </c>
      <c r="P129" t="str">
        <f>VLOOKUP(VALUE(C129),Class20251!D:G,4,0)</f>
        <v>Phạm Ngọc Hưng</v>
      </c>
    </row>
    <row r="130" spans="1:16" ht="16.5">
      <c r="A130" s="126" t="s">
        <v>362</v>
      </c>
      <c r="B130" s="105">
        <v>190110</v>
      </c>
      <c r="C130" s="105">
        <v>162062</v>
      </c>
      <c r="D130" s="104" t="s">
        <v>230</v>
      </c>
      <c r="E130" s="104" t="s">
        <v>226</v>
      </c>
      <c r="F130" s="104" t="s">
        <v>231</v>
      </c>
      <c r="G130" s="104" t="s">
        <v>193</v>
      </c>
      <c r="H130" s="105" t="s">
        <v>163</v>
      </c>
      <c r="I130" s="105" t="s">
        <v>228</v>
      </c>
      <c r="J130" s="104" t="s">
        <v>215</v>
      </c>
      <c r="K130" s="106">
        <v>46043</v>
      </c>
      <c r="L130" s="104" t="s">
        <v>12</v>
      </c>
      <c r="M130" s="105">
        <v>59</v>
      </c>
      <c r="N130" s="104" t="s">
        <v>166</v>
      </c>
      <c r="O130" s="105">
        <v>190110</v>
      </c>
      <c r="P130" t="str">
        <f>VLOOKUP(VALUE(C130),Class20251!D:G,4,0)</f>
        <v>Nguyễn Đức Tiến</v>
      </c>
    </row>
    <row r="131" spans="1:16" ht="16.5">
      <c r="A131" s="126" t="s">
        <v>362</v>
      </c>
      <c r="B131" s="105">
        <v>190109</v>
      </c>
      <c r="C131" s="105">
        <v>162062</v>
      </c>
      <c r="D131" s="104" t="s">
        <v>230</v>
      </c>
      <c r="E131" s="104" t="s">
        <v>226</v>
      </c>
      <c r="F131" s="104" t="s">
        <v>231</v>
      </c>
      <c r="G131" s="104" t="s">
        <v>196</v>
      </c>
      <c r="H131" s="105" t="s">
        <v>163</v>
      </c>
      <c r="I131" s="105" t="s">
        <v>228</v>
      </c>
      <c r="J131" s="104" t="s">
        <v>215</v>
      </c>
      <c r="K131" s="106">
        <v>46043</v>
      </c>
      <c r="L131" s="104" t="s">
        <v>12</v>
      </c>
      <c r="M131" s="105">
        <v>58</v>
      </c>
      <c r="N131" s="104" t="s">
        <v>166</v>
      </c>
      <c r="O131" s="105">
        <v>190109</v>
      </c>
      <c r="P131" t="str">
        <f>VLOOKUP(VALUE(C131),Class20251!D:G,4,0)</f>
        <v>Nguyễn Đức Tiến</v>
      </c>
    </row>
    <row r="132" spans="1:16" ht="16.5">
      <c r="A132" s="126" t="s">
        <v>362</v>
      </c>
      <c r="B132" s="105">
        <v>190111</v>
      </c>
      <c r="C132" s="105">
        <v>162063</v>
      </c>
      <c r="D132" s="104" t="s">
        <v>230</v>
      </c>
      <c r="E132" s="104" t="s">
        <v>226</v>
      </c>
      <c r="F132" s="104" t="s">
        <v>232</v>
      </c>
      <c r="G132" s="104" t="s">
        <v>196</v>
      </c>
      <c r="H132" s="105" t="s">
        <v>163</v>
      </c>
      <c r="I132" s="105" t="s">
        <v>228</v>
      </c>
      <c r="J132" s="104" t="s">
        <v>215</v>
      </c>
      <c r="K132" s="106">
        <v>46043</v>
      </c>
      <c r="L132" s="104" t="s">
        <v>11</v>
      </c>
      <c r="M132" s="105">
        <v>48</v>
      </c>
      <c r="N132" s="104" t="s">
        <v>166</v>
      </c>
      <c r="O132" s="105">
        <v>190111</v>
      </c>
      <c r="P132" t="str">
        <f>VLOOKUP(VALUE(C132),Class20251!D:G,4,0)</f>
        <v>Ngô Lam Trung</v>
      </c>
    </row>
    <row r="133" spans="1:16" ht="16.5">
      <c r="A133" s="126" t="s">
        <v>362</v>
      </c>
      <c r="B133" s="105">
        <v>190112</v>
      </c>
      <c r="C133" s="105">
        <v>162063</v>
      </c>
      <c r="D133" s="104" t="s">
        <v>230</v>
      </c>
      <c r="E133" s="104" t="s">
        <v>226</v>
      </c>
      <c r="F133" s="104" t="s">
        <v>232</v>
      </c>
      <c r="G133" s="104" t="s">
        <v>193</v>
      </c>
      <c r="H133" s="105" t="s">
        <v>163</v>
      </c>
      <c r="I133" s="105" t="s">
        <v>228</v>
      </c>
      <c r="J133" s="104" t="s">
        <v>215</v>
      </c>
      <c r="K133" s="106">
        <v>46043</v>
      </c>
      <c r="L133" s="104" t="s">
        <v>11</v>
      </c>
      <c r="M133" s="105">
        <v>49</v>
      </c>
      <c r="N133" s="104" t="s">
        <v>166</v>
      </c>
      <c r="O133" s="105">
        <v>190112</v>
      </c>
      <c r="P133" t="str">
        <f>VLOOKUP(VALUE(C133),Class20251!D:G,4,0)</f>
        <v>Ngô Lam Trung</v>
      </c>
    </row>
    <row r="134" spans="1:16" ht="16.5">
      <c r="A134" s="181" t="s">
        <v>362</v>
      </c>
      <c r="B134" s="177">
        <v>190113</v>
      </c>
      <c r="C134" s="177">
        <v>161591</v>
      </c>
      <c r="D134" s="176" t="s">
        <v>233</v>
      </c>
      <c r="E134" s="176" t="s">
        <v>226</v>
      </c>
      <c r="F134" s="176" t="s">
        <v>234</v>
      </c>
      <c r="G134" s="176" t="s">
        <v>169</v>
      </c>
      <c r="H134" s="177" t="s">
        <v>163</v>
      </c>
      <c r="I134" s="177" t="s">
        <v>228</v>
      </c>
      <c r="J134" s="176" t="s">
        <v>215</v>
      </c>
      <c r="K134" s="182">
        <v>46043</v>
      </c>
      <c r="L134" s="176" t="s">
        <v>15</v>
      </c>
      <c r="M134" s="177">
        <v>21</v>
      </c>
      <c r="N134" s="176" t="s">
        <v>166</v>
      </c>
      <c r="O134" s="177">
        <v>190113</v>
      </c>
      <c r="P134" t="str">
        <f>VLOOKUP(VALUE(C134),Class20251!D:G,4,0)</f>
        <v>Nguyễn Kim Khánh</v>
      </c>
    </row>
    <row r="135" spans="1:16" ht="16.5">
      <c r="A135" s="126" t="s">
        <v>362</v>
      </c>
      <c r="B135" s="105">
        <v>190127</v>
      </c>
      <c r="C135" s="105">
        <v>162266</v>
      </c>
      <c r="D135" s="104" t="s">
        <v>235</v>
      </c>
      <c r="E135" s="104" t="s">
        <v>236</v>
      </c>
      <c r="F135" s="104" t="s">
        <v>237</v>
      </c>
      <c r="G135" s="104" t="s">
        <v>193</v>
      </c>
      <c r="H135" s="105" t="s">
        <v>163</v>
      </c>
      <c r="I135" s="105" t="s">
        <v>194</v>
      </c>
      <c r="J135" s="104" t="s">
        <v>238</v>
      </c>
      <c r="K135" s="106">
        <v>46059</v>
      </c>
      <c r="L135" s="104" t="s">
        <v>12</v>
      </c>
      <c r="M135" s="105">
        <v>48</v>
      </c>
      <c r="N135" s="104" t="s">
        <v>166</v>
      </c>
      <c r="O135" s="105">
        <v>190127</v>
      </c>
      <c r="P135" t="str">
        <f>VLOOKUP(VALUE(C135),Class20251!D:G,4,0)</f>
        <v>Phạm Đăng Hải</v>
      </c>
    </row>
    <row r="136" spans="1:16" ht="16.5">
      <c r="A136" s="126" t="s">
        <v>362</v>
      </c>
      <c r="B136" s="105">
        <v>190125</v>
      </c>
      <c r="C136" s="105">
        <v>162266</v>
      </c>
      <c r="D136" s="104" t="s">
        <v>235</v>
      </c>
      <c r="E136" s="104" t="s">
        <v>236</v>
      </c>
      <c r="F136" s="104" t="s">
        <v>237</v>
      </c>
      <c r="G136" s="104" t="s">
        <v>196</v>
      </c>
      <c r="H136" s="105" t="s">
        <v>163</v>
      </c>
      <c r="I136" s="105" t="s">
        <v>194</v>
      </c>
      <c r="J136" s="104" t="s">
        <v>238</v>
      </c>
      <c r="K136" s="106">
        <v>46059</v>
      </c>
      <c r="L136" s="104" t="s">
        <v>12</v>
      </c>
      <c r="M136" s="105">
        <v>48</v>
      </c>
      <c r="N136" s="104" t="s">
        <v>166</v>
      </c>
      <c r="O136" s="105">
        <v>190125</v>
      </c>
      <c r="P136" t="str">
        <f>VLOOKUP(VALUE(C136),Class20251!D:G,4,0)</f>
        <v>Phạm Đăng Hải</v>
      </c>
    </row>
    <row r="137" spans="1:16" ht="16.5">
      <c r="A137" s="126" t="s">
        <v>362</v>
      </c>
      <c r="B137" s="105">
        <v>190126</v>
      </c>
      <c r="C137" s="105">
        <v>162266</v>
      </c>
      <c r="D137" s="104" t="s">
        <v>235</v>
      </c>
      <c r="E137" s="104" t="s">
        <v>236</v>
      </c>
      <c r="F137" s="104" t="s">
        <v>237</v>
      </c>
      <c r="G137" s="104" t="s">
        <v>197</v>
      </c>
      <c r="H137" s="105" t="s">
        <v>163</v>
      </c>
      <c r="I137" s="105" t="s">
        <v>194</v>
      </c>
      <c r="J137" s="104" t="s">
        <v>238</v>
      </c>
      <c r="K137" s="106">
        <v>46059</v>
      </c>
      <c r="L137" s="104" t="s">
        <v>12</v>
      </c>
      <c r="M137" s="105">
        <v>46</v>
      </c>
      <c r="N137" s="104" t="s">
        <v>166</v>
      </c>
      <c r="O137" s="105">
        <v>190126</v>
      </c>
      <c r="P137" t="str">
        <f>VLOOKUP(VALUE(C137),Class20251!D:G,4,0)</f>
        <v>Phạm Đăng Hải</v>
      </c>
    </row>
    <row r="138" spans="1:16" ht="16.5">
      <c r="A138" s="126" t="s">
        <v>362</v>
      </c>
      <c r="B138" s="105">
        <v>190147</v>
      </c>
      <c r="C138" s="105">
        <v>161855</v>
      </c>
      <c r="D138" s="104" t="s">
        <v>239</v>
      </c>
      <c r="E138" s="104" t="s">
        <v>240</v>
      </c>
      <c r="F138" s="104" t="s">
        <v>241</v>
      </c>
      <c r="G138" s="104" t="s">
        <v>196</v>
      </c>
      <c r="H138" s="105" t="s">
        <v>163</v>
      </c>
      <c r="I138" s="105" t="s">
        <v>164</v>
      </c>
      <c r="J138" s="104" t="s">
        <v>238</v>
      </c>
      <c r="K138" s="106">
        <v>46052</v>
      </c>
      <c r="L138" s="104" t="s">
        <v>13</v>
      </c>
      <c r="M138" s="105">
        <v>45</v>
      </c>
      <c r="N138" s="104" t="s">
        <v>166</v>
      </c>
      <c r="O138" s="105">
        <v>190147</v>
      </c>
      <c r="P138" t="str">
        <f>VLOOKUP(VALUE(C138),Class20251!D:G,4,0)</f>
        <v>Đinh Thị Hà Ly</v>
      </c>
    </row>
    <row r="139" spans="1:16" ht="16.5">
      <c r="A139" s="126" t="s">
        <v>362</v>
      </c>
      <c r="B139" s="105">
        <v>190148</v>
      </c>
      <c r="C139" s="105">
        <v>161855</v>
      </c>
      <c r="D139" s="104" t="s">
        <v>239</v>
      </c>
      <c r="E139" s="104" t="s">
        <v>240</v>
      </c>
      <c r="F139" s="104" t="s">
        <v>241</v>
      </c>
      <c r="G139" s="104" t="s">
        <v>193</v>
      </c>
      <c r="H139" s="105" t="s">
        <v>163</v>
      </c>
      <c r="I139" s="105" t="s">
        <v>164</v>
      </c>
      <c r="J139" s="104" t="s">
        <v>238</v>
      </c>
      <c r="K139" s="106">
        <v>46052</v>
      </c>
      <c r="L139" s="104" t="s">
        <v>13</v>
      </c>
      <c r="M139" s="105">
        <v>41</v>
      </c>
      <c r="N139" s="104" t="s">
        <v>166</v>
      </c>
      <c r="O139" s="105">
        <v>190148</v>
      </c>
      <c r="P139" t="str">
        <f>VLOOKUP(VALUE(C139),Class20251!D:G,4,0)</f>
        <v>Đinh Thị Hà Ly</v>
      </c>
    </row>
    <row r="140" spans="1:16" ht="16.5">
      <c r="A140" s="126" t="s">
        <v>362</v>
      </c>
      <c r="B140" s="105">
        <v>190149</v>
      </c>
      <c r="C140" s="105">
        <v>161856</v>
      </c>
      <c r="D140" s="104" t="s">
        <v>239</v>
      </c>
      <c r="E140" s="104" t="s">
        <v>240</v>
      </c>
      <c r="F140" s="104" t="s">
        <v>241</v>
      </c>
      <c r="G140" s="104" t="s">
        <v>169</v>
      </c>
      <c r="H140" s="105" t="s">
        <v>163</v>
      </c>
      <c r="I140" s="105" t="s">
        <v>164</v>
      </c>
      <c r="J140" s="104" t="s">
        <v>238</v>
      </c>
      <c r="K140" s="106">
        <v>46052</v>
      </c>
      <c r="L140" s="104" t="s">
        <v>13</v>
      </c>
      <c r="M140" s="105">
        <v>49</v>
      </c>
      <c r="N140" s="104" t="s">
        <v>166</v>
      </c>
      <c r="O140" s="105">
        <v>190149</v>
      </c>
      <c r="P140" t="str">
        <f>VLOOKUP(VALUE(C140),Class20251!D:G,4,0)</f>
        <v>Trương Thị Diệu Linh</v>
      </c>
    </row>
    <row r="141" spans="1:16" ht="16.5">
      <c r="A141" s="126" t="s">
        <v>362</v>
      </c>
      <c r="B141" s="105">
        <v>190159</v>
      </c>
      <c r="C141" s="105">
        <v>161553</v>
      </c>
      <c r="D141" s="104" t="s">
        <v>242</v>
      </c>
      <c r="E141" s="104" t="s">
        <v>243</v>
      </c>
      <c r="F141" s="104" t="s">
        <v>227</v>
      </c>
      <c r="G141" s="104" t="s">
        <v>169</v>
      </c>
      <c r="H141" s="105" t="s">
        <v>163</v>
      </c>
      <c r="I141" s="105" t="s">
        <v>164</v>
      </c>
      <c r="J141" s="104" t="s">
        <v>215</v>
      </c>
      <c r="K141" s="106">
        <v>46050</v>
      </c>
      <c r="L141" s="104" t="s">
        <v>11</v>
      </c>
      <c r="M141" s="105">
        <v>50</v>
      </c>
      <c r="N141" s="104" t="s">
        <v>166</v>
      </c>
      <c r="O141" s="105">
        <v>190159</v>
      </c>
      <c r="P141" t="str">
        <f>VLOOKUP(VALUE(C141),Class20251!D:G,4,0)</f>
        <v>Nguyễn Thị Thu Trang</v>
      </c>
    </row>
    <row r="142" spans="1:16" ht="16.5">
      <c r="A142" s="126" t="s">
        <v>362</v>
      </c>
      <c r="B142" s="105">
        <v>190161</v>
      </c>
      <c r="C142" s="105">
        <v>162252</v>
      </c>
      <c r="D142" s="104" t="s">
        <v>242</v>
      </c>
      <c r="E142" s="104" t="s">
        <v>243</v>
      </c>
      <c r="F142" s="104" t="s">
        <v>244</v>
      </c>
      <c r="G142" s="104" t="s">
        <v>196</v>
      </c>
      <c r="H142" s="105" t="s">
        <v>163</v>
      </c>
      <c r="I142" s="105" t="s">
        <v>164</v>
      </c>
      <c r="J142" s="104" t="s">
        <v>215</v>
      </c>
      <c r="K142" s="106">
        <v>46050</v>
      </c>
      <c r="L142" s="104" t="s">
        <v>11</v>
      </c>
      <c r="M142" s="105">
        <v>60</v>
      </c>
      <c r="N142" s="104" t="s">
        <v>166</v>
      </c>
      <c r="O142" s="105">
        <v>190161</v>
      </c>
      <c r="P142" t="str">
        <f>VLOOKUP(VALUE(C142),Class20251!D:G,4,0)</f>
        <v>Nguyễn Tiến Thành</v>
      </c>
    </row>
    <row r="143" spans="1:16" ht="16.5">
      <c r="A143" s="126" t="s">
        <v>362</v>
      </c>
      <c r="B143" s="105">
        <v>190160</v>
      </c>
      <c r="C143" s="105">
        <v>162252</v>
      </c>
      <c r="D143" s="104" t="s">
        <v>242</v>
      </c>
      <c r="E143" s="104" t="s">
        <v>243</v>
      </c>
      <c r="F143" s="104" t="s">
        <v>244</v>
      </c>
      <c r="G143" s="104" t="s">
        <v>193</v>
      </c>
      <c r="H143" s="105" t="s">
        <v>163</v>
      </c>
      <c r="I143" s="105" t="s">
        <v>164</v>
      </c>
      <c r="J143" s="104" t="s">
        <v>215</v>
      </c>
      <c r="K143" s="106">
        <v>46050</v>
      </c>
      <c r="L143" s="104" t="s">
        <v>11</v>
      </c>
      <c r="M143" s="105">
        <v>60</v>
      </c>
      <c r="N143" s="104" t="s">
        <v>166</v>
      </c>
      <c r="O143" s="105">
        <v>190160</v>
      </c>
      <c r="P143" t="str">
        <f>VLOOKUP(VALUE(C143),Class20251!D:G,4,0)</f>
        <v>Nguyễn Tiến Thành</v>
      </c>
    </row>
    <row r="144" spans="1:16" ht="16.5">
      <c r="A144" s="126" t="s">
        <v>362</v>
      </c>
      <c r="B144" s="105">
        <v>190163</v>
      </c>
      <c r="C144" s="105">
        <v>162253</v>
      </c>
      <c r="D144" s="104" t="s">
        <v>242</v>
      </c>
      <c r="E144" s="104" t="s">
        <v>243</v>
      </c>
      <c r="F144" s="104" t="s">
        <v>244</v>
      </c>
      <c r="G144" s="104" t="s">
        <v>193</v>
      </c>
      <c r="H144" s="105" t="s">
        <v>163</v>
      </c>
      <c r="I144" s="105" t="s">
        <v>164</v>
      </c>
      <c r="J144" s="104" t="s">
        <v>215</v>
      </c>
      <c r="K144" s="106">
        <v>46050</v>
      </c>
      <c r="L144" s="104" t="s">
        <v>11</v>
      </c>
      <c r="M144" s="105">
        <v>59</v>
      </c>
      <c r="N144" s="104" t="s">
        <v>166</v>
      </c>
      <c r="O144" s="105">
        <v>190163</v>
      </c>
      <c r="P144" t="str">
        <f>VLOOKUP(VALUE(C144),Class20251!D:G,4,0)</f>
        <v>Nguyễn Tuấn Dũng</v>
      </c>
    </row>
    <row r="145" spans="1:16" ht="16.5">
      <c r="A145" s="126" t="s">
        <v>362</v>
      </c>
      <c r="B145" s="105">
        <v>190162</v>
      </c>
      <c r="C145" s="105">
        <v>162253</v>
      </c>
      <c r="D145" s="104" t="s">
        <v>242</v>
      </c>
      <c r="E145" s="104" t="s">
        <v>243</v>
      </c>
      <c r="F145" s="104" t="s">
        <v>244</v>
      </c>
      <c r="G145" s="104" t="s">
        <v>196</v>
      </c>
      <c r="H145" s="105" t="s">
        <v>163</v>
      </c>
      <c r="I145" s="105" t="s">
        <v>164</v>
      </c>
      <c r="J145" s="104" t="s">
        <v>215</v>
      </c>
      <c r="K145" s="106">
        <v>46050</v>
      </c>
      <c r="L145" s="104" t="s">
        <v>11</v>
      </c>
      <c r="M145" s="105">
        <v>58</v>
      </c>
      <c r="N145" s="104" t="s">
        <v>166</v>
      </c>
      <c r="O145" s="105">
        <v>190162</v>
      </c>
      <c r="P145" t="str">
        <f>VLOOKUP(VALUE(C145),Class20251!D:G,4,0)</f>
        <v>Nguyễn Tuấn Dũng</v>
      </c>
    </row>
    <row r="146" spans="1:16" ht="16.5">
      <c r="A146" s="126" t="s">
        <v>362</v>
      </c>
      <c r="B146" s="105">
        <v>190165</v>
      </c>
      <c r="C146" s="105">
        <v>162254</v>
      </c>
      <c r="D146" s="104" t="s">
        <v>242</v>
      </c>
      <c r="E146" s="104" t="s">
        <v>243</v>
      </c>
      <c r="F146" s="104" t="s">
        <v>245</v>
      </c>
      <c r="G146" s="104" t="s">
        <v>193</v>
      </c>
      <c r="H146" s="105" t="s">
        <v>163</v>
      </c>
      <c r="I146" s="105" t="s">
        <v>164</v>
      </c>
      <c r="J146" s="104" t="s">
        <v>215</v>
      </c>
      <c r="K146" s="106">
        <v>46050</v>
      </c>
      <c r="L146" s="104" t="s">
        <v>12</v>
      </c>
      <c r="M146" s="105">
        <v>61</v>
      </c>
      <c r="N146" s="104" t="s">
        <v>166</v>
      </c>
      <c r="O146" s="105">
        <v>190165</v>
      </c>
      <c r="P146" t="str">
        <f>VLOOKUP(VALUE(C146),Class20251!D:G,4,0)</f>
        <v>Lê Hải Nam</v>
      </c>
    </row>
    <row r="147" spans="1:16" ht="16.5">
      <c r="A147" s="126" t="s">
        <v>362</v>
      </c>
      <c r="B147" s="105">
        <v>190164</v>
      </c>
      <c r="C147" s="105">
        <v>162254</v>
      </c>
      <c r="D147" s="104" t="s">
        <v>242</v>
      </c>
      <c r="E147" s="104" t="s">
        <v>243</v>
      </c>
      <c r="F147" s="104" t="s">
        <v>245</v>
      </c>
      <c r="G147" s="104" t="s">
        <v>196</v>
      </c>
      <c r="H147" s="105" t="s">
        <v>163</v>
      </c>
      <c r="I147" s="105" t="s">
        <v>164</v>
      </c>
      <c r="J147" s="104" t="s">
        <v>215</v>
      </c>
      <c r="K147" s="106">
        <v>46050</v>
      </c>
      <c r="L147" s="104" t="s">
        <v>12</v>
      </c>
      <c r="M147" s="105">
        <v>60</v>
      </c>
      <c r="N147" s="104" t="s">
        <v>166</v>
      </c>
      <c r="O147" s="105">
        <v>190164</v>
      </c>
      <c r="P147" t="str">
        <f>VLOOKUP(VALUE(C147),Class20251!D:G,4,0)</f>
        <v>Lê Hải Nam</v>
      </c>
    </row>
    <row r="148" spans="1:16" ht="16.5">
      <c r="A148" s="126" t="s">
        <v>362</v>
      </c>
      <c r="B148" s="105">
        <v>190166</v>
      </c>
      <c r="C148" s="105">
        <v>162264</v>
      </c>
      <c r="D148" s="104" t="s">
        <v>242</v>
      </c>
      <c r="E148" s="104" t="s">
        <v>243</v>
      </c>
      <c r="F148" s="104" t="s">
        <v>246</v>
      </c>
      <c r="G148" s="104" t="s">
        <v>196</v>
      </c>
      <c r="H148" s="105" t="s">
        <v>163</v>
      </c>
      <c r="I148" s="105" t="s">
        <v>164</v>
      </c>
      <c r="J148" s="104" t="s">
        <v>215</v>
      </c>
      <c r="K148" s="106">
        <v>46050</v>
      </c>
      <c r="L148" s="104" t="s">
        <v>12</v>
      </c>
      <c r="M148" s="105">
        <v>59</v>
      </c>
      <c r="N148" s="104" t="s">
        <v>166</v>
      </c>
      <c r="O148" s="105">
        <v>190166</v>
      </c>
      <c r="P148" t="str">
        <f>VLOOKUP(VALUE(C148),Class20251!D:G,4,0)</f>
        <v>Nguyễn Tiến Thành</v>
      </c>
    </row>
    <row r="149" spans="1:16" ht="16.5">
      <c r="A149" s="126" t="s">
        <v>362</v>
      </c>
      <c r="B149" s="105">
        <v>190167</v>
      </c>
      <c r="C149" s="105">
        <v>162264</v>
      </c>
      <c r="D149" s="104" t="s">
        <v>242</v>
      </c>
      <c r="E149" s="104" t="s">
        <v>243</v>
      </c>
      <c r="F149" s="104" t="s">
        <v>246</v>
      </c>
      <c r="G149" s="104" t="s">
        <v>193</v>
      </c>
      <c r="H149" s="105" t="s">
        <v>163</v>
      </c>
      <c r="I149" s="105" t="s">
        <v>164</v>
      </c>
      <c r="J149" s="104" t="s">
        <v>215</v>
      </c>
      <c r="K149" s="106">
        <v>46050</v>
      </c>
      <c r="L149" s="104" t="s">
        <v>12</v>
      </c>
      <c r="M149" s="105">
        <v>60</v>
      </c>
      <c r="N149" s="104" t="s">
        <v>166</v>
      </c>
      <c r="O149" s="105">
        <v>190167</v>
      </c>
      <c r="P149" t="str">
        <f>VLOOKUP(VALUE(C149),Class20251!D:G,4,0)</f>
        <v>Nguyễn Tiến Thành</v>
      </c>
    </row>
    <row r="150" spans="1:16" ht="16.5">
      <c r="A150" s="126" t="s">
        <v>362</v>
      </c>
      <c r="B150" s="105">
        <v>190169</v>
      </c>
      <c r="C150" s="105">
        <v>162265</v>
      </c>
      <c r="D150" s="104" t="s">
        <v>242</v>
      </c>
      <c r="E150" s="104" t="s">
        <v>243</v>
      </c>
      <c r="F150" s="104" t="s">
        <v>246</v>
      </c>
      <c r="G150" s="104" t="s">
        <v>193</v>
      </c>
      <c r="H150" s="105" t="s">
        <v>163</v>
      </c>
      <c r="I150" s="105" t="s">
        <v>164</v>
      </c>
      <c r="J150" s="104" t="s">
        <v>215</v>
      </c>
      <c r="K150" s="106">
        <v>46050</v>
      </c>
      <c r="L150" s="104" t="s">
        <v>12</v>
      </c>
      <c r="M150" s="105">
        <v>60</v>
      </c>
      <c r="N150" s="104" t="s">
        <v>166</v>
      </c>
      <c r="O150" s="105">
        <v>190169</v>
      </c>
      <c r="P150" t="str">
        <f>VLOOKUP(VALUE(C150),Class20251!D:G,4,0)</f>
        <v>Nguyễn Tuấn Dũng</v>
      </c>
    </row>
    <row r="151" spans="1:16" ht="16.5">
      <c r="A151" s="126" t="s">
        <v>362</v>
      </c>
      <c r="B151" s="105">
        <v>190168</v>
      </c>
      <c r="C151" s="105">
        <v>162265</v>
      </c>
      <c r="D151" s="104" t="s">
        <v>242</v>
      </c>
      <c r="E151" s="104" t="s">
        <v>243</v>
      </c>
      <c r="F151" s="104" t="s">
        <v>246</v>
      </c>
      <c r="G151" s="104" t="s">
        <v>196</v>
      </c>
      <c r="H151" s="105" t="s">
        <v>163</v>
      </c>
      <c r="I151" s="105" t="s">
        <v>164</v>
      </c>
      <c r="J151" s="104" t="s">
        <v>215</v>
      </c>
      <c r="K151" s="106">
        <v>46050</v>
      </c>
      <c r="L151" s="104" t="s">
        <v>12</v>
      </c>
      <c r="M151" s="105">
        <v>59</v>
      </c>
      <c r="N151" s="104" t="s">
        <v>166</v>
      </c>
      <c r="O151" s="105">
        <v>190168</v>
      </c>
      <c r="P151" t="str">
        <f>VLOOKUP(VALUE(C151),Class20251!D:G,4,0)</f>
        <v>Nguyễn Tuấn Dũng</v>
      </c>
    </row>
    <row r="152" spans="1:16" ht="16.5">
      <c r="A152" s="126" t="s">
        <v>362</v>
      </c>
      <c r="B152" s="105">
        <v>190172</v>
      </c>
      <c r="C152" s="105">
        <v>162060</v>
      </c>
      <c r="D152" s="104" t="s">
        <v>247</v>
      </c>
      <c r="E152" s="104" t="s">
        <v>248</v>
      </c>
      <c r="F152" s="104" t="s">
        <v>231</v>
      </c>
      <c r="G152" s="104" t="s">
        <v>193</v>
      </c>
      <c r="H152" s="105" t="s">
        <v>163</v>
      </c>
      <c r="I152" s="105" t="s">
        <v>194</v>
      </c>
      <c r="J152" s="104" t="s">
        <v>238</v>
      </c>
      <c r="K152" s="106">
        <v>46059</v>
      </c>
      <c r="L152" s="104" t="s">
        <v>12</v>
      </c>
      <c r="M152" s="105">
        <v>50</v>
      </c>
      <c r="N152" s="104" t="s">
        <v>166</v>
      </c>
      <c r="O152" s="105">
        <v>190172</v>
      </c>
      <c r="P152" t="str">
        <f>VLOOKUP(VALUE(C152),Class20251!D:G,4,0)</f>
        <v>Nguyễn Thị Thu Trang</v>
      </c>
    </row>
    <row r="153" spans="1:16" ht="16.5">
      <c r="A153" s="126" t="s">
        <v>362</v>
      </c>
      <c r="B153" s="105">
        <v>190171</v>
      </c>
      <c r="C153" s="105">
        <v>162060</v>
      </c>
      <c r="D153" s="104" t="s">
        <v>247</v>
      </c>
      <c r="E153" s="104" t="s">
        <v>248</v>
      </c>
      <c r="F153" s="104" t="s">
        <v>231</v>
      </c>
      <c r="G153" s="104" t="s">
        <v>196</v>
      </c>
      <c r="H153" s="105" t="s">
        <v>163</v>
      </c>
      <c r="I153" s="105" t="s">
        <v>194</v>
      </c>
      <c r="J153" s="104" t="s">
        <v>238</v>
      </c>
      <c r="K153" s="106">
        <v>46059</v>
      </c>
      <c r="L153" s="104" t="s">
        <v>12</v>
      </c>
      <c r="M153" s="105">
        <v>50</v>
      </c>
      <c r="N153" s="104" t="s">
        <v>166</v>
      </c>
      <c r="O153" s="105">
        <v>190171</v>
      </c>
      <c r="P153" t="str">
        <f>VLOOKUP(VALUE(C153),Class20251!D:G,4,0)</f>
        <v>Nguyễn Thị Thu Trang</v>
      </c>
    </row>
    <row r="154" spans="1:16" ht="16.5">
      <c r="A154" s="126" t="s">
        <v>362</v>
      </c>
      <c r="B154" s="105">
        <v>190173</v>
      </c>
      <c r="C154" s="105">
        <v>162061</v>
      </c>
      <c r="D154" s="104" t="s">
        <v>247</v>
      </c>
      <c r="E154" s="104" t="s">
        <v>248</v>
      </c>
      <c r="F154" s="104" t="s">
        <v>232</v>
      </c>
      <c r="G154" s="104" t="s">
        <v>193</v>
      </c>
      <c r="H154" s="105" t="s">
        <v>163</v>
      </c>
      <c r="I154" s="105" t="s">
        <v>194</v>
      </c>
      <c r="J154" s="104" t="s">
        <v>238</v>
      </c>
      <c r="K154" s="106">
        <v>46059</v>
      </c>
      <c r="L154" s="104" t="s">
        <v>12</v>
      </c>
      <c r="M154" s="105">
        <v>50</v>
      </c>
      <c r="N154" s="104" t="s">
        <v>166</v>
      </c>
      <c r="O154" s="105">
        <v>190173</v>
      </c>
      <c r="P154" t="str">
        <f>VLOOKUP(VALUE(C154),Class20251!D:G,4,0)</f>
        <v>Trịnh Tuấn Đạt</v>
      </c>
    </row>
    <row r="155" spans="1:16" ht="16.5">
      <c r="A155" s="126" t="s">
        <v>362</v>
      </c>
      <c r="B155" s="105">
        <v>190174</v>
      </c>
      <c r="C155" s="105">
        <v>162061</v>
      </c>
      <c r="D155" s="104" t="s">
        <v>247</v>
      </c>
      <c r="E155" s="104" t="s">
        <v>248</v>
      </c>
      <c r="F155" s="104" t="s">
        <v>232</v>
      </c>
      <c r="G155" s="104" t="s">
        <v>196</v>
      </c>
      <c r="H155" s="105" t="s">
        <v>163</v>
      </c>
      <c r="I155" s="105" t="s">
        <v>194</v>
      </c>
      <c r="J155" s="104" t="s">
        <v>238</v>
      </c>
      <c r="K155" s="106">
        <v>46059</v>
      </c>
      <c r="L155" s="104" t="s">
        <v>12</v>
      </c>
      <c r="M155" s="105">
        <v>50</v>
      </c>
      <c r="N155" s="104" t="s">
        <v>166</v>
      </c>
      <c r="O155" s="105">
        <v>190174</v>
      </c>
      <c r="P155" t="str">
        <f>VLOOKUP(VALUE(C155),Class20251!D:G,4,0)</f>
        <v>Trịnh Tuấn Đạt</v>
      </c>
    </row>
    <row r="156" spans="1:16" ht="16.5">
      <c r="A156" s="126" t="s">
        <v>362</v>
      </c>
      <c r="B156" s="105">
        <v>190175</v>
      </c>
      <c r="C156" s="105">
        <v>165690</v>
      </c>
      <c r="D156" s="104" t="s">
        <v>249</v>
      </c>
      <c r="E156" s="104" t="s">
        <v>250</v>
      </c>
      <c r="F156" s="104" t="s">
        <v>251</v>
      </c>
      <c r="G156" s="104" t="s">
        <v>169</v>
      </c>
      <c r="H156" s="105" t="s">
        <v>163</v>
      </c>
      <c r="I156" s="105" t="s">
        <v>164</v>
      </c>
      <c r="J156" s="104" t="s">
        <v>238</v>
      </c>
      <c r="K156" s="106">
        <v>46052</v>
      </c>
      <c r="L156" s="104" t="s">
        <v>11</v>
      </c>
      <c r="M156" s="105">
        <v>46</v>
      </c>
      <c r="N156" s="104" t="s">
        <v>166</v>
      </c>
      <c r="O156" s="105">
        <v>190175</v>
      </c>
      <c r="P156" t="str">
        <f>VLOOKUP(VALUE(C156),Class20251!D:G,4,0)</f>
        <v>Nguyễn Bá Ngọc</v>
      </c>
    </row>
    <row r="157" spans="1:16" ht="16.5">
      <c r="A157" s="126" t="s">
        <v>362</v>
      </c>
      <c r="B157" s="105">
        <v>190176</v>
      </c>
      <c r="C157" s="105">
        <v>161701</v>
      </c>
      <c r="D157" s="104" t="s">
        <v>70</v>
      </c>
      <c r="E157" s="104" t="s">
        <v>252</v>
      </c>
      <c r="F157" s="104" t="s">
        <v>253</v>
      </c>
      <c r="G157" s="104" t="s">
        <v>196</v>
      </c>
      <c r="H157" s="105" t="s">
        <v>163</v>
      </c>
      <c r="I157" s="105" t="s">
        <v>228</v>
      </c>
      <c r="J157" s="104" t="s">
        <v>238</v>
      </c>
      <c r="K157" s="106">
        <v>46045</v>
      </c>
      <c r="L157" s="104" t="s">
        <v>11</v>
      </c>
      <c r="M157" s="105">
        <v>44</v>
      </c>
      <c r="N157" s="104" t="s">
        <v>166</v>
      </c>
      <c r="O157" s="105">
        <v>190176</v>
      </c>
      <c r="P157" t="str">
        <f>VLOOKUP(VALUE(C157),Class20251!D:G,4,0)</f>
        <v>Nguyễn Đức Anh</v>
      </c>
    </row>
    <row r="158" spans="1:16" ht="16.5">
      <c r="A158" s="126" t="s">
        <v>362</v>
      </c>
      <c r="B158" s="105">
        <v>190177</v>
      </c>
      <c r="C158" s="105">
        <v>161701</v>
      </c>
      <c r="D158" s="104" t="s">
        <v>70</v>
      </c>
      <c r="E158" s="104" t="s">
        <v>252</v>
      </c>
      <c r="F158" s="104" t="s">
        <v>253</v>
      </c>
      <c r="G158" s="104" t="s">
        <v>193</v>
      </c>
      <c r="H158" s="105" t="s">
        <v>163</v>
      </c>
      <c r="I158" s="105" t="s">
        <v>228</v>
      </c>
      <c r="J158" s="104" t="s">
        <v>238</v>
      </c>
      <c r="K158" s="106">
        <v>46045</v>
      </c>
      <c r="L158" s="104" t="s">
        <v>11</v>
      </c>
      <c r="M158" s="105">
        <v>45</v>
      </c>
      <c r="N158" s="104" t="s">
        <v>166</v>
      </c>
      <c r="O158" s="105">
        <v>190177</v>
      </c>
      <c r="P158" t="str">
        <f>VLOOKUP(VALUE(C158),Class20251!D:G,4,0)</f>
        <v>Nguyễn Đức Anh</v>
      </c>
    </row>
    <row r="159" spans="1:16" ht="16.5">
      <c r="A159" s="126" t="s">
        <v>362</v>
      </c>
      <c r="B159" s="105">
        <v>190179</v>
      </c>
      <c r="C159" s="105">
        <v>161702</v>
      </c>
      <c r="D159" s="104" t="s">
        <v>70</v>
      </c>
      <c r="E159" s="104" t="s">
        <v>252</v>
      </c>
      <c r="F159" s="104" t="s">
        <v>253</v>
      </c>
      <c r="G159" s="104" t="s">
        <v>196</v>
      </c>
      <c r="H159" s="105" t="s">
        <v>163</v>
      </c>
      <c r="I159" s="105" t="s">
        <v>228</v>
      </c>
      <c r="J159" s="104" t="s">
        <v>238</v>
      </c>
      <c r="K159" s="106">
        <v>46045</v>
      </c>
      <c r="L159" s="104" t="s">
        <v>12</v>
      </c>
      <c r="M159" s="105">
        <v>41</v>
      </c>
      <c r="N159" s="104" t="s">
        <v>166</v>
      </c>
      <c r="O159" s="105">
        <v>190179</v>
      </c>
      <c r="P159" t="str">
        <f>VLOOKUP(VALUE(C159),Class20251!D:G,4,0)</f>
        <v>Nguyễn Đức Anh</v>
      </c>
    </row>
    <row r="160" spans="1:16" ht="16.5">
      <c r="A160" s="126" t="s">
        <v>362</v>
      </c>
      <c r="B160" s="105">
        <v>190178</v>
      </c>
      <c r="C160" s="105">
        <v>161702</v>
      </c>
      <c r="D160" s="104" t="s">
        <v>70</v>
      </c>
      <c r="E160" s="104" t="s">
        <v>252</v>
      </c>
      <c r="F160" s="104" t="s">
        <v>253</v>
      </c>
      <c r="G160" s="104" t="s">
        <v>193</v>
      </c>
      <c r="H160" s="105" t="s">
        <v>163</v>
      </c>
      <c r="I160" s="105" t="s">
        <v>228</v>
      </c>
      <c r="J160" s="104" t="s">
        <v>238</v>
      </c>
      <c r="K160" s="106">
        <v>46045</v>
      </c>
      <c r="L160" s="104" t="s">
        <v>12</v>
      </c>
      <c r="M160" s="105">
        <v>41</v>
      </c>
      <c r="N160" s="104" t="s">
        <v>166</v>
      </c>
      <c r="O160" s="105">
        <v>190178</v>
      </c>
      <c r="P160" t="str">
        <f>VLOOKUP(VALUE(C160),Class20251!D:G,4,0)</f>
        <v>Nguyễn Đức Anh</v>
      </c>
    </row>
    <row r="161" spans="1:16" ht="16.5">
      <c r="A161" s="126" t="s">
        <v>362</v>
      </c>
      <c r="B161" s="105">
        <v>190194</v>
      </c>
      <c r="C161" s="105">
        <v>161524</v>
      </c>
      <c r="D161" s="104" t="s">
        <v>254</v>
      </c>
      <c r="E161" s="104" t="s">
        <v>255</v>
      </c>
      <c r="F161" s="104" t="s">
        <v>256</v>
      </c>
      <c r="G161" s="104" t="s">
        <v>169</v>
      </c>
      <c r="H161" s="105" t="s">
        <v>163</v>
      </c>
      <c r="I161" s="105" t="s">
        <v>194</v>
      </c>
      <c r="J161" s="104" t="s">
        <v>165</v>
      </c>
      <c r="K161" s="106">
        <v>46055</v>
      </c>
      <c r="L161" s="104" t="s">
        <v>13</v>
      </c>
      <c r="M161" s="105">
        <v>42</v>
      </c>
      <c r="N161" s="104" t="s">
        <v>166</v>
      </c>
      <c r="O161" s="105">
        <v>190194</v>
      </c>
      <c r="P161" t="str">
        <f>VLOOKUP(VALUE(C161),Class20251!D:G,4,0)</f>
        <v>Lê Thanh Hương</v>
      </c>
    </row>
    <row r="162" spans="1:16" ht="16.5">
      <c r="A162" s="126" t="s">
        <v>362</v>
      </c>
      <c r="B162" s="105">
        <v>190195</v>
      </c>
      <c r="C162" s="105">
        <v>162278</v>
      </c>
      <c r="D162" s="104" t="s">
        <v>254</v>
      </c>
      <c r="E162" s="104" t="s">
        <v>255</v>
      </c>
      <c r="F162" s="104" t="s">
        <v>257</v>
      </c>
      <c r="G162" s="104" t="s">
        <v>193</v>
      </c>
      <c r="H162" s="105" t="s">
        <v>163</v>
      </c>
      <c r="I162" s="105" t="s">
        <v>194</v>
      </c>
      <c r="J162" s="104" t="s">
        <v>165</v>
      </c>
      <c r="K162" s="106">
        <v>46055</v>
      </c>
      <c r="L162" s="104" t="s">
        <v>13</v>
      </c>
      <c r="M162" s="105">
        <v>65</v>
      </c>
      <c r="N162" s="104" t="s">
        <v>166</v>
      </c>
      <c r="O162" s="105">
        <v>190195</v>
      </c>
      <c r="P162" t="str">
        <f>VLOOKUP(VALUE(C162),Class20251!D:G,4,0)</f>
        <v>Trần Đình Khang</v>
      </c>
    </row>
    <row r="163" spans="1:16" ht="16.5">
      <c r="A163" s="126" t="s">
        <v>362</v>
      </c>
      <c r="B163" s="105">
        <v>190196</v>
      </c>
      <c r="C163" s="105">
        <v>162278</v>
      </c>
      <c r="D163" s="104" t="s">
        <v>254</v>
      </c>
      <c r="E163" s="104" t="s">
        <v>255</v>
      </c>
      <c r="F163" s="104" t="s">
        <v>257</v>
      </c>
      <c r="G163" s="104" t="s">
        <v>196</v>
      </c>
      <c r="H163" s="105" t="s">
        <v>163</v>
      </c>
      <c r="I163" s="105" t="s">
        <v>194</v>
      </c>
      <c r="J163" s="104" t="s">
        <v>165</v>
      </c>
      <c r="K163" s="106">
        <v>46055</v>
      </c>
      <c r="L163" s="104" t="s">
        <v>13</v>
      </c>
      <c r="M163" s="105">
        <v>64</v>
      </c>
      <c r="N163" s="104" t="s">
        <v>166</v>
      </c>
      <c r="O163" s="105">
        <v>190196</v>
      </c>
      <c r="P163" t="str">
        <f>VLOOKUP(VALUE(C163),Class20251!D:G,4,0)</f>
        <v>Trần Đình Khang</v>
      </c>
    </row>
    <row r="164" spans="1:16" ht="16.5">
      <c r="A164" s="126" t="s">
        <v>362</v>
      </c>
      <c r="B164" s="105">
        <v>190198</v>
      </c>
      <c r="C164" s="105">
        <v>162279</v>
      </c>
      <c r="D164" s="104" t="s">
        <v>254</v>
      </c>
      <c r="E164" s="104" t="s">
        <v>255</v>
      </c>
      <c r="F164" s="104" t="s">
        <v>257</v>
      </c>
      <c r="G164" s="104" t="s">
        <v>193</v>
      </c>
      <c r="H164" s="105" t="s">
        <v>163</v>
      </c>
      <c r="I164" s="105" t="s">
        <v>194</v>
      </c>
      <c r="J164" s="104" t="s">
        <v>165</v>
      </c>
      <c r="K164" s="106">
        <v>46055</v>
      </c>
      <c r="L164" s="104" t="s">
        <v>13</v>
      </c>
      <c r="M164" s="105">
        <v>65</v>
      </c>
      <c r="N164" s="104" t="s">
        <v>166</v>
      </c>
      <c r="O164" s="105">
        <v>190198</v>
      </c>
      <c r="P164" t="str">
        <f>VLOOKUP(VALUE(C164),Class20251!D:G,4,0)</f>
        <v>Đỗ Tiến Dũng</v>
      </c>
    </row>
    <row r="165" spans="1:16" ht="16.5">
      <c r="A165" s="126" t="s">
        <v>362</v>
      </c>
      <c r="B165" s="105">
        <v>190197</v>
      </c>
      <c r="C165" s="105">
        <v>162279</v>
      </c>
      <c r="D165" s="104" t="s">
        <v>254</v>
      </c>
      <c r="E165" s="104" t="s">
        <v>255</v>
      </c>
      <c r="F165" s="104" t="s">
        <v>257</v>
      </c>
      <c r="G165" s="104" t="s">
        <v>196</v>
      </c>
      <c r="H165" s="105" t="s">
        <v>163</v>
      </c>
      <c r="I165" s="105" t="s">
        <v>194</v>
      </c>
      <c r="J165" s="104" t="s">
        <v>165</v>
      </c>
      <c r="K165" s="106">
        <v>46055</v>
      </c>
      <c r="L165" s="104" t="s">
        <v>13</v>
      </c>
      <c r="M165" s="105">
        <v>64</v>
      </c>
      <c r="N165" s="104" t="s">
        <v>166</v>
      </c>
      <c r="O165" s="105">
        <v>190197</v>
      </c>
      <c r="P165" t="str">
        <f>VLOOKUP(VALUE(C165),Class20251!D:G,4,0)</f>
        <v>Đỗ Tiến Dũng</v>
      </c>
    </row>
    <row r="166" spans="1:16" ht="16.5">
      <c r="A166" s="126" t="s">
        <v>362</v>
      </c>
      <c r="B166" s="105">
        <v>190200</v>
      </c>
      <c r="C166" s="105">
        <v>162064</v>
      </c>
      <c r="D166" s="104" t="s">
        <v>258</v>
      </c>
      <c r="E166" s="104" t="s">
        <v>259</v>
      </c>
      <c r="F166" s="104" t="s">
        <v>260</v>
      </c>
      <c r="G166" s="104" t="s">
        <v>193</v>
      </c>
      <c r="H166" s="105" t="s">
        <v>163</v>
      </c>
      <c r="I166" s="105" t="s">
        <v>164</v>
      </c>
      <c r="J166" s="104" t="s">
        <v>238</v>
      </c>
      <c r="K166" s="106">
        <v>46052</v>
      </c>
      <c r="L166" s="104" t="s">
        <v>12</v>
      </c>
      <c r="M166" s="105">
        <v>50</v>
      </c>
      <c r="N166" s="104" t="s">
        <v>166</v>
      </c>
      <c r="O166" s="105">
        <v>190200</v>
      </c>
      <c r="P166" t="str">
        <f>VLOOKUP(VALUE(C166),Class20251!D:G,4,0)</f>
        <v>Đàm Quang Tuấn</v>
      </c>
    </row>
    <row r="167" spans="1:16" ht="16.5">
      <c r="A167" s="126" t="s">
        <v>362</v>
      </c>
      <c r="B167" s="105">
        <v>190199</v>
      </c>
      <c r="C167" s="105">
        <v>162064</v>
      </c>
      <c r="D167" s="104" t="s">
        <v>258</v>
      </c>
      <c r="E167" s="104" t="s">
        <v>259</v>
      </c>
      <c r="F167" s="104" t="s">
        <v>260</v>
      </c>
      <c r="G167" s="104" t="s">
        <v>196</v>
      </c>
      <c r="H167" s="105" t="s">
        <v>163</v>
      </c>
      <c r="I167" s="105" t="s">
        <v>164</v>
      </c>
      <c r="J167" s="104" t="s">
        <v>238</v>
      </c>
      <c r="K167" s="106">
        <v>46052</v>
      </c>
      <c r="L167" s="104" t="s">
        <v>12</v>
      </c>
      <c r="M167" s="105">
        <v>50</v>
      </c>
      <c r="N167" s="104" t="s">
        <v>166</v>
      </c>
      <c r="O167" s="105">
        <v>190199</v>
      </c>
      <c r="P167" t="str">
        <f>VLOOKUP(VALUE(C167),Class20251!D:G,4,0)</f>
        <v>Đàm Quang Tuấn</v>
      </c>
    </row>
    <row r="168" spans="1:16" ht="16.5">
      <c r="A168" s="126" t="s">
        <v>362</v>
      </c>
      <c r="B168" s="105">
        <v>190202</v>
      </c>
      <c r="C168" s="105">
        <v>162065</v>
      </c>
      <c r="D168" s="104" t="s">
        <v>258</v>
      </c>
      <c r="E168" s="104" t="s">
        <v>259</v>
      </c>
      <c r="F168" s="104" t="s">
        <v>260</v>
      </c>
      <c r="G168" s="104" t="s">
        <v>196</v>
      </c>
      <c r="H168" s="105" t="s">
        <v>163</v>
      </c>
      <c r="I168" s="105" t="s">
        <v>164</v>
      </c>
      <c r="J168" s="104" t="s">
        <v>238</v>
      </c>
      <c r="K168" s="106">
        <v>46052</v>
      </c>
      <c r="L168" s="104" t="s">
        <v>12</v>
      </c>
      <c r="M168" s="105">
        <v>50</v>
      </c>
      <c r="N168" s="104" t="s">
        <v>166</v>
      </c>
      <c r="O168" s="105">
        <v>190202</v>
      </c>
      <c r="P168" t="str">
        <f>VLOOKUP(VALUE(C168),Class20251!D:G,4,0)</f>
        <v>Nguyễn Phi Lê</v>
      </c>
    </row>
    <row r="169" spans="1:16" ht="16.5">
      <c r="A169" s="126" t="s">
        <v>362</v>
      </c>
      <c r="B169" s="105">
        <v>190201</v>
      </c>
      <c r="C169" s="105">
        <v>162065</v>
      </c>
      <c r="D169" s="104" t="s">
        <v>258</v>
      </c>
      <c r="E169" s="104" t="s">
        <v>259</v>
      </c>
      <c r="F169" s="104" t="s">
        <v>260</v>
      </c>
      <c r="G169" s="104" t="s">
        <v>193</v>
      </c>
      <c r="H169" s="105" t="s">
        <v>163</v>
      </c>
      <c r="I169" s="105" t="s">
        <v>164</v>
      </c>
      <c r="J169" s="104" t="s">
        <v>238</v>
      </c>
      <c r="K169" s="106">
        <v>46052</v>
      </c>
      <c r="L169" s="104" t="s">
        <v>12</v>
      </c>
      <c r="M169" s="105">
        <v>47</v>
      </c>
      <c r="N169" s="104" t="s">
        <v>166</v>
      </c>
      <c r="O169" s="105">
        <v>190201</v>
      </c>
      <c r="P169" t="str">
        <f>VLOOKUP(VALUE(C169),Class20251!D:G,4,0)</f>
        <v>Nguyễn Phi Lê</v>
      </c>
    </row>
    <row r="170" spans="1:16" ht="16.5">
      <c r="A170" s="126" t="s">
        <v>362</v>
      </c>
      <c r="B170" s="105">
        <v>190209</v>
      </c>
      <c r="C170" s="105">
        <v>161523</v>
      </c>
      <c r="D170" s="104" t="s">
        <v>261</v>
      </c>
      <c r="E170" s="104" t="s">
        <v>262</v>
      </c>
      <c r="F170" s="104" t="s">
        <v>263</v>
      </c>
      <c r="G170" s="104" t="s">
        <v>169</v>
      </c>
      <c r="H170" s="105" t="s">
        <v>163</v>
      </c>
      <c r="I170" s="105" t="s">
        <v>164</v>
      </c>
      <c r="J170" s="104" t="s">
        <v>215</v>
      </c>
      <c r="K170" s="106">
        <v>46050</v>
      </c>
      <c r="L170" s="104" t="s">
        <v>14</v>
      </c>
      <c r="M170" s="105">
        <v>40</v>
      </c>
      <c r="N170" s="104" t="s">
        <v>166</v>
      </c>
      <c r="O170" s="105">
        <v>190209</v>
      </c>
      <c r="P170" t="str">
        <f>VLOOKUP(VALUE(C170),Class20251!D:G,4,0)</f>
        <v>Nguyễn Văn Sơn</v>
      </c>
    </row>
    <row r="171" spans="1:16" ht="16.5">
      <c r="A171" s="126" t="s">
        <v>362</v>
      </c>
      <c r="B171" s="105">
        <v>190211</v>
      </c>
      <c r="C171" s="105">
        <v>162274</v>
      </c>
      <c r="D171" s="104" t="s">
        <v>261</v>
      </c>
      <c r="E171" s="104" t="s">
        <v>262</v>
      </c>
      <c r="F171" s="104" t="s">
        <v>264</v>
      </c>
      <c r="G171" s="104" t="s">
        <v>196</v>
      </c>
      <c r="H171" s="105" t="s">
        <v>163</v>
      </c>
      <c r="I171" s="105" t="s">
        <v>164</v>
      </c>
      <c r="J171" s="104" t="s">
        <v>215</v>
      </c>
      <c r="K171" s="106">
        <v>46050</v>
      </c>
      <c r="L171" s="104" t="s">
        <v>13</v>
      </c>
      <c r="M171" s="105">
        <v>47</v>
      </c>
      <c r="N171" s="104" t="s">
        <v>166</v>
      </c>
      <c r="O171" s="105">
        <v>190211</v>
      </c>
      <c r="P171" t="str">
        <f>VLOOKUP(VALUE(C171),Class20251!D:G,4,0)</f>
        <v>Bùi Quốc Trung</v>
      </c>
    </row>
    <row r="172" spans="1:16" ht="16.5">
      <c r="A172" s="126" t="s">
        <v>362</v>
      </c>
      <c r="B172" s="105">
        <v>190212</v>
      </c>
      <c r="C172" s="105">
        <v>162274</v>
      </c>
      <c r="D172" s="104" t="s">
        <v>261</v>
      </c>
      <c r="E172" s="104" t="s">
        <v>262</v>
      </c>
      <c r="F172" s="104" t="s">
        <v>264</v>
      </c>
      <c r="G172" s="104" t="s">
        <v>193</v>
      </c>
      <c r="H172" s="105" t="s">
        <v>163</v>
      </c>
      <c r="I172" s="105" t="s">
        <v>164</v>
      </c>
      <c r="J172" s="104" t="s">
        <v>215</v>
      </c>
      <c r="K172" s="106">
        <v>46050</v>
      </c>
      <c r="L172" s="104" t="s">
        <v>13</v>
      </c>
      <c r="M172" s="105">
        <v>47</v>
      </c>
      <c r="N172" s="104" t="s">
        <v>166</v>
      </c>
      <c r="O172" s="105">
        <v>190212</v>
      </c>
      <c r="P172" t="str">
        <f>VLOOKUP(VALUE(C172),Class20251!D:G,4,0)</f>
        <v>Bùi Quốc Trung</v>
      </c>
    </row>
    <row r="173" spans="1:16" ht="16.5">
      <c r="A173" s="126" t="s">
        <v>362</v>
      </c>
      <c r="B173" s="105">
        <v>190210</v>
      </c>
      <c r="C173" s="105">
        <v>162274</v>
      </c>
      <c r="D173" s="104" t="s">
        <v>261</v>
      </c>
      <c r="E173" s="104" t="s">
        <v>262</v>
      </c>
      <c r="F173" s="104" t="s">
        <v>264</v>
      </c>
      <c r="G173" s="104" t="s">
        <v>197</v>
      </c>
      <c r="H173" s="105" t="s">
        <v>163</v>
      </c>
      <c r="I173" s="105" t="s">
        <v>164</v>
      </c>
      <c r="J173" s="104" t="s">
        <v>215</v>
      </c>
      <c r="K173" s="106">
        <v>46050</v>
      </c>
      <c r="L173" s="104" t="s">
        <v>13</v>
      </c>
      <c r="M173" s="105">
        <v>46</v>
      </c>
      <c r="N173" s="104" t="s">
        <v>166</v>
      </c>
      <c r="O173" s="105">
        <v>190210</v>
      </c>
      <c r="P173" t="str">
        <f>VLOOKUP(VALUE(C173),Class20251!D:G,4,0)</f>
        <v>Bùi Quốc Trung</v>
      </c>
    </row>
    <row r="174" spans="1:16" ht="16.5">
      <c r="A174" s="126" t="s">
        <v>362</v>
      </c>
      <c r="B174" s="105">
        <v>190213</v>
      </c>
      <c r="C174" s="105">
        <v>162275</v>
      </c>
      <c r="D174" s="104" t="s">
        <v>261</v>
      </c>
      <c r="E174" s="104" t="s">
        <v>262</v>
      </c>
      <c r="F174" s="104" t="s">
        <v>265</v>
      </c>
      <c r="G174" s="104" t="s">
        <v>193</v>
      </c>
      <c r="H174" s="105" t="s">
        <v>163</v>
      </c>
      <c r="I174" s="105" t="s">
        <v>164</v>
      </c>
      <c r="J174" s="104" t="s">
        <v>215</v>
      </c>
      <c r="K174" s="106">
        <v>46050</v>
      </c>
      <c r="L174" s="104" t="s">
        <v>13</v>
      </c>
      <c r="M174" s="105">
        <v>53</v>
      </c>
      <c r="N174" s="104" t="s">
        <v>166</v>
      </c>
      <c r="O174" s="105">
        <v>190213</v>
      </c>
      <c r="P174" t="str">
        <f>VLOOKUP(VALUE(C174),Class20251!D:G,4,0)</f>
        <v>Nguyễn Văn Sơn</v>
      </c>
    </row>
    <row r="175" spans="1:16" ht="16.5">
      <c r="A175" s="126" t="s">
        <v>362</v>
      </c>
      <c r="B175" s="105">
        <v>190214</v>
      </c>
      <c r="C175" s="105">
        <v>162275</v>
      </c>
      <c r="D175" s="104" t="s">
        <v>261</v>
      </c>
      <c r="E175" s="104" t="s">
        <v>262</v>
      </c>
      <c r="F175" s="104" t="s">
        <v>265</v>
      </c>
      <c r="G175" s="104" t="s">
        <v>196</v>
      </c>
      <c r="H175" s="105" t="s">
        <v>163</v>
      </c>
      <c r="I175" s="105" t="s">
        <v>164</v>
      </c>
      <c r="J175" s="104" t="s">
        <v>215</v>
      </c>
      <c r="K175" s="106">
        <v>46050</v>
      </c>
      <c r="L175" s="104" t="s">
        <v>13</v>
      </c>
      <c r="M175" s="105">
        <v>52</v>
      </c>
      <c r="N175" s="104" t="s">
        <v>166</v>
      </c>
      <c r="O175" s="105">
        <v>190214</v>
      </c>
      <c r="P175" t="str">
        <f>VLOOKUP(VALUE(C175),Class20251!D:G,4,0)</f>
        <v>Nguyễn Văn Sơn</v>
      </c>
    </row>
    <row r="176" spans="1:16" ht="16.5">
      <c r="A176" s="126" t="s">
        <v>362</v>
      </c>
      <c r="B176" s="105">
        <v>190215</v>
      </c>
      <c r="C176" s="105">
        <v>162276</v>
      </c>
      <c r="D176" s="104" t="s">
        <v>261</v>
      </c>
      <c r="E176" s="104" t="s">
        <v>262</v>
      </c>
      <c r="F176" s="104" t="s">
        <v>265</v>
      </c>
      <c r="G176" s="104" t="s">
        <v>196</v>
      </c>
      <c r="H176" s="105" t="s">
        <v>163</v>
      </c>
      <c r="I176" s="105" t="s">
        <v>164</v>
      </c>
      <c r="J176" s="104" t="s">
        <v>215</v>
      </c>
      <c r="K176" s="106">
        <v>46050</v>
      </c>
      <c r="L176" s="104" t="s">
        <v>13</v>
      </c>
      <c r="M176" s="105">
        <v>68</v>
      </c>
      <c r="N176" s="104" t="s">
        <v>166</v>
      </c>
      <c r="O176" s="105">
        <v>190215</v>
      </c>
      <c r="P176" t="str">
        <f>VLOOKUP(VALUE(C176),Class20251!D:G,4,0)</f>
        <v>Nguyễn Đức Anh</v>
      </c>
    </row>
    <row r="177" spans="1:16" ht="16.5">
      <c r="A177" s="126" t="s">
        <v>362</v>
      </c>
      <c r="B177" s="105">
        <v>190216</v>
      </c>
      <c r="C177" s="105">
        <v>162276</v>
      </c>
      <c r="D177" s="104" t="s">
        <v>261</v>
      </c>
      <c r="E177" s="104" t="s">
        <v>262</v>
      </c>
      <c r="F177" s="104" t="s">
        <v>265</v>
      </c>
      <c r="G177" s="104" t="s">
        <v>193</v>
      </c>
      <c r="H177" s="105" t="s">
        <v>163</v>
      </c>
      <c r="I177" s="105" t="s">
        <v>164</v>
      </c>
      <c r="J177" s="104" t="s">
        <v>215</v>
      </c>
      <c r="K177" s="106">
        <v>46050</v>
      </c>
      <c r="L177" s="104" t="s">
        <v>13</v>
      </c>
      <c r="M177" s="105">
        <v>68</v>
      </c>
      <c r="N177" s="104" t="s">
        <v>166</v>
      </c>
      <c r="O177" s="105">
        <v>190216</v>
      </c>
      <c r="P177" t="str">
        <f>VLOOKUP(VALUE(C177),Class20251!D:G,4,0)</f>
        <v>Nguyễn Đức Anh</v>
      </c>
    </row>
    <row r="178" spans="1:16" ht="16.5">
      <c r="A178" s="126" t="s">
        <v>362</v>
      </c>
      <c r="B178" s="105">
        <v>190219</v>
      </c>
      <c r="C178" s="105">
        <v>162277</v>
      </c>
      <c r="D178" s="104" t="s">
        <v>261</v>
      </c>
      <c r="E178" s="104" t="s">
        <v>262</v>
      </c>
      <c r="F178" s="104" t="s">
        <v>265</v>
      </c>
      <c r="G178" s="104" t="s">
        <v>193</v>
      </c>
      <c r="H178" s="105" t="s">
        <v>163</v>
      </c>
      <c r="I178" s="105" t="s">
        <v>164</v>
      </c>
      <c r="J178" s="104" t="s">
        <v>215</v>
      </c>
      <c r="K178" s="106">
        <v>46050</v>
      </c>
      <c r="L178" s="104" t="s">
        <v>14</v>
      </c>
      <c r="M178" s="105">
        <v>47</v>
      </c>
      <c r="N178" s="104" t="s">
        <v>166</v>
      </c>
      <c r="O178" s="105">
        <v>190219</v>
      </c>
      <c r="P178" t="str">
        <f>VLOOKUP(VALUE(C178),Class20251!D:G,4,0)</f>
        <v>Bùi Quốc Trung</v>
      </c>
    </row>
    <row r="179" spans="1:16" ht="16.5">
      <c r="A179" s="126" t="s">
        <v>362</v>
      </c>
      <c r="B179" s="105">
        <v>190217</v>
      </c>
      <c r="C179" s="105">
        <v>162277</v>
      </c>
      <c r="D179" s="104" t="s">
        <v>261</v>
      </c>
      <c r="E179" s="104" t="s">
        <v>262</v>
      </c>
      <c r="F179" s="104" t="s">
        <v>265</v>
      </c>
      <c r="G179" s="104" t="s">
        <v>196</v>
      </c>
      <c r="H179" s="105" t="s">
        <v>163</v>
      </c>
      <c r="I179" s="105" t="s">
        <v>164</v>
      </c>
      <c r="J179" s="104" t="s">
        <v>215</v>
      </c>
      <c r="K179" s="106">
        <v>46050</v>
      </c>
      <c r="L179" s="104" t="s">
        <v>14</v>
      </c>
      <c r="M179" s="105">
        <v>47</v>
      </c>
      <c r="N179" s="104" t="s">
        <v>166</v>
      </c>
      <c r="O179" s="105">
        <v>190217</v>
      </c>
      <c r="P179" t="str">
        <f>VLOOKUP(VALUE(C179),Class20251!D:G,4,0)</f>
        <v>Bùi Quốc Trung</v>
      </c>
    </row>
    <row r="180" spans="1:16" ht="16.5">
      <c r="A180" s="126" t="s">
        <v>362</v>
      </c>
      <c r="B180" s="105">
        <v>190218</v>
      </c>
      <c r="C180" s="105">
        <v>162277</v>
      </c>
      <c r="D180" s="104" t="s">
        <v>261</v>
      </c>
      <c r="E180" s="104" t="s">
        <v>262</v>
      </c>
      <c r="F180" s="104" t="s">
        <v>265</v>
      </c>
      <c r="G180" s="104" t="s">
        <v>197</v>
      </c>
      <c r="H180" s="105" t="s">
        <v>163</v>
      </c>
      <c r="I180" s="105" t="s">
        <v>164</v>
      </c>
      <c r="J180" s="104" t="s">
        <v>215</v>
      </c>
      <c r="K180" s="106">
        <v>46050</v>
      </c>
      <c r="L180" s="104" t="s">
        <v>14</v>
      </c>
      <c r="M180" s="105">
        <v>47</v>
      </c>
      <c r="N180" s="104" t="s">
        <v>166</v>
      </c>
      <c r="O180" s="105">
        <v>190218</v>
      </c>
      <c r="P180" t="str">
        <f>VLOOKUP(VALUE(C180),Class20251!D:G,4,0)</f>
        <v>Bùi Quốc Trung</v>
      </c>
    </row>
    <row r="181" spans="1:16" ht="16.5">
      <c r="A181" s="126" t="s">
        <v>362</v>
      </c>
      <c r="B181" s="105">
        <v>190224</v>
      </c>
      <c r="C181" s="105">
        <v>161626</v>
      </c>
      <c r="D181" s="104" t="s">
        <v>266</v>
      </c>
      <c r="E181" s="104" t="s">
        <v>267</v>
      </c>
      <c r="F181" s="104" t="s">
        <v>268</v>
      </c>
      <c r="G181" s="104" t="s">
        <v>169</v>
      </c>
      <c r="H181" s="105" t="s">
        <v>163</v>
      </c>
      <c r="I181" s="105" t="s">
        <v>228</v>
      </c>
      <c r="J181" s="104" t="s">
        <v>165</v>
      </c>
      <c r="K181" s="106">
        <v>46041</v>
      </c>
      <c r="L181" s="104" t="s">
        <v>15</v>
      </c>
      <c r="M181" s="105">
        <v>45</v>
      </c>
      <c r="N181" s="104" t="s">
        <v>166</v>
      </c>
      <c r="O181" s="105">
        <v>190224</v>
      </c>
      <c r="P181" t="str">
        <f>VLOOKUP(VALUE(C181),Class20251!D:G,4,0)</f>
        <v>Vũ Thị Hương Giang</v>
      </c>
    </row>
    <row r="182" spans="1:16" ht="16.5">
      <c r="A182" s="126" t="s">
        <v>362</v>
      </c>
      <c r="B182" s="105">
        <v>190226</v>
      </c>
      <c r="C182" s="105">
        <v>162271</v>
      </c>
      <c r="D182" s="104" t="s">
        <v>266</v>
      </c>
      <c r="E182" s="104" t="s">
        <v>267</v>
      </c>
      <c r="F182" s="104" t="s">
        <v>269</v>
      </c>
      <c r="G182" s="104" t="s">
        <v>193</v>
      </c>
      <c r="H182" s="105" t="s">
        <v>163</v>
      </c>
      <c r="I182" s="105" t="s">
        <v>228</v>
      </c>
      <c r="J182" s="104" t="s">
        <v>165</v>
      </c>
      <c r="K182" s="106">
        <v>46041</v>
      </c>
      <c r="L182" s="104" t="s">
        <v>15</v>
      </c>
      <c r="M182" s="105">
        <v>48</v>
      </c>
      <c r="N182" s="104" t="s">
        <v>166</v>
      </c>
      <c r="O182" s="105">
        <v>190226</v>
      </c>
      <c r="P182" t="str">
        <f>VLOOKUP(VALUE(C182),Class20251!D:G,4,0)</f>
        <v>Bùi Thị Mai Anh (0.0) - Trịnh Thành Trung (1.0)</v>
      </c>
    </row>
    <row r="183" spans="1:16" ht="16.5">
      <c r="A183" s="126" t="s">
        <v>362</v>
      </c>
      <c r="B183" s="105">
        <v>190225</v>
      </c>
      <c r="C183" s="105">
        <v>162271</v>
      </c>
      <c r="D183" s="104" t="s">
        <v>266</v>
      </c>
      <c r="E183" s="104" t="s">
        <v>267</v>
      </c>
      <c r="F183" s="104" t="s">
        <v>269</v>
      </c>
      <c r="G183" s="104" t="s">
        <v>196</v>
      </c>
      <c r="H183" s="105" t="s">
        <v>163</v>
      </c>
      <c r="I183" s="105" t="s">
        <v>228</v>
      </c>
      <c r="J183" s="104" t="s">
        <v>165</v>
      </c>
      <c r="K183" s="106">
        <v>46041</v>
      </c>
      <c r="L183" s="104" t="s">
        <v>15</v>
      </c>
      <c r="M183" s="105">
        <v>48</v>
      </c>
      <c r="N183" s="104" t="s">
        <v>166</v>
      </c>
      <c r="O183" s="105">
        <v>190225</v>
      </c>
      <c r="P183" t="str">
        <f>VLOOKUP(VALUE(C183),Class20251!D:G,4,0)</f>
        <v>Bùi Thị Mai Anh (0.0) - Trịnh Thành Trung (1.0)</v>
      </c>
    </row>
    <row r="184" spans="1:16" ht="16.5">
      <c r="A184" s="126" t="s">
        <v>362</v>
      </c>
      <c r="B184" s="105">
        <v>190227</v>
      </c>
      <c r="C184" s="105">
        <v>162271</v>
      </c>
      <c r="D184" s="104" t="s">
        <v>266</v>
      </c>
      <c r="E184" s="104" t="s">
        <v>267</v>
      </c>
      <c r="F184" s="104" t="s">
        <v>269</v>
      </c>
      <c r="G184" s="104" t="s">
        <v>197</v>
      </c>
      <c r="H184" s="105" t="s">
        <v>163</v>
      </c>
      <c r="I184" s="105" t="s">
        <v>228</v>
      </c>
      <c r="J184" s="104" t="s">
        <v>165</v>
      </c>
      <c r="K184" s="106">
        <v>46041</v>
      </c>
      <c r="L184" s="104" t="s">
        <v>15</v>
      </c>
      <c r="M184" s="105">
        <v>48</v>
      </c>
      <c r="N184" s="104" t="s">
        <v>166</v>
      </c>
      <c r="O184" s="105">
        <v>190227</v>
      </c>
      <c r="P184" t="str">
        <f>VLOOKUP(VALUE(C184),Class20251!D:G,4,0)</f>
        <v>Bùi Thị Mai Anh (0.0) - Trịnh Thành Trung (1.0)</v>
      </c>
    </row>
    <row r="185" spans="1:16" ht="16.5">
      <c r="A185" s="126" t="s">
        <v>362</v>
      </c>
      <c r="B185" s="105">
        <v>190228</v>
      </c>
      <c r="C185" s="105">
        <v>162272</v>
      </c>
      <c r="D185" s="104" t="s">
        <v>266</v>
      </c>
      <c r="E185" s="104" t="s">
        <v>267</v>
      </c>
      <c r="F185" s="104" t="s">
        <v>269</v>
      </c>
      <c r="G185" s="104" t="s">
        <v>193</v>
      </c>
      <c r="H185" s="105" t="s">
        <v>163</v>
      </c>
      <c r="I185" s="105" t="s">
        <v>228</v>
      </c>
      <c r="J185" s="104" t="s">
        <v>165</v>
      </c>
      <c r="K185" s="106">
        <v>46041</v>
      </c>
      <c r="L185" s="104" t="s">
        <v>15</v>
      </c>
      <c r="M185" s="105">
        <v>53</v>
      </c>
      <c r="N185" s="104" t="s">
        <v>166</v>
      </c>
      <c r="O185" s="105">
        <v>190228</v>
      </c>
      <c r="P185" t="str">
        <f>VLOOKUP(VALUE(C185),Class20251!D:G,4,0)</f>
        <v>Trần Nhật Hoá</v>
      </c>
    </row>
    <row r="186" spans="1:16" ht="16.5">
      <c r="A186" s="126" t="s">
        <v>362</v>
      </c>
      <c r="B186" s="105">
        <v>190230</v>
      </c>
      <c r="C186" s="105">
        <v>162272</v>
      </c>
      <c r="D186" s="104" t="s">
        <v>266</v>
      </c>
      <c r="E186" s="104" t="s">
        <v>267</v>
      </c>
      <c r="F186" s="104" t="s">
        <v>269</v>
      </c>
      <c r="G186" s="104" t="s">
        <v>196</v>
      </c>
      <c r="H186" s="105" t="s">
        <v>163</v>
      </c>
      <c r="I186" s="105" t="s">
        <v>228</v>
      </c>
      <c r="J186" s="104" t="s">
        <v>165</v>
      </c>
      <c r="K186" s="106">
        <v>46041</v>
      </c>
      <c r="L186" s="104" t="s">
        <v>15</v>
      </c>
      <c r="M186" s="105">
        <v>53</v>
      </c>
      <c r="N186" s="104" t="s">
        <v>166</v>
      </c>
      <c r="O186" s="105">
        <v>190230</v>
      </c>
      <c r="P186" t="str">
        <f>VLOOKUP(VALUE(C186),Class20251!D:G,4,0)</f>
        <v>Trần Nhật Hoá</v>
      </c>
    </row>
    <row r="187" spans="1:16" ht="16.5">
      <c r="A187" s="126" t="s">
        <v>362</v>
      </c>
      <c r="B187" s="105">
        <v>190229</v>
      </c>
      <c r="C187" s="105">
        <v>162272</v>
      </c>
      <c r="D187" s="104" t="s">
        <v>266</v>
      </c>
      <c r="E187" s="104" t="s">
        <v>267</v>
      </c>
      <c r="F187" s="104" t="s">
        <v>269</v>
      </c>
      <c r="G187" s="104" t="s">
        <v>197</v>
      </c>
      <c r="H187" s="105" t="s">
        <v>163</v>
      </c>
      <c r="I187" s="105" t="s">
        <v>228</v>
      </c>
      <c r="J187" s="104" t="s">
        <v>165</v>
      </c>
      <c r="K187" s="106">
        <v>46041</v>
      </c>
      <c r="L187" s="104" t="s">
        <v>15</v>
      </c>
      <c r="M187" s="105">
        <v>53</v>
      </c>
      <c r="N187" s="104" t="s">
        <v>166</v>
      </c>
      <c r="O187" s="105">
        <v>190229</v>
      </c>
      <c r="P187" t="str">
        <f>VLOOKUP(VALUE(C187),Class20251!D:G,4,0)</f>
        <v>Trần Nhật Hoá</v>
      </c>
    </row>
    <row r="188" spans="1:16" ht="16.5">
      <c r="A188" s="126" t="s">
        <v>362</v>
      </c>
      <c r="B188" s="105">
        <v>190233</v>
      </c>
      <c r="C188" s="105">
        <v>162273</v>
      </c>
      <c r="D188" s="104" t="s">
        <v>266</v>
      </c>
      <c r="E188" s="104" t="s">
        <v>267</v>
      </c>
      <c r="F188" s="104" t="s">
        <v>257</v>
      </c>
      <c r="G188" s="104" t="s">
        <v>193</v>
      </c>
      <c r="H188" s="105" t="s">
        <v>163</v>
      </c>
      <c r="I188" s="105" t="s">
        <v>228</v>
      </c>
      <c r="J188" s="104" t="s">
        <v>165</v>
      </c>
      <c r="K188" s="106">
        <v>46041</v>
      </c>
      <c r="L188" s="104" t="s">
        <v>14</v>
      </c>
      <c r="M188" s="105">
        <v>54</v>
      </c>
      <c r="N188" s="104" t="s">
        <v>166</v>
      </c>
      <c r="O188" s="105">
        <v>190233</v>
      </c>
      <c r="P188" t="str">
        <f>VLOOKUP(VALUE(C188),Class20251!D:G,4,0)</f>
        <v>Nguyễn Mạnh Tuấn</v>
      </c>
    </row>
    <row r="189" spans="1:16" ht="16.5">
      <c r="A189" s="126" t="s">
        <v>362</v>
      </c>
      <c r="B189" s="105">
        <v>190232</v>
      </c>
      <c r="C189" s="105">
        <v>162273</v>
      </c>
      <c r="D189" s="104" t="s">
        <v>266</v>
      </c>
      <c r="E189" s="104" t="s">
        <v>267</v>
      </c>
      <c r="F189" s="104" t="s">
        <v>257</v>
      </c>
      <c r="G189" s="104" t="s">
        <v>196</v>
      </c>
      <c r="H189" s="105" t="s">
        <v>163</v>
      </c>
      <c r="I189" s="105" t="s">
        <v>228</v>
      </c>
      <c r="J189" s="104" t="s">
        <v>165</v>
      </c>
      <c r="K189" s="106">
        <v>46041</v>
      </c>
      <c r="L189" s="104" t="s">
        <v>14</v>
      </c>
      <c r="M189" s="105">
        <v>53</v>
      </c>
      <c r="N189" s="104" t="s">
        <v>166</v>
      </c>
      <c r="O189" s="105">
        <v>190232</v>
      </c>
      <c r="P189" t="str">
        <f>VLOOKUP(VALUE(C189),Class20251!D:G,4,0)</f>
        <v>Nguyễn Mạnh Tuấn</v>
      </c>
    </row>
    <row r="190" spans="1:16" ht="16.5">
      <c r="A190" s="126" t="s">
        <v>362</v>
      </c>
      <c r="B190" s="105">
        <v>190231</v>
      </c>
      <c r="C190" s="105">
        <v>162273</v>
      </c>
      <c r="D190" s="104" t="s">
        <v>266</v>
      </c>
      <c r="E190" s="104" t="s">
        <v>267</v>
      </c>
      <c r="F190" s="104" t="s">
        <v>257</v>
      </c>
      <c r="G190" s="104" t="s">
        <v>197</v>
      </c>
      <c r="H190" s="105" t="s">
        <v>163</v>
      </c>
      <c r="I190" s="105" t="s">
        <v>228</v>
      </c>
      <c r="J190" s="104" t="s">
        <v>165</v>
      </c>
      <c r="K190" s="106">
        <v>46041</v>
      </c>
      <c r="L190" s="104" t="s">
        <v>14</v>
      </c>
      <c r="M190" s="105">
        <v>53</v>
      </c>
      <c r="N190" s="104" t="s">
        <v>166</v>
      </c>
      <c r="O190" s="105">
        <v>190231</v>
      </c>
      <c r="P190" t="str">
        <f>VLOOKUP(VALUE(C190),Class20251!D:G,4,0)</f>
        <v>Nguyễn Mạnh Tuấn</v>
      </c>
    </row>
    <row r="191" spans="1:16" ht="16.5">
      <c r="A191" s="126" t="s">
        <v>362</v>
      </c>
      <c r="B191" s="105">
        <v>190239</v>
      </c>
      <c r="C191" s="105">
        <v>162268</v>
      </c>
      <c r="D191" s="104" t="s">
        <v>272</v>
      </c>
      <c r="E191" s="104" t="s">
        <v>273</v>
      </c>
      <c r="F191" s="104" t="s">
        <v>274</v>
      </c>
      <c r="G191" s="104" t="s">
        <v>196</v>
      </c>
      <c r="H191" s="105" t="s">
        <v>163</v>
      </c>
      <c r="I191" s="105" t="s">
        <v>164</v>
      </c>
      <c r="J191" s="104" t="s">
        <v>165</v>
      </c>
      <c r="K191" s="106">
        <v>46048</v>
      </c>
      <c r="L191" s="104" t="s">
        <v>13</v>
      </c>
      <c r="M191" s="105">
        <v>46</v>
      </c>
      <c r="N191" s="104" t="s">
        <v>166</v>
      </c>
      <c r="O191" s="105">
        <v>190239</v>
      </c>
      <c r="P191" t="str">
        <f>VLOOKUP(VALUE(C191),Class20251!D:G,4,0)</f>
        <v>Phạm Văn Hải</v>
      </c>
    </row>
    <row r="192" spans="1:16" ht="16.5">
      <c r="A192" s="126" t="s">
        <v>362</v>
      </c>
      <c r="B192" s="105">
        <v>190238</v>
      </c>
      <c r="C192" s="105">
        <v>162268</v>
      </c>
      <c r="D192" s="104" t="s">
        <v>272</v>
      </c>
      <c r="E192" s="104" t="s">
        <v>273</v>
      </c>
      <c r="F192" s="104" t="s">
        <v>274</v>
      </c>
      <c r="G192" s="104" t="s">
        <v>193</v>
      </c>
      <c r="H192" s="105" t="s">
        <v>163</v>
      </c>
      <c r="I192" s="105" t="s">
        <v>164</v>
      </c>
      <c r="J192" s="104" t="s">
        <v>165</v>
      </c>
      <c r="K192" s="106">
        <v>46048</v>
      </c>
      <c r="L192" s="104" t="s">
        <v>13</v>
      </c>
      <c r="M192" s="105">
        <v>46</v>
      </c>
      <c r="N192" s="104" t="s">
        <v>166</v>
      </c>
      <c r="O192" s="105">
        <v>190238</v>
      </c>
      <c r="P192" t="str">
        <f>VLOOKUP(VALUE(C192),Class20251!D:G,4,0)</f>
        <v>Phạm Văn Hải</v>
      </c>
    </row>
    <row r="193" spans="1:16" ht="16.5">
      <c r="A193" s="126" t="s">
        <v>362</v>
      </c>
      <c r="B193" s="105">
        <v>190241</v>
      </c>
      <c r="C193" s="105">
        <v>162269</v>
      </c>
      <c r="D193" s="104" t="s">
        <v>272</v>
      </c>
      <c r="E193" s="104" t="s">
        <v>273</v>
      </c>
      <c r="F193" s="104" t="s">
        <v>274</v>
      </c>
      <c r="G193" s="104" t="s">
        <v>193</v>
      </c>
      <c r="H193" s="105" t="s">
        <v>163</v>
      </c>
      <c r="I193" s="105" t="s">
        <v>164</v>
      </c>
      <c r="J193" s="104" t="s">
        <v>165</v>
      </c>
      <c r="K193" s="106">
        <v>46048</v>
      </c>
      <c r="L193" s="104" t="s">
        <v>13</v>
      </c>
      <c r="M193" s="105">
        <v>50</v>
      </c>
      <c r="N193" s="104" t="s">
        <v>166</v>
      </c>
      <c r="O193" s="105">
        <v>190241</v>
      </c>
      <c r="P193" t="str">
        <f>VLOOKUP(VALUE(C193),Class20251!D:G,4,0)</f>
        <v>Nguyễn Kiêm Hiếu (0.5) - Lê Đức Hậu (0.5)</v>
      </c>
    </row>
    <row r="194" spans="1:16" ht="16.5">
      <c r="A194" s="126" t="s">
        <v>362</v>
      </c>
      <c r="B194" s="105">
        <v>190240</v>
      </c>
      <c r="C194" s="105">
        <v>162269</v>
      </c>
      <c r="D194" s="104" t="s">
        <v>272</v>
      </c>
      <c r="E194" s="104" t="s">
        <v>273</v>
      </c>
      <c r="F194" s="104" t="s">
        <v>274</v>
      </c>
      <c r="G194" s="104" t="s">
        <v>196</v>
      </c>
      <c r="H194" s="105" t="s">
        <v>163</v>
      </c>
      <c r="I194" s="105" t="s">
        <v>164</v>
      </c>
      <c r="J194" s="104" t="s">
        <v>165</v>
      </c>
      <c r="K194" s="106">
        <v>46048</v>
      </c>
      <c r="L194" s="104" t="s">
        <v>13</v>
      </c>
      <c r="M194" s="105">
        <v>49</v>
      </c>
      <c r="N194" s="104" t="s">
        <v>166</v>
      </c>
      <c r="O194" s="105">
        <v>190240</v>
      </c>
      <c r="P194" t="str">
        <f>VLOOKUP(VALUE(C194),Class20251!D:G,4,0)</f>
        <v>Nguyễn Kiêm Hiếu (0.5) - Lê Đức Hậu (0.5)</v>
      </c>
    </row>
    <row r="195" spans="1:16" ht="16.5">
      <c r="A195" s="126" t="s">
        <v>362</v>
      </c>
      <c r="B195" s="105">
        <v>190242</v>
      </c>
      <c r="C195" s="105">
        <v>164865</v>
      </c>
      <c r="D195" s="104" t="s">
        <v>272</v>
      </c>
      <c r="E195" s="104" t="s">
        <v>273</v>
      </c>
      <c r="F195" s="104" t="s">
        <v>275</v>
      </c>
      <c r="G195" s="104" t="s">
        <v>169</v>
      </c>
      <c r="H195" s="105" t="s">
        <v>163</v>
      </c>
      <c r="I195" s="105" t="s">
        <v>164</v>
      </c>
      <c r="J195" s="104" t="s">
        <v>165</v>
      </c>
      <c r="K195" s="106">
        <v>46048</v>
      </c>
      <c r="L195" s="104" t="s">
        <v>13</v>
      </c>
      <c r="M195" s="105">
        <v>25</v>
      </c>
      <c r="N195" s="104" t="s">
        <v>166</v>
      </c>
      <c r="O195" s="105">
        <v>190242</v>
      </c>
      <c r="P195" t="str">
        <f>VLOOKUP(VALUE(C195),Class20251!D:G,4,0)</f>
        <v>Đàm Quang Tuấn</v>
      </c>
    </row>
    <row r="196" spans="1:16" ht="16.5">
      <c r="A196" s="126" t="s">
        <v>362</v>
      </c>
      <c r="B196" s="105">
        <v>190272</v>
      </c>
      <c r="C196" s="105">
        <v>161861</v>
      </c>
      <c r="D196" s="104" t="s">
        <v>276</v>
      </c>
      <c r="E196" s="104" t="s">
        <v>277</v>
      </c>
      <c r="F196" s="104" t="s">
        <v>241</v>
      </c>
      <c r="G196" s="104" t="s">
        <v>169</v>
      </c>
      <c r="H196" s="105" t="s">
        <v>163</v>
      </c>
      <c r="I196" s="105" t="s">
        <v>194</v>
      </c>
      <c r="J196" s="104" t="s">
        <v>165</v>
      </c>
      <c r="K196" s="106">
        <v>46055</v>
      </c>
      <c r="L196" s="104" t="s">
        <v>11</v>
      </c>
      <c r="M196" s="105">
        <v>71</v>
      </c>
      <c r="N196" s="104" t="s">
        <v>166</v>
      </c>
      <c r="O196" s="105">
        <v>190272</v>
      </c>
      <c r="P196" t="str">
        <f>VLOOKUP(VALUE(C196),Class20251!D:G,4,0)</f>
        <v>Thân Quang Khoát</v>
      </c>
    </row>
    <row r="197" spans="1:16" ht="16.5">
      <c r="A197" s="126" t="s">
        <v>362</v>
      </c>
      <c r="B197" s="105">
        <v>190274</v>
      </c>
      <c r="C197" s="105">
        <v>161862</v>
      </c>
      <c r="D197" s="104" t="s">
        <v>276</v>
      </c>
      <c r="E197" s="104" t="s">
        <v>277</v>
      </c>
      <c r="F197" s="104" t="s">
        <v>241</v>
      </c>
      <c r="G197" s="104" t="s">
        <v>196</v>
      </c>
      <c r="H197" s="105" t="s">
        <v>163</v>
      </c>
      <c r="I197" s="105" t="s">
        <v>194</v>
      </c>
      <c r="J197" s="104" t="s">
        <v>165</v>
      </c>
      <c r="K197" s="106">
        <v>46055</v>
      </c>
      <c r="L197" s="104" t="s">
        <v>11</v>
      </c>
      <c r="M197" s="105">
        <v>40</v>
      </c>
      <c r="N197" s="104" t="s">
        <v>166</v>
      </c>
      <c r="O197" s="105">
        <v>190274</v>
      </c>
      <c r="P197" t="str">
        <f>VLOOKUP(VALUE(C197),Class20251!D:G,4,0)</f>
        <v>Đinh Viết Sang</v>
      </c>
    </row>
    <row r="198" spans="1:16" ht="16.5">
      <c r="A198" s="126" t="s">
        <v>362</v>
      </c>
      <c r="B198" s="105">
        <v>190273</v>
      </c>
      <c r="C198" s="105">
        <v>161862</v>
      </c>
      <c r="D198" s="104" t="s">
        <v>276</v>
      </c>
      <c r="E198" s="104" t="s">
        <v>277</v>
      </c>
      <c r="F198" s="104" t="s">
        <v>241</v>
      </c>
      <c r="G198" s="104" t="s">
        <v>193</v>
      </c>
      <c r="H198" s="105" t="s">
        <v>163</v>
      </c>
      <c r="I198" s="105" t="s">
        <v>194</v>
      </c>
      <c r="J198" s="104" t="s">
        <v>165</v>
      </c>
      <c r="K198" s="106">
        <v>46055</v>
      </c>
      <c r="L198" s="104" t="s">
        <v>11</v>
      </c>
      <c r="M198" s="105">
        <v>40</v>
      </c>
      <c r="N198" s="104" t="s">
        <v>166</v>
      </c>
      <c r="O198" s="105">
        <v>190273</v>
      </c>
      <c r="P198" t="str">
        <f>VLOOKUP(VALUE(C198),Class20251!D:G,4,0)</f>
        <v>Đinh Viết Sang</v>
      </c>
    </row>
    <row r="199" spans="1:16" ht="16.5">
      <c r="A199" s="126" t="s">
        <v>362</v>
      </c>
      <c r="B199" s="105">
        <v>190330</v>
      </c>
      <c r="C199" s="105">
        <v>161857</v>
      </c>
      <c r="D199" s="104" t="s">
        <v>279</v>
      </c>
      <c r="E199" s="104" t="s">
        <v>864</v>
      </c>
      <c r="F199" s="104" t="s">
        <v>241</v>
      </c>
      <c r="G199" s="104" t="s">
        <v>193</v>
      </c>
      <c r="H199" s="105" t="s">
        <v>163</v>
      </c>
      <c r="I199" s="105" t="s">
        <v>194</v>
      </c>
      <c r="J199" s="104" t="s">
        <v>238</v>
      </c>
      <c r="K199" s="106">
        <v>46059</v>
      </c>
      <c r="L199" s="104" t="s">
        <v>13</v>
      </c>
      <c r="M199" s="105">
        <v>47</v>
      </c>
      <c r="N199" s="104" t="s">
        <v>166</v>
      </c>
      <c r="O199" s="105">
        <v>190330</v>
      </c>
      <c r="P199" t="str">
        <f>VLOOKUP(VALUE(C199),Class20251!D:G,4,0)</f>
        <v>Trần Vĩnh Đức</v>
      </c>
    </row>
    <row r="200" spans="1:16" ht="16.5">
      <c r="A200" s="126" t="s">
        <v>362</v>
      </c>
      <c r="B200" s="105">
        <v>190331</v>
      </c>
      <c r="C200" s="105">
        <v>161857</v>
      </c>
      <c r="D200" s="104" t="s">
        <v>279</v>
      </c>
      <c r="E200" s="104" t="s">
        <v>864</v>
      </c>
      <c r="F200" s="104" t="s">
        <v>241</v>
      </c>
      <c r="G200" s="104" t="s">
        <v>196</v>
      </c>
      <c r="H200" s="105" t="s">
        <v>163</v>
      </c>
      <c r="I200" s="105" t="s">
        <v>194</v>
      </c>
      <c r="J200" s="104" t="s">
        <v>238</v>
      </c>
      <c r="K200" s="106">
        <v>46059</v>
      </c>
      <c r="L200" s="104" t="s">
        <v>13</v>
      </c>
      <c r="M200" s="105">
        <v>50</v>
      </c>
      <c r="N200" s="104" t="s">
        <v>166</v>
      </c>
      <c r="O200" s="105">
        <v>190331</v>
      </c>
      <c r="P200" t="str">
        <f>VLOOKUP(VALUE(C200),Class20251!D:G,4,0)</f>
        <v>Trần Vĩnh Đức</v>
      </c>
    </row>
    <row r="201" spans="1:16" ht="16.5">
      <c r="A201" s="126" t="s">
        <v>362</v>
      </c>
      <c r="B201" s="105">
        <v>190332</v>
      </c>
      <c r="C201" s="105">
        <v>161858</v>
      </c>
      <c r="D201" s="104" t="s">
        <v>279</v>
      </c>
      <c r="E201" s="104" t="s">
        <v>864</v>
      </c>
      <c r="F201" s="104" t="s">
        <v>241</v>
      </c>
      <c r="G201" s="104" t="s">
        <v>196</v>
      </c>
      <c r="H201" s="105" t="s">
        <v>163</v>
      </c>
      <c r="I201" s="105" t="s">
        <v>194</v>
      </c>
      <c r="J201" s="104" t="s">
        <v>238</v>
      </c>
      <c r="K201" s="106">
        <v>46059</v>
      </c>
      <c r="L201" s="104" t="s">
        <v>13</v>
      </c>
      <c r="M201" s="105">
        <v>49</v>
      </c>
      <c r="N201" s="104" t="s">
        <v>166</v>
      </c>
      <c r="O201" s="105">
        <v>190332</v>
      </c>
      <c r="P201" t="str">
        <f>VLOOKUP(VALUE(C201),Class20251!D:G,4,0)</f>
        <v>Trần Vĩnh Đức</v>
      </c>
    </row>
    <row r="202" spans="1:16" ht="16.5">
      <c r="A202" s="126" t="s">
        <v>362</v>
      </c>
      <c r="B202" s="105">
        <v>190333</v>
      </c>
      <c r="C202" s="105">
        <v>161858</v>
      </c>
      <c r="D202" s="104" t="s">
        <v>279</v>
      </c>
      <c r="E202" s="104" t="s">
        <v>864</v>
      </c>
      <c r="F202" s="104" t="s">
        <v>241</v>
      </c>
      <c r="G202" s="104" t="s">
        <v>193</v>
      </c>
      <c r="H202" s="105" t="s">
        <v>163</v>
      </c>
      <c r="I202" s="105" t="s">
        <v>194</v>
      </c>
      <c r="J202" s="104" t="s">
        <v>238</v>
      </c>
      <c r="K202" s="106">
        <v>46059</v>
      </c>
      <c r="L202" s="104" t="s">
        <v>13</v>
      </c>
      <c r="M202" s="105">
        <v>50</v>
      </c>
      <c r="N202" s="104" t="s">
        <v>166</v>
      </c>
      <c r="O202" s="105">
        <v>190333</v>
      </c>
      <c r="P202" t="str">
        <f>VLOOKUP(VALUE(C202),Class20251!D:G,4,0)</f>
        <v>Trần Vĩnh Đức</v>
      </c>
    </row>
    <row r="203" spans="1:16" ht="16.5">
      <c r="A203" s="126" t="s">
        <v>362</v>
      </c>
      <c r="B203" s="105">
        <v>190342</v>
      </c>
      <c r="C203" s="105">
        <v>161703</v>
      </c>
      <c r="D203" s="104" t="s">
        <v>69</v>
      </c>
      <c r="E203" s="104" t="s">
        <v>281</v>
      </c>
      <c r="F203" s="104" t="s">
        <v>282</v>
      </c>
      <c r="G203" s="104" t="s">
        <v>196</v>
      </c>
      <c r="H203" s="105" t="s">
        <v>163</v>
      </c>
      <c r="I203" s="105" t="s">
        <v>228</v>
      </c>
      <c r="J203" s="104" t="s">
        <v>283</v>
      </c>
      <c r="K203" s="106">
        <v>46044</v>
      </c>
      <c r="L203" s="104" t="s">
        <v>14</v>
      </c>
      <c r="M203" s="105">
        <v>63</v>
      </c>
      <c r="N203" s="104" t="s">
        <v>166</v>
      </c>
      <c r="O203" s="105">
        <v>190342</v>
      </c>
      <c r="P203" t="str">
        <f>VLOOKUP(VALUE(C203),Class20251!D:G,4,0)</f>
        <v>Trần Việt Trung</v>
      </c>
    </row>
    <row r="204" spans="1:16" ht="16.5">
      <c r="A204" s="126" t="s">
        <v>362</v>
      </c>
      <c r="B204" s="105">
        <v>190341</v>
      </c>
      <c r="C204" s="105">
        <v>161703</v>
      </c>
      <c r="D204" s="104" t="s">
        <v>69</v>
      </c>
      <c r="E204" s="104" t="s">
        <v>281</v>
      </c>
      <c r="F204" s="104" t="s">
        <v>282</v>
      </c>
      <c r="G204" s="104" t="s">
        <v>193</v>
      </c>
      <c r="H204" s="105" t="s">
        <v>163</v>
      </c>
      <c r="I204" s="105" t="s">
        <v>228</v>
      </c>
      <c r="J204" s="104" t="s">
        <v>283</v>
      </c>
      <c r="K204" s="106">
        <v>46044</v>
      </c>
      <c r="L204" s="104" t="s">
        <v>14</v>
      </c>
      <c r="M204" s="105">
        <v>63</v>
      </c>
      <c r="N204" s="104" t="s">
        <v>166</v>
      </c>
      <c r="O204" s="105">
        <v>190341</v>
      </c>
      <c r="P204" t="str">
        <f>VLOOKUP(VALUE(C204),Class20251!D:G,4,0)</f>
        <v>Trần Việt Trung</v>
      </c>
    </row>
    <row r="205" spans="1:16" ht="16.5">
      <c r="A205" s="126" t="s">
        <v>362</v>
      </c>
      <c r="B205" s="105">
        <v>190376</v>
      </c>
      <c r="C205" s="105">
        <v>161863</v>
      </c>
      <c r="D205" s="104" t="s">
        <v>284</v>
      </c>
      <c r="E205" s="104" t="s">
        <v>285</v>
      </c>
      <c r="F205" s="104" t="s">
        <v>286</v>
      </c>
      <c r="G205" s="104" t="s">
        <v>193</v>
      </c>
      <c r="H205" s="105" t="s">
        <v>163</v>
      </c>
      <c r="I205" s="105" t="s">
        <v>164</v>
      </c>
      <c r="J205" s="104" t="s">
        <v>283</v>
      </c>
      <c r="K205" s="106">
        <v>46051</v>
      </c>
      <c r="L205" s="104" t="s">
        <v>15</v>
      </c>
      <c r="M205" s="105">
        <v>58</v>
      </c>
      <c r="N205" s="104" t="s">
        <v>166</v>
      </c>
      <c r="O205" s="105">
        <v>190376</v>
      </c>
      <c r="P205" t="str">
        <f>VLOOKUP(VALUE(C205),Class20251!D:G,4,0)</f>
        <v>Nguyễn Đức Anh</v>
      </c>
    </row>
    <row r="206" spans="1:16" ht="16.5">
      <c r="A206" s="126" t="s">
        <v>362</v>
      </c>
      <c r="B206" s="105">
        <v>190377</v>
      </c>
      <c r="C206" s="105">
        <v>161863</v>
      </c>
      <c r="D206" s="104" t="s">
        <v>284</v>
      </c>
      <c r="E206" s="104" t="s">
        <v>285</v>
      </c>
      <c r="F206" s="104" t="s">
        <v>286</v>
      </c>
      <c r="G206" s="104" t="s">
        <v>196</v>
      </c>
      <c r="H206" s="105" t="s">
        <v>163</v>
      </c>
      <c r="I206" s="105" t="s">
        <v>164</v>
      </c>
      <c r="J206" s="104" t="s">
        <v>283</v>
      </c>
      <c r="K206" s="106">
        <v>46051</v>
      </c>
      <c r="L206" s="104" t="s">
        <v>15</v>
      </c>
      <c r="M206" s="105">
        <v>58</v>
      </c>
      <c r="N206" s="104" t="s">
        <v>166</v>
      </c>
      <c r="O206" s="105">
        <v>190377</v>
      </c>
      <c r="P206" t="str">
        <f>VLOOKUP(VALUE(C206),Class20251!D:G,4,0)</f>
        <v>Nguyễn Đức Anh</v>
      </c>
    </row>
    <row r="207" spans="1:16" ht="16.5">
      <c r="A207" s="126" t="s">
        <v>362</v>
      </c>
      <c r="B207" s="105">
        <v>190385</v>
      </c>
      <c r="C207" s="105">
        <v>162281</v>
      </c>
      <c r="D207" s="104" t="s">
        <v>68</v>
      </c>
      <c r="E207" s="104" t="s">
        <v>287</v>
      </c>
      <c r="F207" s="104" t="s">
        <v>288</v>
      </c>
      <c r="G207" s="104" t="s">
        <v>196</v>
      </c>
      <c r="H207" s="105" t="s">
        <v>163</v>
      </c>
      <c r="I207" s="105" t="s">
        <v>228</v>
      </c>
      <c r="J207" s="104" t="s">
        <v>283</v>
      </c>
      <c r="K207" s="106">
        <v>46044</v>
      </c>
      <c r="L207" s="104" t="s">
        <v>15</v>
      </c>
      <c r="M207" s="105">
        <v>68</v>
      </c>
      <c r="N207" s="104" t="s">
        <v>166</v>
      </c>
      <c r="O207" s="105">
        <v>190385</v>
      </c>
      <c r="P207" t="str">
        <f>VLOOKUP(VALUE(C207),Class20251!D:G,4,0)</f>
        <v>Đoàn Phong Tùng</v>
      </c>
    </row>
    <row r="208" spans="1:16" ht="16.5">
      <c r="A208" s="126" t="s">
        <v>362</v>
      </c>
      <c r="B208" s="105">
        <v>190384</v>
      </c>
      <c r="C208" s="105">
        <v>162281</v>
      </c>
      <c r="D208" s="104" t="s">
        <v>68</v>
      </c>
      <c r="E208" s="104" t="s">
        <v>287</v>
      </c>
      <c r="F208" s="104" t="s">
        <v>288</v>
      </c>
      <c r="G208" s="104" t="s">
        <v>193</v>
      </c>
      <c r="H208" s="105" t="s">
        <v>163</v>
      </c>
      <c r="I208" s="105" t="s">
        <v>228</v>
      </c>
      <c r="J208" s="104" t="s">
        <v>283</v>
      </c>
      <c r="K208" s="106">
        <v>46044</v>
      </c>
      <c r="L208" s="104" t="s">
        <v>15</v>
      </c>
      <c r="M208" s="105">
        <v>69</v>
      </c>
      <c r="N208" s="104" t="s">
        <v>166</v>
      </c>
      <c r="O208" s="105">
        <v>190384</v>
      </c>
      <c r="P208" t="str">
        <f>VLOOKUP(VALUE(C208),Class20251!D:G,4,0)</f>
        <v>Đoàn Phong Tùng</v>
      </c>
    </row>
    <row r="209" spans="1:16" ht="16.5">
      <c r="A209" s="126" t="s">
        <v>362</v>
      </c>
      <c r="B209" s="105">
        <v>190388</v>
      </c>
      <c r="C209" s="105">
        <v>162282</v>
      </c>
      <c r="D209" s="104" t="s">
        <v>68</v>
      </c>
      <c r="E209" s="104" t="s">
        <v>287</v>
      </c>
      <c r="F209" s="104" t="s">
        <v>288</v>
      </c>
      <c r="G209" s="104" t="s">
        <v>193</v>
      </c>
      <c r="H209" s="105" t="s">
        <v>163</v>
      </c>
      <c r="I209" s="105" t="s">
        <v>228</v>
      </c>
      <c r="J209" s="104" t="s">
        <v>283</v>
      </c>
      <c r="K209" s="106">
        <v>46044</v>
      </c>
      <c r="L209" s="104" t="s">
        <v>15</v>
      </c>
      <c r="M209" s="105">
        <v>47</v>
      </c>
      <c r="N209" s="104" t="s">
        <v>166</v>
      </c>
      <c r="O209" s="105">
        <v>190388</v>
      </c>
      <c r="P209" t="str">
        <f>VLOOKUP(VALUE(C209),Class20251!D:G,4,0)</f>
        <v>Lã Thế Vinh</v>
      </c>
    </row>
    <row r="210" spans="1:16" ht="16.5">
      <c r="A210" s="126" t="s">
        <v>362</v>
      </c>
      <c r="B210" s="105">
        <v>190387</v>
      </c>
      <c r="C210" s="105">
        <v>162282</v>
      </c>
      <c r="D210" s="104" t="s">
        <v>68</v>
      </c>
      <c r="E210" s="104" t="s">
        <v>287</v>
      </c>
      <c r="F210" s="104" t="s">
        <v>288</v>
      </c>
      <c r="G210" s="104" t="s">
        <v>196</v>
      </c>
      <c r="H210" s="105" t="s">
        <v>163</v>
      </c>
      <c r="I210" s="105" t="s">
        <v>228</v>
      </c>
      <c r="J210" s="104" t="s">
        <v>283</v>
      </c>
      <c r="K210" s="106">
        <v>46044</v>
      </c>
      <c r="L210" s="104" t="s">
        <v>15</v>
      </c>
      <c r="M210" s="105">
        <v>47</v>
      </c>
      <c r="N210" s="104" t="s">
        <v>166</v>
      </c>
      <c r="O210" s="105">
        <v>190387</v>
      </c>
      <c r="P210" t="str">
        <f>VLOOKUP(VALUE(C210),Class20251!D:G,4,0)</f>
        <v>Lã Thế Vinh</v>
      </c>
    </row>
    <row r="211" spans="1:16" ht="16.5">
      <c r="A211" s="126" t="s">
        <v>362</v>
      </c>
      <c r="B211" s="105">
        <v>190386</v>
      </c>
      <c r="C211" s="105">
        <v>162282</v>
      </c>
      <c r="D211" s="104" t="s">
        <v>68</v>
      </c>
      <c r="E211" s="104" t="s">
        <v>287</v>
      </c>
      <c r="F211" s="104" t="s">
        <v>288</v>
      </c>
      <c r="G211" s="104" t="s">
        <v>197</v>
      </c>
      <c r="H211" s="105" t="s">
        <v>163</v>
      </c>
      <c r="I211" s="105" t="s">
        <v>228</v>
      </c>
      <c r="J211" s="104" t="s">
        <v>283</v>
      </c>
      <c r="K211" s="106">
        <v>46044</v>
      </c>
      <c r="L211" s="104" t="s">
        <v>15</v>
      </c>
      <c r="M211" s="105">
        <v>46</v>
      </c>
      <c r="N211" s="104" t="s">
        <v>166</v>
      </c>
      <c r="O211" s="105">
        <v>190386</v>
      </c>
      <c r="P211" t="str">
        <f>VLOOKUP(VALUE(C211),Class20251!D:G,4,0)</f>
        <v>Lã Thế Vinh</v>
      </c>
    </row>
    <row r="212" spans="1:16" ht="16.5">
      <c r="A212" s="126" t="s">
        <v>362</v>
      </c>
      <c r="B212" s="105">
        <v>190390</v>
      </c>
      <c r="C212" s="105">
        <v>161500</v>
      </c>
      <c r="D212" s="104" t="s">
        <v>289</v>
      </c>
      <c r="E212" s="104" t="s">
        <v>290</v>
      </c>
      <c r="F212" s="104" t="s">
        <v>291</v>
      </c>
      <c r="G212" s="104" t="s">
        <v>169</v>
      </c>
      <c r="H212" s="105" t="s">
        <v>163</v>
      </c>
      <c r="I212" s="105" t="s">
        <v>164</v>
      </c>
      <c r="J212" s="104" t="s">
        <v>238</v>
      </c>
      <c r="K212" s="106">
        <v>46052</v>
      </c>
      <c r="L212" s="104" t="s">
        <v>14</v>
      </c>
      <c r="M212" s="105">
        <v>41</v>
      </c>
      <c r="N212" s="104" t="s">
        <v>166</v>
      </c>
      <c r="O212" s="105">
        <v>190390</v>
      </c>
      <c r="P212" t="str">
        <f>VLOOKUP(VALUE(C212),Class20251!D:G,4,0)</f>
        <v>Ngô Lam Trung</v>
      </c>
    </row>
    <row r="213" spans="1:16" ht="16.5">
      <c r="A213" s="126" t="s">
        <v>362</v>
      </c>
      <c r="B213" s="105">
        <v>190392</v>
      </c>
      <c r="C213" s="105">
        <v>162290</v>
      </c>
      <c r="D213" s="104" t="s">
        <v>292</v>
      </c>
      <c r="E213" s="104" t="s">
        <v>293</v>
      </c>
      <c r="F213" s="104" t="s">
        <v>294</v>
      </c>
      <c r="G213" s="104" t="s">
        <v>193</v>
      </c>
      <c r="H213" s="105" t="s">
        <v>163</v>
      </c>
      <c r="I213" s="105" t="s">
        <v>194</v>
      </c>
      <c r="J213" s="104" t="s">
        <v>238</v>
      </c>
      <c r="K213" s="106">
        <v>46059</v>
      </c>
      <c r="L213" s="104" t="s">
        <v>11</v>
      </c>
      <c r="M213" s="105">
        <v>66</v>
      </c>
      <c r="N213" s="104" t="s">
        <v>166</v>
      </c>
      <c r="O213" s="105">
        <v>190392</v>
      </c>
      <c r="P213" t="str">
        <f>VLOOKUP(VALUE(C213),Class20251!D:G,4,0)</f>
        <v>Lê Đức Trung</v>
      </c>
    </row>
    <row r="214" spans="1:16" ht="16.5">
      <c r="A214" s="126" t="s">
        <v>362</v>
      </c>
      <c r="B214" s="105">
        <v>190393</v>
      </c>
      <c r="C214" s="105">
        <v>162290</v>
      </c>
      <c r="D214" s="104" t="s">
        <v>292</v>
      </c>
      <c r="E214" s="104" t="s">
        <v>293</v>
      </c>
      <c r="F214" s="104" t="s">
        <v>294</v>
      </c>
      <c r="G214" s="104" t="s">
        <v>196</v>
      </c>
      <c r="H214" s="105" t="s">
        <v>163</v>
      </c>
      <c r="I214" s="105" t="s">
        <v>194</v>
      </c>
      <c r="J214" s="104" t="s">
        <v>238</v>
      </c>
      <c r="K214" s="106">
        <v>46059</v>
      </c>
      <c r="L214" s="104" t="s">
        <v>11</v>
      </c>
      <c r="M214" s="105">
        <v>65</v>
      </c>
      <c r="N214" s="104" t="s">
        <v>166</v>
      </c>
      <c r="O214" s="105">
        <v>190393</v>
      </c>
      <c r="P214" t="str">
        <f>VLOOKUP(VALUE(C214),Class20251!D:G,4,0)</f>
        <v>Lê Đức Trung</v>
      </c>
    </row>
    <row r="215" spans="1:16" ht="16.5">
      <c r="A215" s="126" t="s">
        <v>362</v>
      </c>
      <c r="B215" s="105">
        <v>190398</v>
      </c>
      <c r="C215" s="105">
        <v>162319</v>
      </c>
      <c r="D215" s="104" t="s">
        <v>295</v>
      </c>
      <c r="E215" s="104" t="s">
        <v>296</v>
      </c>
      <c r="F215" s="104" t="s">
        <v>297</v>
      </c>
      <c r="G215" s="104" t="s">
        <v>193</v>
      </c>
      <c r="H215" s="105" t="s">
        <v>163</v>
      </c>
      <c r="I215" s="105" t="s">
        <v>164</v>
      </c>
      <c r="J215" s="104" t="s">
        <v>165</v>
      </c>
      <c r="K215" s="106">
        <v>46048</v>
      </c>
      <c r="L215" s="104" t="s">
        <v>15</v>
      </c>
      <c r="M215" s="105">
        <v>48</v>
      </c>
      <c r="N215" s="104" t="s">
        <v>166</v>
      </c>
      <c r="O215" s="105">
        <v>190398</v>
      </c>
      <c r="P215" t="str">
        <f>VLOOKUP(VALUE(C215),Class20251!D:G,4,0)</f>
        <v>Nguyễn Linh Giang</v>
      </c>
    </row>
    <row r="216" spans="1:16" ht="16.5">
      <c r="A216" s="126" t="s">
        <v>362</v>
      </c>
      <c r="B216" s="105">
        <v>190397</v>
      </c>
      <c r="C216" s="105">
        <v>162319</v>
      </c>
      <c r="D216" s="104" t="s">
        <v>295</v>
      </c>
      <c r="E216" s="104" t="s">
        <v>296</v>
      </c>
      <c r="F216" s="104" t="s">
        <v>297</v>
      </c>
      <c r="G216" s="104" t="s">
        <v>196</v>
      </c>
      <c r="H216" s="105" t="s">
        <v>163</v>
      </c>
      <c r="I216" s="105" t="s">
        <v>164</v>
      </c>
      <c r="J216" s="104" t="s">
        <v>165</v>
      </c>
      <c r="K216" s="106">
        <v>46048</v>
      </c>
      <c r="L216" s="104" t="s">
        <v>15</v>
      </c>
      <c r="M216" s="105">
        <v>47</v>
      </c>
      <c r="N216" s="104" t="s">
        <v>166</v>
      </c>
      <c r="O216" s="105">
        <v>190397</v>
      </c>
      <c r="P216" t="str">
        <f>VLOOKUP(VALUE(C216),Class20251!D:G,4,0)</f>
        <v>Nguyễn Linh Giang</v>
      </c>
    </row>
    <row r="217" spans="1:16" ht="16.5">
      <c r="A217" s="126" t="s">
        <v>362</v>
      </c>
      <c r="B217" s="105">
        <v>190413</v>
      </c>
      <c r="C217" s="105">
        <v>161623</v>
      </c>
      <c r="D217" s="104" t="s">
        <v>92</v>
      </c>
      <c r="E217" s="104" t="s">
        <v>298</v>
      </c>
      <c r="F217" s="104" t="s">
        <v>299</v>
      </c>
      <c r="G217" s="104" t="s">
        <v>169</v>
      </c>
      <c r="H217" s="105" t="s">
        <v>163</v>
      </c>
      <c r="I217" s="105" t="s">
        <v>228</v>
      </c>
      <c r="J217" s="104" t="s">
        <v>165</v>
      </c>
      <c r="K217" s="106">
        <v>46041</v>
      </c>
      <c r="L217" s="104" t="s">
        <v>11</v>
      </c>
      <c r="M217" s="105">
        <v>37</v>
      </c>
      <c r="N217" s="104" t="s">
        <v>166</v>
      </c>
      <c r="O217" s="105">
        <v>190413</v>
      </c>
      <c r="P217" t="str">
        <f>VLOOKUP(VALUE(C217),Class20251!D:G,4,0)</f>
        <v>Trịnh Tuấn Đạt</v>
      </c>
    </row>
    <row r="218" spans="1:16" ht="16.5">
      <c r="A218" s="126" t="s">
        <v>362</v>
      </c>
      <c r="B218" s="105">
        <v>190415</v>
      </c>
      <c r="C218" s="105">
        <v>162307</v>
      </c>
      <c r="D218" s="104" t="s">
        <v>92</v>
      </c>
      <c r="E218" s="104" t="s">
        <v>298</v>
      </c>
      <c r="F218" s="104" t="s">
        <v>300</v>
      </c>
      <c r="G218" s="104" t="s">
        <v>193</v>
      </c>
      <c r="H218" s="105" t="s">
        <v>163</v>
      </c>
      <c r="I218" s="105" t="s">
        <v>228</v>
      </c>
      <c r="J218" s="104" t="s">
        <v>165</v>
      </c>
      <c r="K218" s="106">
        <v>46041</v>
      </c>
      <c r="L218" s="104" t="s">
        <v>12</v>
      </c>
      <c r="M218" s="105">
        <v>48</v>
      </c>
      <c r="N218" s="104" t="s">
        <v>166</v>
      </c>
      <c r="O218" s="105">
        <v>190415</v>
      </c>
      <c r="P218" t="str">
        <f>VLOOKUP(VALUE(C218),Class20251!D:G,4,0)</f>
        <v>Đỗ Bá Lâm</v>
      </c>
    </row>
    <row r="219" spans="1:16" ht="16.5">
      <c r="A219" s="126" t="s">
        <v>362</v>
      </c>
      <c r="B219" s="105">
        <v>190416</v>
      </c>
      <c r="C219" s="105">
        <v>162307</v>
      </c>
      <c r="D219" s="104" t="s">
        <v>92</v>
      </c>
      <c r="E219" s="104" t="s">
        <v>298</v>
      </c>
      <c r="F219" s="104" t="s">
        <v>300</v>
      </c>
      <c r="G219" s="104" t="s">
        <v>196</v>
      </c>
      <c r="H219" s="105" t="s">
        <v>163</v>
      </c>
      <c r="I219" s="105" t="s">
        <v>228</v>
      </c>
      <c r="J219" s="104" t="s">
        <v>165</v>
      </c>
      <c r="K219" s="106">
        <v>46041</v>
      </c>
      <c r="L219" s="104" t="s">
        <v>12</v>
      </c>
      <c r="M219" s="105">
        <v>48</v>
      </c>
      <c r="N219" s="104" t="s">
        <v>166</v>
      </c>
      <c r="O219" s="105">
        <v>190416</v>
      </c>
      <c r="P219" t="str">
        <f>VLOOKUP(VALUE(C219),Class20251!D:G,4,0)</f>
        <v>Đỗ Bá Lâm</v>
      </c>
    </row>
    <row r="220" spans="1:16" ht="16.5">
      <c r="A220" s="126" t="s">
        <v>362</v>
      </c>
      <c r="B220" s="105">
        <v>190414</v>
      </c>
      <c r="C220" s="105">
        <v>162307</v>
      </c>
      <c r="D220" s="104" t="s">
        <v>92</v>
      </c>
      <c r="E220" s="104" t="s">
        <v>298</v>
      </c>
      <c r="F220" s="104" t="s">
        <v>300</v>
      </c>
      <c r="G220" s="104" t="s">
        <v>197</v>
      </c>
      <c r="H220" s="105" t="s">
        <v>163</v>
      </c>
      <c r="I220" s="105" t="s">
        <v>228</v>
      </c>
      <c r="J220" s="104" t="s">
        <v>165</v>
      </c>
      <c r="K220" s="106">
        <v>46041</v>
      </c>
      <c r="L220" s="104" t="s">
        <v>12</v>
      </c>
      <c r="M220" s="105">
        <v>48</v>
      </c>
      <c r="N220" s="104" t="s">
        <v>166</v>
      </c>
      <c r="O220" s="105">
        <v>190414</v>
      </c>
      <c r="P220" t="str">
        <f>VLOOKUP(VALUE(C220),Class20251!D:G,4,0)</f>
        <v>Đỗ Bá Lâm</v>
      </c>
    </row>
    <row r="221" spans="1:16" ht="16.5">
      <c r="A221" s="126" t="s">
        <v>362</v>
      </c>
      <c r="B221" s="105">
        <v>190418</v>
      </c>
      <c r="C221" s="105">
        <v>162308</v>
      </c>
      <c r="D221" s="104" t="s">
        <v>92</v>
      </c>
      <c r="E221" s="104" t="s">
        <v>298</v>
      </c>
      <c r="F221" s="104" t="s">
        <v>300</v>
      </c>
      <c r="G221" s="104" t="s">
        <v>193</v>
      </c>
      <c r="H221" s="105" t="s">
        <v>163</v>
      </c>
      <c r="I221" s="105" t="s">
        <v>228</v>
      </c>
      <c r="J221" s="104" t="s">
        <v>165</v>
      </c>
      <c r="K221" s="106">
        <v>46041</v>
      </c>
      <c r="L221" s="104" t="s">
        <v>11</v>
      </c>
      <c r="M221" s="105">
        <v>55</v>
      </c>
      <c r="N221" s="104" t="s">
        <v>166</v>
      </c>
      <c r="O221" s="105">
        <v>190418</v>
      </c>
      <c r="P221" t="str">
        <f>VLOOKUP(VALUE(C221),Class20251!D:G,4,0)</f>
        <v>Đỗ Bá Lâm</v>
      </c>
    </row>
    <row r="222" spans="1:16" ht="16.5">
      <c r="A222" s="126" t="s">
        <v>362</v>
      </c>
      <c r="B222" s="105">
        <v>190417</v>
      </c>
      <c r="C222" s="105">
        <v>162308</v>
      </c>
      <c r="D222" s="104" t="s">
        <v>92</v>
      </c>
      <c r="E222" s="104" t="s">
        <v>298</v>
      </c>
      <c r="F222" s="104" t="s">
        <v>300</v>
      </c>
      <c r="G222" s="104" t="s">
        <v>196</v>
      </c>
      <c r="H222" s="105" t="s">
        <v>163</v>
      </c>
      <c r="I222" s="105" t="s">
        <v>228</v>
      </c>
      <c r="J222" s="104" t="s">
        <v>165</v>
      </c>
      <c r="K222" s="106">
        <v>46041</v>
      </c>
      <c r="L222" s="104" t="s">
        <v>11</v>
      </c>
      <c r="M222" s="105">
        <v>55</v>
      </c>
      <c r="N222" s="104" t="s">
        <v>166</v>
      </c>
      <c r="O222" s="105">
        <v>190417</v>
      </c>
      <c r="P222" t="str">
        <f>VLOOKUP(VALUE(C222),Class20251!D:G,4,0)</f>
        <v>Đỗ Bá Lâm</v>
      </c>
    </row>
    <row r="223" spans="1:16" ht="16.5">
      <c r="A223" s="126" t="s">
        <v>362</v>
      </c>
      <c r="B223" s="105">
        <v>190422</v>
      </c>
      <c r="C223" s="105">
        <v>162291</v>
      </c>
      <c r="D223" s="104" t="s">
        <v>94</v>
      </c>
      <c r="E223" s="104" t="s">
        <v>301</v>
      </c>
      <c r="F223" s="104" t="s">
        <v>302</v>
      </c>
      <c r="G223" s="104" t="s">
        <v>169</v>
      </c>
      <c r="H223" s="105" t="s">
        <v>163</v>
      </c>
      <c r="I223" s="105" t="s">
        <v>228</v>
      </c>
      <c r="J223" s="104" t="s">
        <v>278</v>
      </c>
      <c r="K223" s="106">
        <v>46042</v>
      </c>
      <c r="L223" s="104" t="s">
        <v>15</v>
      </c>
      <c r="M223" s="105">
        <v>47</v>
      </c>
      <c r="N223" s="104" t="s">
        <v>166</v>
      </c>
      <c r="O223" s="105">
        <v>190422</v>
      </c>
      <c r="P223" t="str">
        <f>VLOOKUP(VALUE(C223),Class20251!D:G,4,0)</f>
        <v>Lê Tấn Hùng</v>
      </c>
    </row>
    <row r="224" spans="1:16" ht="16.5">
      <c r="A224" s="126" t="s">
        <v>362</v>
      </c>
      <c r="B224" s="105">
        <v>190430</v>
      </c>
      <c r="C224" s="105">
        <v>161501</v>
      </c>
      <c r="D224" s="104" t="s">
        <v>303</v>
      </c>
      <c r="E224" s="104" t="s">
        <v>304</v>
      </c>
      <c r="F224" s="104" t="s">
        <v>291</v>
      </c>
      <c r="G224" s="104" t="s">
        <v>169</v>
      </c>
      <c r="H224" s="105" t="s">
        <v>163</v>
      </c>
      <c r="I224" s="105" t="s">
        <v>194</v>
      </c>
      <c r="J224" s="104" t="s">
        <v>278</v>
      </c>
      <c r="K224" s="106">
        <v>46056</v>
      </c>
      <c r="L224" s="104" t="s">
        <v>14</v>
      </c>
      <c r="M224" s="105">
        <v>40</v>
      </c>
      <c r="N224" s="104" t="s">
        <v>166</v>
      </c>
      <c r="O224" s="105">
        <v>190430</v>
      </c>
      <c r="P224" t="str">
        <f>VLOOKUP(VALUE(C224),Class20251!D:G,4,0)</f>
        <v>Nguyễn Mạnh Tuấn</v>
      </c>
    </row>
    <row r="225" spans="1:16" ht="16.5">
      <c r="A225" s="126" t="s">
        <v>362</v>
      </c>
      <c r="B225" s="105">
        <v>190431</v>
      </c>
      <c r="C225" s="105">
        <v>161620</v>
      </c>
      <c r="D225" s="104" t="s">
        <v>303</v>
      </c>
      <c r="E225" s="104" t="s">
        <v>304</v>
      </c>
      <c r="F225" s="104" t="s">
        <v>305</v>
      </c>
      <c r="G225" s="104" t="s">
        <v>169</v>
      </c>
      <c r="H225" s="105" t="s">
        <v>163</v>
      </c>
      <c r="I225" s="105" t="s">
        <v>194</v>
      </c>
      <c r="J225" s="104" t="s">
        <v>278</v>
      </c>
      <c r="K225" s="106">
        <v>46056</v>
      </c>
      <c r="L225" s="104" t="s">
        <v>14</v>
      </c>
      <c r="M225" s="105">
        <v>52</v>
      </c>
      <c r="N225" s="104" t="s">
        <v>166</v>
      </c>
      <c r="O225" s="105">
        <v>190431</v>
      </c>
      <c r="P225" t="str">
        <f>VLOOKUP(VALUE(C225),Class20251!D:G,4,0)</f>
        <v>Nguyễn Thị Thu Trang</v>
      </c>
    </row>
    <row r="226" spans="1:16" ht="16.5">
      <c r="A226" s="126" t="s">
        <v>362</v>
      </c>
      <c r="B226" s="105">
        <v>190432</v>
      </c>
      <c r="C226" s="105">
        <v>162292</v>
      </c>
      <c r="D226" s="104" t="s">
        <v>303</v>
      </c>
      <c r="E226" s="104" t="s">
        <v>304</v>
      </c>
      <c r="F226" s="104" t="s">
        <v>302</v>
      </c>
      <c r="G226" s="104" t="s">
        <v>193</v>
      </c>
      <c r="H226" s="105" t="s">
        <v>163</v>
      </c>
      <c r="I226" s="105" t="s">
        <v>194</v>
      </c>
      <c r="J226" s="104" t="s">
        <v>278</v>
      </c>
      <c r="K226" s="106">
        <v>46056</v>
      </c>
      <c r="L226" s="104" t="s">
        <v>14</v>
      </c>
      <c r="M226" s="105">
        <v>48</v>
      </c>
      <c r="N226" s="104" t="s">
        <v>166</v>
      </c>
      <c r="O226" s="105">
        <v>190432</v>
      </c>
      <c r="P226" t="str">
        <f>VLOOKUP(VALUE(C226),Class20251!D:G,4,0)</f>
        <v>Nguyễn Thị Thu Trang</v>
      </c>
    </row>
    <row r="227" spans="1:16" ht="16.5">
      <c r="A227" s="126" t="s">
        <v>362</v>
      </c>
      <c r="B227" s="105">
        <v>190433</v>
      </c>
      <c r="C227" s="105">
        <v>162292</v>
      </c>
      <c r="D227" s="104" t="s">
        <v>303</v>
      </c>
      <c r="E227" s="104" t="s">
        <v>304</v>
      </c>
      <c r="F227" s="104" t="s">
        <v>302</v>
      </c>
      <c r="G227" s="104" t="s">
        <v>196</v>
      </c>
      <c r="H227" s="105" t="s">
        <v>163</v>
      </c>
      <c r="I227" s="105" t="s">
        <v>194</v>
      </c>
      <c r="J227" s="104" t="s">
        <v>278</v>
      </c>
      <c r="K227" s="106">
        <v>46056</v>
      </c>
      <c r="L227" s="104" t="s">
        <v>14</v>
      </c>
      <c r="M227" s="105">
        <v>48</v>
      </c>
      <c r="N227" s="104" t="s">
        <v>166</v>
      </c>
      <c r="O227" s="105">
        <v>190433</v>
      </c>
      <c r="P227" t="str">
        <f>VLOOKUP(VALUE(C227),Class20251!D:G,4,0)</f>
        <v>Nguyễn Thị Thu Trang</v>
      </c>
    </row>
    <row r="228" spans="1:16" ht="16.5">
      <c r="A228" s="126" t="s">
        <v>362</v>
      </c>
      <c r="B228" s="105">
        <v>190442</v>
      </c>
      <c r="C228" s="105">
        <v>161708</v>
      </c>
      <c r="D228" s="104" t="s">
        <v>306</v>
      </c>
      <c r="E228" s="104" t="s">
        <v>307</v>
      </c>
      <c r="F228" s="104" t="s">
        <v>308</v>
      </c>
      <c r="G228" s="104" t="s">
        <v>169</v>
      </c>
      <c r="H228" s="105" t="s">
        <v>163</v>
      </c>
      <c r="I228" s="105" t="s">
        <v>164</v>
      </c>
      <c r="J228" s="104" t="s">
        <v>283</v>
      </c>
      <c r="K228" s="106">
        <v>46051</v>
      </c>
      <c r="L228" s="104" t="s">
        <v>11</v>
      </c>
      <c r="M228" s="105">
        <v>47</v>
      </c>
      <c r="N228" s="104" t="s">
        <v>166</v>
      </c>
      <c r="O228" s="105">
        <v>190442</v>
      </c>
      <c r="P228" t="str">
        <f>VLOOKUP(VALUE(C228),Class20251!D:G,4,0)</f>
        <v>Trần Văn Đặng</v>
      </c>
    </row>
    <row r="229" spans="1:16" ht="16.5">
      <c r="A229" s="126" t="s">
        <v>362</v>
      </c>
      <c r="B229" s="105">
        <v>190452</v>
      </c>
      <c r="C229" s="105">
        <v>162283</v>
      </c>
      <c r="D229" s="104" t="s">
        <v>309</v>
      </c>
      <c r="E229" s="104" t="s">
        <v>310</v>
      </c>
      <c r="F229" s="104" t="s">
        <v>288</v>
      </c>
      <c r="G229" s="104" t="s">
        <v>193</v>
      </c>
      <c r="H229" s="105" t="s">
        <v>163</v>
      </c>
      <c r="I229" s="105" t="s">
        <v>194</v>
      </c>
      <c r="J229" s="104" t="s">
        <v>283</v>
      </c>
      <c r="K229" s="106">
        <v>46058</v>
      </c>
      <c r="L229" s="104" t="s">
        <v>13</v>
      </c>
      <c r="M229" s="105">
        <v>52</v>
      </c>
      <c r="N229" s="104" t="s">
        <v>166</v>
      </c>
      <c r="O229" s="105">
        <v>190452</v>
      </c>
      <c r="P229" t="str">
        <f>VLOOKUP(VALUE(C229),Class20251!D:G,4,0)</f>
        <v>Đỗ Công Thuần</v>
      </c>
    </row>
    <row r="230" spans="1:16" ht="16.5">
      <c r="A230" s="126" t="s">
        <v>362</v>
      </c>
      <c r="B230" s="105">
        <v>190451</v>
      </c>
      <c r="C230" s="105">
        <v>162283</v>
      </c>
      <c r="D230" s="104" t="s">
        <v>309</v>
      </c>
      <c r="E230" s="104" t="s">
        <v>310</v>
      </c>
      <c r="F230" s="104" t="s">
        <v>288</v>
      </c>
      <c r="G230" s="104" t="s">
        <v>196</v>
      </c>
      <c r="H230" s="105" t="s">
        <v>163</v>
      </c>
      <c r="I230" s="105" t="s">
        <v>194</v>
      </c>
      <c r="J230" s="104" t="s">
        <v>283</v>
      </c>
      <c r="K230" s="106">
        <v>46058</v>
      </c>
      <c r="L230" s="104" t="s">
        <v>13</v>
      </c>
      <c r="M230" s="105">
        <v>52</v>
      </c>
      <c r="N230" s="104" t="s">
        <v>166</v>
      </c>
      <c r="O230" s="105">
        <v>190451</v>
      </c>
      <c r="P230" t="str">
        <f>VLOOKUP(VALUE(C230),Class20251!D:G,4,0)</f>
        <v>Đỗ Công Thuần</v>
      </c>
    </row>
    <row r="231" spans="1:16" ht="16.5">
      <c r="A231" s="126" t="s">
        <v>362</v>
      </c>
      <c r="B231" s="105">
        <v>190454</v>
      </c>
      <c r="C231" s="105">
        <v>162284</v>
      </c>
      <c r="D231" s="104" t="s">
        <v>309</v>
      </c>
      <c r="E231" s="104" t="s">
        <v>310</v>
      </c>
      <c r="F231" s="104" t="s">
        <v>288</v>
      </c>
      <c r="G231" s="104" t="s">
        <v>196</v>
      </c>
      <c r="H231" s="105" t="s">
        <v>163</v>
      </c>
      <c r="I231" s="105" t="s">
        <v>194</v>
      </c>
      <c r="J231" s="104" t="s">
        <v>283</v>
      </c>
      <c r="K231" s="106">
        <v>46058</v>
      </c>
      <c r="L231" s="104" t="s">
        <v>13</v>
      </c>
      <c r="M231" s="105">
        <v>50</v>
      </c>
      <c r="N231" s="104" t="s">
        <v>166</v>
      </c>
      <c r="O231" s="105">
        <v>190454</v>
      </c>
      <c r="P231" t="str">
        <f>VLOOKUP(VALUE(C231),Class20251!D:G,4,0)</f>
        <v>Đỗ Công Thuần</v>
      </c>
    </row>
    <row r="232" spans="1:16" ht="16.5">
      <c r="A232" s="126" t="s">
        <v>362</v>
      </c>
      <c r="B232" s="105">
        <v>190453</v>
      </c>
      <c r="C232" s="105">
        <v>162284</v>
      </c>
      <c r="D232" s="104" t="s">
        <v>309</v>
      </c>
      <c r="E232" s="104" t="s">
        <v>310</v>
      </c>
      <c r="F232" s="104" t="s">
        <v>288</v>
      </c>
      <c r="G232" s="104" t="s">
        <v>193</v>
      </c>
      <c r="H232" s="105" t="s">
        <v>163</v>
      </c>
      <c r="I232" s="105" t="s">
        <v>194</v>
      </c>
      <c r="J232" s="104" t="s">
        <v>283</v>
      </c>
      <c r="K232" s="106">
        <v>46058</v>
      </c>
      <c r="L232" s="104" t="s">
        <v>13</v>
      </c>
      <c r="M232" s="105">
        <v>50</v>
      </c>
      <c r="N232" s="104" t="s">
        <v>166</v>
      </c>
      <c r="O232" s="105">
        <v>190453</v>
      </c>
      <c r="P232" t="str">
        <f>VLOOKUP(VALUE(C232),Class20251!D:G,4,0)</f>
        <v>Đỗ Công Thuần</v>
      </c>
    </row>
    <row r="233" spans="1:16" ht="16.5">
      <c r="A233" s="126" t="s">
        <v>362</v>
      </c>
      <c r="B233" s="105">
        <v>190455</v>
      </c>
      <c r="C233" s="105">
        <v>162284</v>
      </c>
      <c r="D233" s="104" t="s">
        <v>309</v>
      </c>
      <c r="E233" s="104" t="s">
        <v>310</v>
      </c>
      <c r="F233" s="104" t="s">
        <v>288</v>
      </c>
      <c r="G233" s="104" t="s">
        <v>197</v>
      </c>
      <c r="H233" s="105" t="s">
        <v>163</v>
      </c>
      <c r="I233" s="105" t="s">
        <v>194</v>
      </c>
      <c r="J233" s="104" t="s">
        <v>283</v>
      </c>
      <c r="K233" s="106">
        <v>46058</v>
      </c>
      <c r="L233" s="104" t="s">
        <v>13</v>
      </c>
      <c r="M233" s="105">
        <v>49</v>
      </c>
      <c r="N233" s="104" t="s">
        <v>166</v>
      </c>
      <c r="O233" s="105">
        <v>190455</v>
      </c>
      <c r="P233" t="str">
        <f>VLOOKUP(VALUE(C233),Class20251!D:G,4,0)</f>
        <v>Đỗ Công Thuần</v>
      </c>
    </row>
    <row r="234" spans="1:16" ht="16.5">
      <c r="A234" s="126" t="s">
        <v>362</v>
      </c>
      <c r="B234" s="105">
        <v>190463</v>
      </c>
      <c r="C234" s="105">
        <v>162305</v>
      </c>
      <c r="D234" s="104" t="s">
        <v>311</v>
      </c>
      <c r="E234" s="104" t="s">
        <v>312</v>
      </c>
      <c r="F234" s="104" t="s">
        <v>313</v>
      </c>
      <c r="G234" s="104" t="s">
        <v>193</v>
      </c>
      <c r="H234" s="105" t="s">
        <v>163</v>
      </c>
      <c r="I234" s="105" t="s">
        <v>194</v>
      </c>
      <c r="J234" s="104" t="s">
        <v>283</v>
      </c>
      <c r="K234" s="106">
        <v>46058</v>
      </c>
      <c r="L234" s="104" t="s">
        <v>14</v>
      </c>
      <c r="M234" s="105">
        <v>36</v>
      </c>
      <c r="N234" s="104" t="s">
        <v>166</v>
      </c>
      <c r="O234" s="105">
        <v>190463</v>
      </c>
      <c r="P234" t="str">
        <f>VLOOKUP(VALUE(C234),Class20251!D:G,4,0)</f>
        <v>Ngô Văn Linh</v>
      </c>
    </row>
    <row r="235" spans="1:16" ht="16.5">
      <c r="A235" s="126" t="s">
        <v>362</v>
      </c>
      <c r="B235" s="105">
        <v>190464</v>
      </c>
      <c r="C235" s="105">
        <v>162305</v>
      </c>
      <c r="D235" s="104" t="s">
        <v>311</v>
      </c>
      <c r="E235" s="104" t="s">
        <v>312</v>
      </c>
      <c r="F235" s="104" t="s">
        <v>313</v>
      </c>
      <c r="G235" s="104" t="s">
        <v>196</v>
      </c>
      <c r="H235" s="105" t="s">
        <v>163</v>
      </c>
      <c r="I235" s="105" t="s">
        <v>194</v>
      </c>
      <c r="J235" s="104" t="s">
        <v>283</v>
      </c>
      <c r="K235" s="106">
        <v>46058</v>
      </c>
      <c r="L235" s="104" t="s">
        <v>14</v>
      </c>
      <c r="M235" s="105">
        <v>36</v>
      </c>
      <c r="N235" s="104" t="s">
        <v>166</v>
      </c>
      <c r="O235" s="105">
        <v>190464</v>
      </c>
      <c r="P235" t="str">
        <f>VLOOKUP(VALUE(C235),Class20251!D:G,4,0)</f>
        <v>Ngô Văn Linh</v>
      </c>
    </row>
    <row r="236" spans="1:16" ht="16.5">
      <c r="A236" s="126" t="s">
        <v>362</v>
      </c>
      <c r="B236" s="105">
        <v>190465</v>
      </c>
      <c r="C236" s="105">
        <v>162306</v>
      </c>
      <c r="D236" s="104" t="s">
        <v>311</v>
      </c>
      <c r="E236" s="104" t="s">
        <v>312</v>
      </c>
      <c r="F236" s="104" t="s">
        <v>313</v>
      </c>
      <c r="G236" s="104" t="s">
        <v>169</v>
      </c>
      <c r="H236" s="105" t="s">
        <v>163</v>
      </c>
      <c r="I236" s="105" t="s">
        <v>194</v>
      </c>
      <c r="J236" s="104" t="s">
        <v>283</v>
      </c>
      <c r="K236" s="106">
        <v>46058</v>
      </c>
      <c r="L236" s="104" t="s">
        <v>14</v>
      </c>
      <c r="M236" s="105">
        <v>57</v>
      </c>
      <c r="N236" s="104" t="s">
        <v>166</v>
      </c>
      <c r="O236" s="105">
        <v>190465</v>
      </c>
      <c r="P236" t="str">
        <f>VLOOKUP(VALUE(C236),Class20251!D:G,4,0)</f>
        <v>Ngô Văn Linh</v>
      </c>
    </row>
    <row r="237" spans="1:16" ht="16.5">
      <c r="A237" s="126" t="s">
        <v>362</v>
      </c>
      <c r="B237" s="105">
        <v>190469</v>
      </c>
      <c r="C237" s="105">
        <v>162314</v>
      </c>
      <c r="D237" s="104" t="s">
        <v>314</v>
      </c>
      <c r="E237" s="104" t="s">
        <v>315</v>
      </c>
      <c r="F237" s="104" t="s">
        <v>316</v>
      </c>
      <c r="G237" s="104" t="s">
        <v>196</v>
      </c>
      <c r="H237" s="105" t="s">
        <v>163</v>
      </c>
      <c r="I237" s="105" t="s">
        <v>164</v>
      </c>
      <c r="J237" s="104" t="s">
        <v>238</v>
      </c>
      <c r="K237" s="106">
        <v>46052</v>
      </c>
      <c r="L237" s="104" t="s">
        <v>14</v>
      </c>
      <c r="M237" s="105">
        <v>50</v>
      </c>
      <c r="N237" s="104" t="s">
        <v>166</v>
      </c>
      <c r="O237" s="105">
        <v>190469</v>
      </c>
      <c r="P237" t="str">
        <f>VLOOKUP(VALUE(C237),Class20251!D:G,4,0)</f>
        <v>Phạm Huy Hoàng</v>
      </c>
    </row>
    <row r="238" spans="1:16" ht="16.5">
      <c r="A238" s="126" t="s">
        <v>362</v>
      </c>
      <c r="B238" s="105">
        <v>190470</v>
      </c>
      <c r="C238" s="105">
        <v>162314</v>
      </c>
      <c r="D238" s="104" t="s">
        <v>314</v>
      </c>
      <c r="E238" s="104" t="s">
        <v>315</v>
      </c>
      <c r="F238" s="104" t="s">
        <v>316</v>
      </c>
      <c r="G238" s="104" t="s">
        <v>193</v>
      </c>
      <c r="H238" s="105" t="s">
        <v>163</v>
      </c>
      <c r="I238" s="105" t="s">
        <v>164</v>
      </c>
      <c r="J238" s="104" t="s">
        <v>238</v>
      </c>
      <c r="K238" s="106">
        <v>46052</v>
      </c>
      <c r="L238" s="104" t="s">
        <v>14</v>
      </c>
      <c r="M238" s="105">
        <v>50</v>
      </c>
      <c r="N238" s="104" t="s">
        <v>166</v>
      </c>
      <c r="O238" s="105">
        <v>190470</v>
      </c>
      <c r="P238" t="str">
        <f>VLOOKUP(VALUE(C238),Class20251!D:G,4,0)</f>
        <v>Phạm Huy Hoàng</v>
      </c>
    </row>
    <row r="239" spans="1:16" ht="16.5">
      <c r="A239" s="126" t="s">
        <v>362</v>
      </c>
      <c r="B239" s="105">
        <v>190474</v>
      </c>
      <c r="C239" s="105">
        <v>161502</v>
      </c>
      <c r="D239" s="104" t="s">
        <v>317</v>
      </c>
      <c r="E239" s="104" t="s">
        <v>318</v>
      </c>
      <c r="F239" s="104" t="s">
        <v>319</v>
      </c>
      <c r="G239" s="104" t="s">
        <v>169</v>
      </c>
      <c r="H239" s="105" t="s">
        <v>163</v>
      </c>
      <c r="I239" s="105" t="s">
        <v>194</v>
      </c>
      <c r="J239" s="104" t="s">
        <v>215</v>
      </c>
      <c r="K239" s="106">
        <v>46057</v>
      </c>
      <c r="L239" s="104" t="s">
        <v>14</v>
      </c>
      <c r="M239" s="105">
        <v>42</v>
      </c>
      <c r="N239" s="104" t="s">
        <v>166</v>
      </c>
      <c r="O239" s="105">
        <v>190474</v>
      </c>
      <c r="P239" t="str">
        <f>VLOOKUP(VALUE(C239),Class20251!D:G,4,0)</f>
        <v>Trịnh Anh Phúc</v>
      </c>
    </row>
    <row r="240" spans="1:16" ht="16.5">
      <c r="A240" s="126" t="s">
        <v>362</v>
      </c>
      <c r="B240" s="105">
        <v>190475</v>
      </c>
      <c r="C240" s="105">
        <v>162297</v>
      </c>
      <c r="D240" s="104" t="s">
        <v>317</v>
      </c>
      <c r="E240" s="104" t="s">
        <v>318</v>
      </c>
      <c r="F240" s="104" t="s">
        <v>320</v>
      </c>
      <c r="G240" s="104" t="s">
        <v>169</v>
      </c>
      <c r="H240" s="105" t="s">
        <v>163</v>
      </c>
      <c r="I240" s="105" t="s">
        <v>194</v>
      </c>
      <c r="J240" s="104" t="s">
        <v>215</v>
      </c>
      <c r="K240" s="106">
        <v>46057</v>
      </c>
      <c r="L240" s="104" t="s">
        <v>14</v>
      </c>
      <c r="M240" s="105">
        <v>47</v>
      </c>
      <c r="N240" s="104" t="s">
        <v>166</v>
      </c>
      <c r="O240" s="105">
        <v>190475</v>
      </c>
      <c r="P240" t="str">
        <f>VLOOKUP(VALUE(C240),Class20251!D:G,4,0)</f>
        <v>Nguyễn Thị Kim Anh</v>
      </c>
    </row>
    <row r="241" spans="1:16" ht="16.5">
      <c r="A241" s="126" t="s">
        <v>362</v>
      </c>
      <c r="B241" s="105">
        <v>190476</v>
      </c>
      <c r="C241" s="105">
        <v>162298</v>
      </c>
      <c r="D241" s="104" t="s">
        <v>317</v>
      </c>
      <c r="E241" s="104" t="s">
        <v>318</v>
      </c>
      <c r="F241" s="104" t="s">
        <v>320</v>
      </c>
      <c r="G241" s="104" t="s">
        <v>193</v>
      </c>
      <c r="H241" s="105" t="s">
        <v>163</v>
      </c>
      <c r="I241" s="105" t="s">
        <v>194</v>
      </c>
      <c r="J241" s="104" t="s">
        <v>215</v>
      </c>
      <c r="K241" s="106">
        <v>46057</v>
      </c>
      <c r="L241" s="104" t="s">
        <v>14</v>
      </c>
      <c r="M241" s="105">
        <v>40</v>
      </c>
      <c r="N241" s="104" t="s">
        <v>166</v>
      </c>
      <c r="O241" s="105">
        <v>190476</v>
      </c>
      <c r="P241" t="str">
        <f>VLOOKUP(VALUE(C241),Class20251!D:G,4,0)</f>
        <v>Lê Đức Hậu</v>
      </c>
    </row>
    <row r="242" spans="1:16" ht="16.5">
      <c r="A242" s="126" t="s">
        <v>362</v>
      </c>
      <c r="B242" s="105">
        <v>190477</v>
      </c>
      <c r="C242" s="105">
        <v>162298</v>
      </c>
      <c r="D242" s="104" t="s">
        <v>317</v>
      </c>
      <c r="E242" s="104" t="s">
        <v>318</v>
      </c>
      <c r="F242" s="104" t="s">
        <v>320</v>
      </c>
      <c r="G242" s="104" t="s">
        <v>196</v>
      </c>
      <c r="H242" s="105" t="s">
        <v>163</v>
      </c>
      <c r="I242" s="105" t="s">
        <v>194</v>
      </c>
      <c r="J242" s="104" t="s">
        <v>215</v>
      </c>
      <c r="K242" s="106">
        <v>46057</v>
      </c>
      <c r="L242" s="104" t="s">
        <v>14</v>
      </c>
      <c r="M242" s="105">
        <v>39</v>
      </c>
      <c r="N242" s="104" t="s">
        <v>166</v>
      </c>
      <c r="O242" s="105">
        <v>190477</v>
      </c>
      <c r="P242" t="str">
        <f>VLOOKUP(VALUE(C242),Class20251!D:G,4,0)</f>
        <v>Lê Đức Hậu</v>
      </c>
    </row>
    <row r="243" spans="1:16" ht="16.5">
      <c r="A243" s="126" t="s">
        <v>362</v>
      </c>
      <c r="B243" s="105">
        <v>190478</v>
      </c>
      <c r="C243" s="105">
        <v>164858</v>
      </c>
      <c r="D243" s="104" t="s">
        <v>321</v>
      </c>
      <c r="E243" s="104" t="s">
        <v>322</v>
      </c>
      <c r="F243" s="104" t="s">
        <v>323</v>
      </c>
      <c r="G243" s="104" t="s">
        <v>169</v>
      </c>
      <c r="H243" s="105" t="s">
        <v>163</v>
      </c>
      <c r="I243" s="105" t="s">
        <v>164</v>
      </c>
      <c r="J243" s="104" t="s">
        <v>278</v>
      </c>
      <c r="K243" s="106">
        <v>46049</v>
      </c>
      <c r="L243" s="104" t="s">
        <v>14</v>
      </c>
      <c r="M243" s="105">
        <v>46</v>
      </c>
      <c r="N243" s="104" t="s">
        <v>166</v>
      </c>
      <c r="O243" s="105">
        <v>190478</v>
      </c>
      <c r="P243" t="str">
        <f>VLOOKUP(VALUE(C243),Class20251!D:G,4,0)</f>
        <v>Tạ Duy Hoàng</v>
      </c>
    </row>
    <row r="244" spans="1:16" ht="16.5">
      <c r="A244" s="126" t="s">
        <v>362</v>
      </c>
      <c r="B244" s="105">
        <v>190479</v>
      </c>
      <c r="C244" s="105">
        <v>162321</v>
      </c>
      <c r="D244" s="104" t="s">
        <v>136</v>
      </c>
      <c r="E244" s="104" t="s">
        <v>324</v>
      </c>
      <c r="F244" s="104" t="s">
        <v>325</v>
      </c>
      <c r="G244" s="104" t="s">
        <v>169</v>
      </c>
      <c r="H244" s="105" t="s">
        <v>163</v>
      </c>
      <c r="I244" s="105" t="s">
        <v>228</v>
      </c>
      <c r="J244" s="104" t="s">
        <v>238</v>
      </c>
      <c r="K244" s="106">
        <v>46045</v>
      </c>
      <c r="L244" s="104" t="s">
        <v>14</v>
      </c>
      <c r="M244" s="105">
        <v>21</v>
      </c>
      <c r="N244" s="104" t="s">
        <v>166</v>
      </c>
      <c r="O244" s="105">
        <v>190479</v>
      </c>
      <c r="P244" t="str">
        <f>VLOOKUP(VALUE(C244),Class20251!D:G,4,0)</f>
        <v>Nguyễn Thị Hoàng Lan</v>
      </c>
    </row>
    <row r="245" spans="1:16" ht="16.5">
      <c r="A245" s="126" t="s">
        <v>362</v>
      </c>
      <c r="B245" s="105">
        <v>190480</v>
      </c>
      <c r="C245" s="105">
        <v>161504</v>
      </c>
      <c r="D245" s="104" t="s">
        <v>71</v>
      </c>
      <c r="E245" s="104" t="s">
        <v>326</v>
      </c>
      <c r="F245" s="104" t="s">
        <v>291</v>
      </c>
      <c r="G245" s="104" t="s">
        <v>169</v>
      </c>
      <c r="H245" s="105" t="s">
        <v>163</v>
      </c>
      <c r="I245" s="105" t="s">
        <v>228</v>
      </c>
      <c r="J245" s="104" t="s">
        <v>238</v>
      </c>
      <c r="K245" s="106">
        <v>46045</v>
      </c>
      <c r="L245" s="104" t="s">
        <v>15</v>
      </c>
      <c r="M245" s="105">
        <v>46</v>
      </c>
      <c r="N245" s="104" t="s">
        <v>166</v>
      </c>
      <c r="O245" s="105">
        <v>190480</v>
      </c>
      <c r="P245" t="str">
        <f>VLOOKUP(VALUE(C245),Class20251!D:G,4,0)</f>
        <v>Nguyễn Đình Thuận</v>
      </c>
    </row>
    <row r="246" spans="1:16" ht="16.5">
      <c r="A246" s="126" t="s">
        <v>362</v>
      </c>
      <c r="B246" s="105">
        <v>190482</v>
      </c>
      <c r="C246" s="105">
        <v>162316</v>
      </c>
      <c r="D246" s="104" t="s">
        <v>71</v>
      </c>
      <c r="E246" s="104" t="s">
        <v>326</v>
      </c>
      <c r="F246" s="104" t="s">
        <v>327</v>
      </c>
      <c r="G246" s="104" t="s">
        <v>196</v>
      </c>
      <c r="H246" s="105" t="s">
        <v>163</v>
      </c>
      <c r="I246" s="105" t="s">
        <v>228</v>
      </c>
      <c r="J246" s="104" t="s">
        <v>238</v>
      </c>
      <c r="K246" s="106">
        <v>46045</v>
      </c>
      <c r="L246" s="104" t="s">
        <v>15</v>
      </c>
      <c r="M246" s="105">
        <v>55</v>
      </c>
      <c r="N246" s="104" t="s">
        <v>166</v>
      </c>
      <c r="O246" s="105">
        <v>190482</v>
      </c>
      <c r="P246" t="str">
        <f>VLOOKUP(VALUE(C246),Class20251!D:G,4,0)</f>
        <v>Phạm Ngọc Hưng</v>
      </c>
    </row>
    <row r="247" spans="1:16" ht="16.5">
      <c r="A247" s="126" t="s">
        <v>362</v>
      </c>
      <c r="B247" s="105">
        <v>190481</v>
      </c>
      <c r="C247" s="105">
        <v>162316</v>
      </c>
      <c r="D247" s="104" t="s">
        <v>71</v>
      </c>
      <c r="E247" s="104" t="s">
        <v>326</v>
      </c>
      <c r="F247" s="104" t="s">
        <v>327</v>
      </c>
      <c r="G247" s="104" t="s">
        <v>193</v>
      </c>
      <c r="H247" s="105" t="s">
        <v>163</v>
      </c>
      <c r="I247" s="105" t="s">
        <v>228</v>
      </c>
      <c r="J247" s="104" t="s">
        <v>238</v>
      </c>
      <c r="K247" s="106">
        <v>46045</v>
      </c>
      <c r="L247" s="104" t="s">
        <v>15</v>
      </c>
      <c r="M247" s="105">
        <v>56</v>
      </c>
      <c r="N247" s="104" t="s">
        <v>166</v>
      </c>
      <c r="O247" s="105">
        <v>190481</v>
      </c>
      <c r="P247" t="str">
        <f>VLOOKUP(VALUE(C247),Class20251!D:G,4,0)</f>
        <v>Phạm Ngọc Hưng</v>
      </c>
    </row>
    <row r="248" spans="1:16" ht="16.5">
      <c r="A248" s="126" t="s">
        <v>362</v>
      </c>
      <c r="B248" s="105">
        <v>190484</v>
      </c>
      <c r="C248" s="105">
        <v>162317</v>
      </c>
      <c r="D248" s="104" t="s">
        <v>71</v>
      </c>
      <c r="E248" s="104" t="s">
        <v>326</v>
      </c>
      <c r="F248" s="104" t="s">
        <v>327</v>
      </c>
      <c r="G248" s="104" t="s">
        <v>193</v>
      </c>
      <c r="H248" s="105" t="s">
        <v>163</v>
      </c>
      <c r="I248" s="105" t="s">
        <v>228</v>
      </c>
      <c r="J248" s="104" t="s">
        <v>238</v>
      </c>
      <c r="K248" s="106">
        <v>46045</v>
      </c>
      <c r="L248" s="104" t="s">
        <v>15</v>
      </c>
      <c r="M248" s="105">
        <v>57</v>
      </c>
      <c r="N248" s="104" t="s">
        <v>166</v>
      </c>
      <c r="O248" s="105">
        <v>190484</v>
      </c>
      <c r="P248" t="str">
        <f>VLOOKUP(VALUE(C248),Class20251!D:G,4,0)</f>
        <v>Lê Bá Vui</v>
      </c>
    </row>
    <row r="249" spans="1:16" ht="16.5">
      <c r="A249" s="126" t="s">
        <v>362</v>
      </c>
      <c r="B249" s="105">
        <v>190483</v>
      </c>
      <c r="C249" s="105">
        <v>162317</v>
      </c>
      <c r="D249" s="104" t="s">
        <v>71</v>
      </c>
      <c r="E249" s="104" t="s">
        <v>326</v>
      </c>
      <c r="F249" s="104" t="s">
        <v>327</v>
      </c>
      <c r="G249" s="104" t="s">
        <v>196</v>
      </c>
      <c r="H249" s="105" t="s">
        <v>163</v>
      </c>
      <c r="I249" s="105" t="s">
        <v>228</v>
      </c>
      <c r="J249" s="104" t="s">
        <v>238</v>
      </c>
      <c r="K249" s="106">
        <v>46045</v>
      </c>
      <c r="L249" s="104" t="s">
        <v>15</v>
      </c>
      <c r="M249" s="105">
        <v>57</v>
      </c>
      <c r="N249" s="104" t="s">
        <v>166</v>
      </c>
      <c r="O249" s="105">
        <v>190483</v>
      </c>
      <c r="P249" t="str">
        <f>VLOOKUP(VALUE(C249),Class20251!D:G,4,0)</f>
        <v>Lê Bá Vui</v>
      </c>
    </row>
    <row r="250" spans="1:16" ht="16.5">
      <c r="A250" s="126" t="s">
        <v>362</v>
      </c>
      <c r="B250" s="105">
        <v>190486</v>
      </c>
      <c r="C250" s="105">
        <v>162318</v>
      </c>
      <c r="D250" s="104" t="s">
        <v>71</v>
      </c>
      <c r="E250" s="104" t="s">
        <v>326</v>
      </c>
      <c r="F250" s="104" t="s">
        <v>327</v>
      </c>
      <c r="G250" s="104" t="s">
        <v>193</v>
      </c>
      <c r="H250" s="105" t="s">
        <v>163</v>
      </c>
      <c r="I250" s="105" t="s">
        <v>228</v>
      </c>
      <c r="J250" s="104" t="s">
        <v>238</v>
      </c>
      <c r="K250" s="106">
        <v>46045</v>
      </c>
      <c r="L250" s="104" t="s">
        <v>15</v>
      </c>
      <c r="M250" s="105">
        <v>36</v>
      </c>
      <c r="N250" s="104" t="s">
        <v>166</v>
      </c>
      <c r="O250" s="105">
        <v>190486</v>
      </c>
      <c r="P250" t="str">
        <f>VLOOKUP(VALUE(C250),Class20251!D:G,4,0)</f>
        <v>Đặng Tuấn Linh</v>
      </c>
    </row>
    <row r="251" spans="1:16" ht="16.5">
      <c r="A251" s="126" t="s">
        <v>362</v>
      </c>
      <c r="B251" s="105">
        <v>190485</v>
      </c>
      <c r="C251" s="105">
        <v>162318</v>
      </c>
      <c r="D251" s="104" t="s">
        <v>71</v>
      </c>
      <c r="E251" s="104" t="s">
        <v>326</v>
      </c>
      <c r="F251" s="104" t="s">
        <v>327</v>
      </c>
      <c r="G251" s="104" t="s">
        <v>196</v>
      </c>
      <c r="H251" s="105" t="s">
        <v>163</v>
      </c>
      <c r="I251" s="105" t="s">
        <v>228</v>
      </c>
      <c r="J251" s="104" t="s">
        <v>238</v>
      </c>
      <c r="K251" s="106">
        <v>46045</v>
      </c>
      <c r="L251" s="104" t="s">
        <v>15</v>
      </c>
      <c r="M251" s="105">
        <v>36</v>
      </c>
      <c r="N251" s="104" t="s">
        <v>166</v>
      </c>
      <c r="O251" s="105">
        <v>190485</v>
      </c>
      <c r="P251" t="str">
        <f>VLOOKUP(VALUE(C251),Class20251!D:G,4,0)</f>
        <v>Đặng Tuấn Linh</v>
      </c>
    </row>
    <row r="252" spans="1:16" ht="16.5">
      <c r="A252" s="126" t="s">
        <v>362</v>
      </c>
      <c r="B252" s="105">
        <v>190488</v>
      </c>
      <c r="C252" s="105">
        <v>164866</v>
      </c>
      <c r="D252" s="104" t="s">
        <v>328</v>
      </c>
      <c r="E252" s="104" t="s">
        <v>329</v>
      </c>
      <c r="F252" s="104" t="s">
        <v>275</v>
      </c>
      <c r="G252" s="104" t="s">
        <v>169</v>
      </c>
      <c r="H252" s="105" t="s">
        <v>163</v>
      </c>
      <c r="I252" s="105" t="s">
        <v>228</v>
      </c>
      <c r="J252" s="104" t="s">
        <v>283</v>
      </c>
      <c r="K252" s="106">
        <v>46044</v>
      </c>
      <c r="L252" s="104" t="s">
        <v>11</v>
      </c>
      <c r="M252" s="105">
        <v>29</v>
      </c>
      <c r="N252" s="104" t="s">
        <v>166</v>
      </c>
      <c r="O252" s="105">
        <v>190488</v>
      </c>
      <c r="P252" t="str">
        <f>VLOOKUP(VALUE(C252),Class20251!D:G,4,0)</f>
        <v>Nguyễn Kiêm Hiếu</v>
      </c>
    </row>
    <row r="253" spans="1:16" ht="16.5">
      <c r="A253" s="126" t="s">
        <v>362</v>
      </c>
      <c r="B253" s="105">
        <v>190495</v>
      </c>
      <c r="C253" s="105">
        <v>161624</v>
      </c>
      <c r="D253" s="104" t="s">
        <v>330</v>
      </c>
      <c r="E253" s="104" t="s">
        <v>331</v>
      </c>
      <c r="F253" s="104" t="s">
        <v>299</v>
      </c>
      <c r="G253" s="104" t="s">
        <v>169</v>
      </c>
      <c r="H253" s="105" t="s">
        <v>163</v>
      </c>
      <c r="I253" s="105" t="s">
        <v>194</v>
      </c>
      <c r="J253" s="104" t="s">
        <v>165</v>
      </c>
      <c r="K253" s="106">
        <v>46055</v>
      </c>
      <c r="L253" s="104" t="s">
        <v>14</v>
      </c>
      <c r="M253" s="105">
        <v>52</v>
      </c>
      <c r="N253" s="104" t="s">
        <v>166</v>
      </c>
      <c r="O253" s="105">
        <v>190495</v>
      </c>
      <c r="P253" t="str">
        <f>VLOOKUP(VALUE(C253),Class20251!D:G,4,0)</f>
        <v>Nguyễn Hồng Quang</v>
      </c>
    </row>
    <row r="254" spans="1:16" ht="16.5">
      <c r="A254" s="126" t="s">
        <v>362</v>
      </c>
      <c r="B254" s="105">
        <v>190497</v>
      </c>
      <c r="C254" s="105">
        <v>162311</v>
      </c>
      <c r="D254" s="104" t="s">
        <v>330</v>
      </c>
      <c r="E254" s="104" t="s">
        <v>331</v>
      </c>
      <c r="F254" s="104" t="s">
        <v>316</v>
      </c>
      <c r="G254" s="104" t="s">
        <v>196</v>
      </c>
      <c r="H254" s="105" t="s">
        <v>163</v>
      </c>
      <c r="I254" s="105" t="s">
        <v>194</v>
      </c>
      <c r="J254" s="104" t="s">
        <v>165</v>
      </c>
      <c r="K254" s="106">
        <v>46055</v>
      </c>
      <c r="L254" s="104" t="s">
        <v>14</v>
      </c>
      <c r="M254" s="105">
        <v>57</v>
      </c>
      <c r="N254" s="104" t="s">
        <v>166</v>
      </c>
      <c r="O254" s="105">
        <v>190497</v>
      </c>
      <c r="P254" t="str">
        <f>VLOOKUP(VALUE(C254),Class20251!D:G,4,0)</f>
        <v>Tưởng Văn Đạt</v>
      </c>
    </row>
    <row r="255" spans="1:16" ht="16.5">
      <c r="A255" s="126" t="s">
        <v>362</v>
      </c>
      <c r="B255" s="105">
        <v>190496</v>
      </c>
      <c r="C255" s="105">
        <v>162311</v>
      </c>
      <c r="D255" s="104" t="s">
        <v>330</v>
      </c>
      <c r="E255" s="104" t="s">
        <v>331</v>
      </c>
      <c r="F255" s="104" t="s">
        <v>316</v>
      </c>
      <c r="G255" s="104" t="s">
        <v>193</v>
      </c>
      <c r="H255" s="105" t="s">
        <v>163</v>
      </c>
      <c r="I255" s="105" t="s">
        <v>194</v>
      </c>
      <c r="J255" s="104" t="s">
        <v>165</v>
      </c>
      <c r="K255" s="106">
        <v>46055</v>
      </c>
      <c r="L255" s="104" t="s">
        <v>14</v>
      </c>
      <c r="M255" s="105">
        <v>57</v>
      </c>
      <c r="N255" s="104" t="s">
        <v>166</v>
      </c>
      <c r="O255" s="105">
        <v>190496</v>
      </c>
      <c r="P255" t="str">
        <f>VLOOKUP(VALUE(C255),Class20251!D:G,4,0)</f>
        <v>Tưởng Văn Đạt</v>
      </c>
    </row>
    <row r="256" spans="1:16" ht="16.5">
      <c r="A256" s="126" t="s">
        <v>362</v>
      </c>
      <c r="B256" s="105">
        <v>190498</v>
      </c>
      <c r="C256" s="105">
        <v>162312</v>
      </c>
      <c r="D256" s="104" t="s">
        <v>330</v>
      </c>
      <c r="E256" s="104" t="s">
        <v>331</v>
      </c>
      <c r="F256" s="104" t="s">
        <v>316</v>
      </c>
      <c r="G256" s="104" t="s">
        <v>196</v>
      </c>
      <c r="H256" s="105" t="s">
        <v>163</v>
      </c>
      <c r="I256" s="105" t="s">
        <v>194</v>
      </c>
      <c r="J256" s="104" t="s">
        <v>165</v>
      </c>
      <c r="K256" s="106">
        <v>46055</v>
      </c>
      <c r="L256" s="104" t="s">
        <v>14</v>
      </c>
      <c r="M256" s="105">
        <v>60</v>
      </c>
      <c r="N256" s="104" t="s">
        <v>166</v>
      </c>
      <c r="O256" s="105">
        <v>190498</v>
      </c>
      <c r="P256" t="str">
        <f>VLOOKUP(VALUE(C256),Class20251!D:G,4,0)</f>
        <v>Hoàng Văn Hiệp</v>
      </c>
    </row>
    <row r="257" spans="1:16" ht="16.5">
      <c r="A257" s="126" t="s">
        <v>362</v>
      </c>
      <c r="B257" s="105">
        <v>190499</v>
      </c>
      <c r="C257" s="105">
        <v>162312</v>
      </c>
      <c r="D257" s="104" t="s">
        <v>330</v>
      </c>
      <c r="E257" s="104" t="s">
        <v>331</v>
      </c>
      <c r="F257" s="104" t="s">
        <v>316</v>
      </c>
      <c r="G257" s="104" t="s">
        <v>193</v>
      </c>
      <c r="H257" s="105" t="s">
        <v>163</v>
      </c>
      <c r="I257" s="105" t="s">
        <v>194</v>
      </c>
      <c r="J257" s="104" t="s">
        <v>165</v>
      </c>
      <c r="K257" s="106">
        <v>46055</v>
      </c>
      <c r="L257" s="104" t="s">
        <v>14</v>
      </c>
      <c r="M257" s="105">
        <v>61</v>
      </c>
      <c r="N257" s="104" t="s">
        <v>166</v>
      </c>
      <c r="O257" s="105">
        <v>190499</v>
      </c>
      <c r="P257" t="str">
        <f>VLOOKUP(VALUE(C257),Class20251!D:G,4,0)</f>
        <v>Hoàng Văn Hiệp</v>
      </c>
    </row>
    <row r="258" spans="1:16" ht="16.5">
      <c r="A258" s="126" t="s">
        <v>362</v>
      </c>
      <c r="B258" s="105">
        <v>190501</v>
      </c>
      <c r="C258" s="105">
        <v>162313</v>
      </c>
      <c r="D258" s="104" t="s">
        <v>330</v>
      </c>
      <c r="E258" s="104" t="s">
        <v>331</v>
      </c>
      <c r="F258" s="104" t="s">
        <v>332</v>
      </c>
      <c r="G258" s="104" t="s">
        <v>196</v>
      </c>
      <c r="H258" s="105" t="s">
        <v>163</v>
      </c>
      <c r="I258" s="105" t="s">
        <v>194</v>
      </c>
      <c r="J258" s="104" t="s">
        <v>165</v>
      </c>
      <c r="K258" s="106">
        <v>46055</v>
      </c>
      <c r="L258" s="104" t="s">
        <v>14</v>
      </c>
      <c r="M258" s="105">
        <v>60</v>
      </c>
      <c r="N258" s="104" t="s">
        <v>166</v>
      </c>
      <c r="O258" s="105">
        <v>190501</v>
      </c>
      <c r="P258" t="str">
        <f>VLOOKUP(VALUE(C258),Class20251!D:G,4,0)</f>
        <v>Nguyễn Hồng Quang</v>
      </c>
    </row>
    <row r="259" spans="1:16" ht="16.5">
      <c r="A259" s="126" t="s">
        <v>362</v>
      </c>
      <c r="B259" s="105">
        <v>190500</v>
      </c>
      <c r="C259" s="105">
        <v>162313</v>
      </c>
      <c r="D259" s="104" t="s">
        <v>330</v>
      </c>
      <c r="E259" s="104" t="s">
        <v>331</v>
      </c>
      <c r="F259" s="104" t="s">
        <v>332</v>
      </c>
      <c r="G259" s="104" t="s">
        <v>193</v>
      </c>
      <c r="H259" s="105" t="s">
        <v>163</v>
      </c>
      <c r="I259" s="105" t="s">
        <v>194</v>
      </c>
      <c r="J259" s="104" t="s">
        <v>165</v>
      </c>
      <c r="K259" s="106">
        <v>46055</v>
      </c>
      <c r="L259" s="104" t="s">
        <v>14</v>
      </c>
      <c r="M259" s="105">
        <v>60</v>
      </c>
      <c r="N259" s="104" t="s">
        <v>166</v>
      </c>
      <c r="O259" s="105">
        <v>190500</v>
      </c>
      <c r="P259" t="str">
        <f>VLOOKUP(VALUE(C259),Class20251!D:G,4,0)</f>
        <v>Nguyễn Hồng Quang</v>
      </c>
    </row>
    <row r="260" spans="1:16" ht="16.5">
      <c r="A260" s="126" t="s">
        <v>362</v>
      </c>
      <c r="B260" s="105">
        <v>190509</v>
      </c>
      <c r="C260" s="105">
        <v>161864</v>
      </c>
      <c r="D260" s="104" t="s">
        <v>333</v>
      </c>
      <c r="E260" s="104" t="s">
        <v>334</v>
      </c>
      <c r="F260" s="104" t="s">
        <v>335</v>
      </c>
      <c r="G260" s="104" t="s">
        <v>169</v>
      </c>
      <c r="H260" s="105" t="s">
        <v>163</v>
      </c>
      <c r="I260" s="105" t="s">
        <v>164</v>
      </c>
      <c r="J260" s="104" t="s">
        <v>283</v>
      </c>
      <c r="K260" s="106">
        <v>46051</v>
      </c>
      <c r="L260" s="104" t="s">
        <v>13</v>
      </c>
      <c r="M260" s="105">
        <v>42</v>
      </c>
      <c r="N260" s="104" t="s">
        <v>166</v>
      </c>
      <c r="O260" s="105">
        <v>190509</v>
      </c>
      <c r="P260" t="str">
        <f>VLOOKUP(VALUE(C260),Class20251!D:G,4,0)</f>
        <v>Hoàng Văn Hiệp</v>
      </c>
    </row>
    <row r="261" spans="1:16" ht="16.5">
      <c r="A261" s="126" t="s">
        <v>362</v>
      </c>
      <c r="B261" s="105">
        <v>190510</v>
      </c>
      <c r="C261" s="105">
        <v>162303</v>
      </c>
      <c r="D261" s="104" t="s">
        <v>336</v>
      </c>
      <c r="E261" s="104" t="s">
        <v>337</v>
      </c>
      <c r="F261" s="104" t="s">
        <v>338</v>
      </c>
      <c r="G261" s="104" t="s">
        <v>169</v>
      </c>
      <c r="H261" s="105" t="s">
        <v>163</v>
      </c>
      <c r="I261" s="105" t="s">
        <v>164</v>
      </c>
      <c r="J261" s="104" t="s">
        <v>283</v>
      </c>
      <c r="K261" s="106">
        <v>46051</v>
      </c>
      <c r="L261" s="104" t="s">
        <v>14</v>
      </c>
      <c r="M261" s="105">
        <v>36</v>
      </c>
      <c r="N261" s="104" t="s">
        <v>166</v>
      </c>
      <c r="O261" s="105">
        <v>190510</v>
      </c>
      <c r="P261" t="str">
        <f>VLOOKUP(VALUE(C261),Class20251!D:G,4,0)</f>
        <v>Nguyễn Tiến Thành</v>
      </c>
    </row>
    <row r="262" spans="1:16" ht="16.5">
      <c r="A262" s="126" t="s">
        <v>362</v>
      </c>
      <c r="B262" s="105">
        <v>190511</v>
      </c>
      <c r="C262" s="105">
        <v>162304</v>
      </c>
      <c r="D262" s="104" t="s">
        <v>336</v>
      </c>
      <c r="E262" s="104" t="s">
        <v>337</v>
      </c>
      <c r="F262" s="104" t="s">
        <v>338</v>
      </c>
      <c r="G262" s="104" t="s">
        <v>196</v>
      </c>
      <c r="H262" s="105" t="s">
        <v>163</v>
      </c>
      <c r="I262" s="105" t="s">
        <v>164</v>
      </c>
      <c r="J262" s="104" t="s">
        <v>283</v>
      </c>
      <c r="K262" s="106">
        <v>46051</v>
      </c>
      <c r="L262" s="104" t="s">
        <v>14</v>
      </c>
      <c r="M262" s="105">
        <v>40</v>
      </c>
      <c r="N262" s="104" t="s">
        <v>166</v>
      </c>
      <c r="O262" s="105">
        <v>190511</v>
      </c>
      <c r="P262" t="str">
        <f>VLOOKUP(VALUE(C262),Class20251!D:G,4,0)</f>
        <v>Nguyễn Mạnh Tuấn (0.5) - Nguyễn Quốc Tuấn (0.5)</v>
      </c>
    </row>
    <row r="263" spans="1:16" ht="16.5">
      <c r="A263" s="126" t="s">
        <v>362</v>
      </c>
      <c r="B263" s="105">
        <v>190512</v>
      </c>
      <c r="C263" s="105">
        <v>162304</v>
      </c>
      <c r="D263" s="104" t="s">
        <v>336</v>
      </c>
      <c r="E263" s="104" t="s">
        <v>337</v>
      </c>
      <c r="F263" s="104" t="s">
        <v>338</v>
      </c>
      <c r="G263" s="104" t="s">
        <v>193</v>
      </c>
      <c r="H263" s="105" t="s">
        <v>163</v>
      </c>
      <c r="I263" s="105" t="s">
        <v>164</v>
      </c>
      <c r="J263" s="104" t="s">
        <v>283</v>
      </c>
      <c r="K263" s="106">
        <v>46051</v>
      </c>
      <c r="L263" s="104" t="s">
        <v>14</v>
      </c>
      <c r="M263" s="105">
        <v>40</v>
      </c>
      <c r="N263" s="104" t="s">
        <v>166</v>
      </c>
      <c r="O263" s="105">
        <v>190512</v>
      </c>
      <c r="P263" t="str">
        <f>VLOOKUP(VALUE(C263),Class20251!D:G,4,0)</f>
        <v>Nguyễn Mạnh Tuấn (0.5) - Nguyễn Quốc Tuấn (0.5)</v>
      </c>
    </row>
    <row r="264" spans="1:16" ht="16.5">
      <c r="A264" s="126" t="s">
        <v>362</v>
      </c>
      <c r="B264" s="105">
        <v>190513</v>
      </c>
      <c r="C264" s="105">
        <v>161706</v>
      </c>
      <c r="D264" s="104" t="s">
        <v>339</v>
      </c>
      <c r="E264" s="104" t="s">
        <v>340</v>
      </c>
      <c r="F264" s="104" t="s">
        <v>308</v>
      </c>
      <c r="G264" s="104" t="s">
        <v>169</v>
      </c>
      <c r="H264" s="105" t="s">
        <v>163</v>
      </c>
      <c r="I264" s="105" t="s">
        <v>194</v>
      </c>
      <c r="J264" s="104" t="s">
        <v>215</v>
      </c>
      <c r="K264" s="106">
        <v>46057</v>
      </c>
      <c r="L264" s="104" t="s">
        <v>14</v>
      </c>
      <c r="M264" s="105">
        <v>44</v>
      </c>
      <c r="N264" s="104" t="s">
        <v>166</v>
      </c>
      <c r="O264" s="105">
        <v>190513</v>
      </c>
      <c r="P264" t="str">
        <f>VLOOKUP(VALUE(C264),Class20251!D:G,4,0)</f>
        <v>Nguyễn Đức Toàn</v>
      </c>
    </row>
    <row r="265" spans="1:16" ht="16.5">
      <c r="A265" s="126" t="s">
        <v>362</v>
      </c>
      <c r="B265" s="105">
        <v>190517</v>
      </c>
      <c r="C265" s="105">
        <v>161705</v>
      </c>
      <c r="D265" s="104" t="s">
        <v>341</v>
      </c>
      <c r="E265" s="104" t="s">
        <v>342</v>
      </c>
      <c r="F265" s="104" t="s">
        <v>282</v>
      </c>
      <c r="G265" s="104" t="s">
        <v>196</v>
      </c>
      <c r="H265" s="105" t="s">
        <v>163</v>
      </c>
      <c r="I265" s="105" t="s">
        <v>194</v>
      </c>
      <c r="J265" s="104" t="s">
        <v>238</v>
      </c>
      <c r="K265" s="106">
        <v>46059</v>
      </c>
      <c r="L265" s="104" t="s">
        <v>14</v>
      </c>
      <c r="M265" s="105">
        <v>51</v>
      </c>
      <c r="N265" s="104" t="s">
        <v>166</v>
      </c>
      <c r="O265" s="105">
        <v>190517</v>
      </c>
      <c r="P265" t="str">
        <f>VLOOKUP(VALUE(C265),Class20251!D:G,4,0)</f>
        <v>Nguyễn Kiêm Hiếu</v>
      </c>
    </row>
    <row r="266" spans="1:16" ht="16.5">
      <c r="A266" s="126" t="s">
        <v>362</v>
      </c>
      <c r="B266" s="105">
        <v>190518</v>
      </c>
      <c r="C266" s="105">
        <v>161705</v>
      </c>
      <c r="D266" s="104" t="s">
        <v>341</v>
      </c>
      <c r="E266" s="104" t="s">
        <v>342</v>
      </c>
      <c r="F266" s="104" t="s">
        <v>282</v>
      </c>
      <c r="G266" s="104" t="s">
        <v>193</v>
      </c>
      <c r="H266" s="105" t="s">
        <v>163</v>
      </c>
      <c r="I266" s="105" t="s">
        <v>194</v>
      </c>
      <c r="J266" s="104" t="s">
        <v>238</v>
      </c>
      <c r="K266" s="106">
        <v>46059</v>
      </c>
      <c r="L266" s="104" t="s">
        <v>14</v>
      </c>
      <c r="M266" s="105">
        <v>51</v>
      </c>
      <c r="N266" s="104" t="s">
        <v>166</v>
      </c>
      <c r="O266" s="105">
        <v>190518</v>
      </c>
      <c r="P266" t="str">
        <f>VLOOKUP(VALUE(C266),Class20251!D:G,4,0)</f>
        <v>Nguyễn Kiêm Hiếu</v>
      </c>
    </row>
    <row r="267" spans="1:16" ht="16.5">
      <c r="A267" s="126" t="s">
        <v>362</v>
      </c>
      <c r="B267" s="105">
        <v>190523</v>
      </c>
      <c r="C267" s="105">
        <v>162301</v>
      </c>
      <c r="D267" s="104" t="s">
        <v>103</v>
      </c>
      <c r="E267" s="104" t="s">
        <v>343</v>
      </c>
      <c r="F267" s="104" t="s">
        <v>320</v>
      </c>
      <c r="G267" s="104" t="s">
        <v>193</v>
      </c>
      <c r="H267" s="105" t="s">
        <v>163</v>
      </c>
      <c r="I267" s="105" t="s">
        <v>228</v>
      </c>
      <c r="J267" s="104" t="s">
        <v>278</v>
      </c>
      <c r="K267" s="106">
        <v>46042</v>
      </c>
      <c r="L267" s="104" t="s">
        <v>12</v>
      </c>
      <c r="M267" s="105">
        <v>48</v>
      </c>
      <c r="N267" s="104" t="s">
        <v>166</v>
      </c>
      <c r="O267" s="105">
        <v>190523</v>
      </c>
      <c r="P267" t="str">
        <f>VLOOKUP(VALUE(C267),Class20251!D:G,4,0)</f>
        <v>Phạm Văn Hải</v>
      </c>
    </row>
    <row r="268" spans="1:16" ht="16.5">
      <c r="A268" s="126" t="s">
        <v>362</v>
      </c>
      <c r="B268" s="105">
        <v>190524</v>
      </c>
      <c r="C268" s="105">
        <v>162301</v>
      </c>
      <c r="D268" s="104" t="s">
        <v>103</v>
      </c>
      <c r="E268" s="104" t="s">
        <v>343</v>
      </c>
      <c r="F268" s="104" t="s">
        <v>320</v>
      </c>
      <c r="G268" s="104" t="s">
        <v>196</v>
      </c>
      <c r="H268" s="105" t="s">
        <v>163</v>
      </c>
      <c r="I268" s="105" t="s">
        <v>228</v>
      </c>
      <c r="J268" s="104" t="s">
        <v>278</v>
      </c>
      <c r="K268" s="106">
        <v>46042</v>
      </c>
      <c r="L268" s="104" t="s">
        <v>12</v>
      </c>
      <c r="M268" s="105">
        <v>48</v>
      </c>
      <c r="N268" s="104" t="s">
        <v>166</v>
      </c>
      <c r="O268" s="105">
        <v>190524</v>
      </c>
      <c r="P268" t="str">
        <f>VLOOKUP(VALUE(C268),Class20251!D:G,4,0)</f>
        <v>Phạm Văn Hải</v>
      </c>
    </row>
    <row r="269" spans="1:16" ht="16.5">
      <c r="A269" s="126" t="s">
        <v>362</v>
      </c>
      <c r="B269" s="105">
        <v>190522</v>
      </c>
      <c r="C269" s="105">
        <v>162301</v>
      </c>
      <c r="D269" s="104" t="s">
        <v>103</v>
      </c>
      <c r="E269" s="104" t="s">
        <v>343</v>
      </c>
      <c r="F269" s="104" t="s">
        <v>320</v>
      </c>
      <c r="G269" s="104" t="s">
        <v>197</v>
      </c>
      <c r="H269" s="105" t="s">
        <v>163</v>
      </c>
      <c r="I269" s="105" t="s">
        <v>228</v>
      </c>
      <c r="J269" s="104" t="s">
        <v>278</v>
      </c>
      <c r="K269" s="106">
        <v>46042</v>
      </c>
      <c r="L269" s="104" t="s">
        <v>12</v>
      </c>
      <c r="M269" s="105">
        <v>48</v>
      </c>
      <c r="N269" s="104" t="s">
        <v>166</v>
      </c>
      <c r="O269" s="105">
        <v>190522</v>
      </c>
      <c r="P269" t="str">
        <f>VLOOKUP(VALUE(C269),Class20251!D:G,4,0)</f>
        <v>Phạm Văn Hải</v>
      </c>
    </row>
    <row r="270" spans="1:16" ht="16.5">
      <c r="A270" s="126" t="s">
        <v>362</v>
      </c>
      <c r="B270" s="105">
        <v>190525</v>
      </c>
      <c r="C270" s="105">
        <v>161505</v>
      </c>
      <c r="D270" s="104" t="s">
        <v>344</v>
      </c>
      <c r="E270" s="104" t="s">
        <v>345</v>
      </c>
      <c r="F270" s="104" t="s">
        <v>319</v>
      </c>
      <c r="G270" s="104" t="s">
        <v>169</v>
      </c>
      <c r="H270" s="105" t="s">
        <v>163</v>
      </c>
      <c r="I270" s="105" t="s">
        <v>164</v>
      </c>
      <c r="J270" s="104" t="s">
        <v>165</v>
      </c>
      <c r="K270" s="106">
        <v>46048</v>
      </c>
      <c r="L270" s="104" t="s">
        <v>14</v>
      </c>
      <c r="M270" s="105">
        <v>40</v>
      </c>
      <c r="N270" s="104" t="s">
        <v>166</v>
      </c>
      <c r="O270" s="105">
        <v>190525</v>
      </c>
      <c r="P270" t="str">
        <f>VLOOKUP(VALUE(C270),Class20251!D:G,4,0)</f>
        <v>Vũ Tuyết Trinh</v>
      </c>
    </row>
    <row r="271" spans="1:16" ht="16.5">
      <c r="A271" s="126" t="s">
        <v>362</v>
      </c>
      <c r="B271" s="105">
        <v>190527</v>
      </c>
      <c r="C271" s="105">
        <v>162302</v>
      </c>
      <c r="D271" s="104" t="s">
        <v>344</v>
      </c>
      <c r="E271" s="104" t="s">
        <v>345</v>
      </c>
      <c r="F271" s="104" t="s">
        <v>346</v>
      </c>
      <c r="G271" s="104" t="s">
        <v>196</v>
      </c>
      <c r="H271" s="105" t="s">
        <v>163</v>
      </c>
      <c r="I271" s="105" t="s">
        <v>164</v>
      </c>
      <c r="J271" s="104" t="s">
        <v>165</v>
      </c>
      <c r="K271" s="106">
        <v>46048</v>
      </c>
      <c r="L271" s="104" t="s">
        <v>14</v>
      </c>
      <c r="M271" s="105">
        <v>51</v>
      </c>
      <c r="N271" s="104" t="s">
        <v>166</v>
      </c>
      <c r="O271" s="105">
        <v>190527</v>
      </c>
      <c r="P271" t="str">
        <f>VLOOKUP(VALUE(C271),Class20251!D:G,4,0)</f>
        <v>Trần Việt Trung (0.5) - Tạ Duy Hoàng (0.5)</v>
      </c>
    </row>
    <row r="272" spans="1:16" ht="16.5">
      <c r="A272" s="126" t="s">
        <v>362</v>
      </c>
      <c r="B272" s="105">
        <v>190526</v>
      </c>
      <c r="C272" s="105">
        <v>162302</v>
      </c>
      <c r="D272" s="104" t="s">
        <v>344</v>
      </c>
      <c r="E272" s="104" t="s">
        <v>345</v>
      </c>
      <c r="F272" s="104" t="s">
        <v>346</v>
      </c>
      <c r="G272" s="104" t="s">
        <v>193</v>
      </c>
      <c r="H272" s="105" t="s">
        <v>163</v>
      </c>
      <c r="I272" s="105" t="s">
        <v>164</v>
      </c>
      <c r="J272" s="104" t="s">
        <v>165</v>
      </c>
      <c r="K272" s="106">
        <v>46048</v>
      </c>
      <c r="L272" s="104" t="s">
        <v>14</v>
      </c>
      <c r="M272" s="105">
        <v>51</v>
      </c>
      <c r="N272" s="104" t="s">
        <v>166</v>
      </c>
      <c r="O272" s="105">
        <v>190526</v>
      </c>
      <c r="P272" t="str">
        <f>VLOOKUP(VALUE(C272),Class20251!D:G,4,0)</f>
        <v>Trần Việt Trung (0.5) - Tạ Duy Hoàng (0.5)</v>
      </c>
    </row>
    <row r="273" spans="1:16" ht="16.5">
      <c r="A273" s="126" t="s">
        <v>362</v>
      </c>
      <c r="B273" s="105">
        <v>190528</v>
      </c>
      <c r="C273" s="105">
        <v>162302</v>
      </c>
      <c r="D273" s="104" t="s">
        <v>344</v>
      </c>
      <c r="E273" s="104" t="s">
        <v>345</v>
      </c>
      <c r="F273" s="104" t="s">
        <v>346</v>
      </c>
      <c r="G273" s="104" t="s">
        <v>197</v>
      </c>
      <c r="H273" s="105" t="s">
        <v>163</v>
      </c>
      <c r="I273" s="105" t="s">
        <v>164</v>
      </c>
      <c r="J273" s="104" t="s">
        <v>165</v>
      </c>
      <c r="K273" s="106">
        <v>46048</v>
      </c>
      <c r="L273" s="104" t="s">
        <v>14</v>
      </c>
      <c r="M273" s="105">
        <v>50</v>
      </c>
      <c r="N273" s="104" t="s">
        <v>166</v>
      </c>
      <c r="O273" s="105">
        <v>190528</v>
      </c>
      <c r="P273" t="str">
        <f>VLOOKUP(VALUE(C273),Class20251!D:G,4,0)</f>
        <v>Trần Việt Trung (0.5) - Tạ Duy Hoàng (0.5)</v>
      </c>
    </row>
    <row r="274" spans="1:16" ht="16.5">
      <c r="A274" s="126" t="s">
        <v>362</v>
      </c>
      <c r="B274" s="105">
        <v>190530</v>
      </c>
      <c r="C274" s="105">
        <v>162315</v>
      </c>
      <c r="D274" s="104" t="s">
        <v>344</v>
      </c>
      <c r="E274" s="104" t="s">
        <v>345</v>
      </c>
      <c r="F274" s="104" t="s">
        <v>347</v>
      </c>
      <c r="G274" s="104" t="s">
        <v>196</v>
      </c>
      <c r="H274" s="105" t="s">
        <v>163</v>
      </c>
      <c r="I274" s="105" t="s">
        <v>164</v>
      </c>
      <c r="J274" s="104" t="s">
        <v>165</v>
      </c>
      <c r="K274" s="106">
        <v>46048</v>
      </c>
      <c r="L274" s="104" t="s">
        <v>14</v>
      </c>
      <c r="M274" s="105">
        <v>69</v>
      </c>
      <c r="N274" s="104" t="s">
        <v>166</v>
      </c>
      <c r="O274" s="105">
        <v>190530</v>
      </c>
      <c r="P274" t="str">
        <f>VLOOKUP(VALUE(C274),Class20251!D:G,4,0)</f>
        <v>Nguyễn Hữu Đức</v>
      </c>
    </row>
    <row r="275" spans="1:16" ht="16.5">
      <c r="A275" s="126" t="s">
        <v>362</v>
      </c>
      <c r="B275" s="105">
        <v>190529</v>
      </c>
      <c r="C275" s="105">
        <v>162315</v>
      </c>
      <c r="D275" s="104" t="s">
        <v>344</v>
      </c>
      <c r="E275" s="104" t="s">
        <v>345</v>
      </c>
      <c r="F275" s="104" t="s">
        <v>347</v>
      </c>
      <c r="G275" s="104" t="s">
        <v>193</v>
      </c>
      <c r="H275" s="105" t="s">
        <v>163</v>
      </c>
      <c r="I275" s="105" t="s">
        <v>164</v>
      </c>
      <c r="J275" s="104" t="s">
        <v>165</v>
      </c>
      <c r="K275" s="106">
        <v>46048</v>
      </c>
      <c r="L275" s="104" t="s">
        <v>14</v>
      </c>
      <c r="M275" s="105">
        <v>69</v>
      </c>
      <c r="N275" s="104" t="s">
        <v>166</v>
      </c>
      <c r="O275" s="105">
        <v>190529</v>
      </c>
      <c r="P275" t="str">
        <f>VLOOKUP(VALUE(C275),Class20251!D:G,4,0)</f>
        <v>Nguyễn Hữu Đức</v>
      </c>
    </row>
    <row r="276" spans="1:16" ht="16.5">
      <c r="A276" s="126" t="s">
        <v>362</v>
      </c>
      <c r="B276" s="105">
        <v>190593</v>
      </c>
      <c r="C276" s="105">
        <v>164867</v>
      </c>
      <c r="D276" s="104" t="s">
        <v>348</v>
      </c>
      <c r="E276" s="104" t="s">
        <v>349</v>
      </c>
      <c r="F276" s="104" t="s">
        <v>275</v>
      </c>
      <c r="G276" s="104" t="s">
        <v>169</v>
      </c>
      <c r="H276" s="105" t="s">
        <v>163</v>
      </c>
      <c r="I276" s="105" t="s">
        <v>194</v>
      </c>
      <c r="J276" s="104" t="s">
        <v>283</v>
      </c>
      <c r="K276" s="106">
        <v>46058</v>
      </c>
      <c r="L276" s="104" t="s">
        <v>11</v>
      </c>
      <c r="M276" s="105">
        <v>30</v>
      </c>
      <c r="N276" s="104" t="s">
        <v>166</v>
      </c>
      <c r="O276" s="105">
        <v>190593</v>
      </c>
      <c r="P276" t="str">
        <f>VLOOKUP(VALUE(C276),Class20251!D:G,4,0)</f>
        <v>Nguyễn Thị Oanh</v>
      </c>
    </row>
    <row r="277" spans="1:16" ht="16.5">
      <c r="A277" s="126" t="s">
        <v>362</v>
      </c>
      <c r="B277" s="105">
        <v>190595</v>
      </c>
      <c r="C277" s="105">
        <v>164861</v>
      </c>
      <c r="D277" s="104" t="s">
        <v>350</v>
      </c>
      <c r="E277" s="104" t="s">
        <v>351</v>
      </c>
      <c r="F277" s="104" t="s">
        <v>352</v>
      </c>
      <c r="G277" s="104" t="s">
        <v>169</v>
      </c>
      <c r="H277" s="105" t="s">
        <v>163</v>
      </c>
      <c r="I277" s="105" t="s">
        <v>164</v>
      </c>
      <c r="J277" s="104" t="s">
        <v>215</v>
      </c>
      <c r="K277" s="106">
        <v>46050</v>
      </c>
      <c r="L277" s="104" t="s">
        <v>11</v>
      </c>
      <c r="M277" s="105">
        <v>63</v>
      </c>
      <c r="N277" s="104" t="s">
        <v>166</v>
      </c>
      <c r="O277" s="105">
        <v>190595</v>
      </c>
      <c r="P277" t="str">
        <f>VLOOKUP(VALUE(C277),Class20251!D:G,4,0)</f>
        <v>Nguyễn Sơn Tùng (0.3) - Lê Thanh Hương (0.7)</v>
      </c>
    </row>
    <row r="278" spans="1:16" ht="16.5">
      <c r="A278" s="126" t="s">
        <v>362</v>
      </c>
      <c r="B278" s="105">
        <v>190596</v>
      </c>
      <c r="C278" s="105">
        <v>164862</v>
      </c>
      <c r="D278" s="104" t="s">
        <v>353</v>
      </c>
      <c r="E278" s="104" t="s">
        <v>354</v>
      </c>
      <c r="F278" s="104" t="s">
        <v>352</v>
      </c>
      <c r="G278" s="104" t="s">
        <v>169</v>
      </c>
      <c r="H278" s="105" t="s">
        <v>163</v>
      </c>
      <c r="I278" s="105" t="s">
        <v>164</v>
      </c>
      <c r="J278" s="104" t="s">
        <v>238</v>
      </c>
      <c r="K278" s="106">
        <v>46052</v>
      </c>
      <c r="L278" s="104" t="s">
        <v>11</v>
      </c>
      <c r="M278" s="105">
        <v>61</v>
      </c>
      <c r="N278" s="104" t="s">
        <v>166</v>
      </c>
      <c r="O278" s="105">
        <v>190596</v>
      </c>
      <c r="P278" t="str">
        <f>VLOOKUP(VALUE(C278),Class20251!D:G,4,0)</f>
        <v>Ngô Văn Linh</v>
      </c>
    </row>
    <row r="279" spans="1:16" ht="16.5">
      <c r="A279" s="126" t="s">
        <v>362</v>
      </c>
      <c r="B279" s="105">
        <v>190600</v>
      </c>
      <c r="C279" s="105">
        <v>162267</v>
      </c>
      <c r="D279" s="104" t="s">
        <v>135</v>
      </c>
      <c r="E279" s="104" t="s">
        <v>355</v>
      </c>
      <c r="F279" s="104" t="s">
        <v>274</v>
      </c>
      <c r="G279" s="104" t="s">
        <v>169</v>
      </c>
      <c r="H279" s="105" t="s">
        <v>163</v>
      </c>
      <c r="I279" s="105" t="s">
        <v>228</v>
      </c>
      <c r="J279" s="104" t="s">
        <v>238</v>
      </c>
      <c r="K279" s="106">
        <v>46045</v>
      </c>
      <c r="L279" s="104" t="s">
        <v>13</v>
      </c>
      <c r="M279" s="105">
        <v>37</v>
      </c>
      <c r="N279" s="104" t="s">
        <v>166</v>
      </c>
      <c r="O279" s="105">
        <v>190600</v>
      </c>
      <c r="P279" t="str">
        <f>VLOOKUP(VALUE(C279),Class20251!D:G,4,0)</f>
        <v>Nguyễn Hữu Đức</v>
      </c>
    </row>
    <row r="280" spans="1:16" ht="16.5">
      <c r="A280" s="126" t="s">
        <v>362</v>
      </c>
      <c r="B280" s="18">
        <v>190467</v>
      </c>
      <c r="C280" s="18">
        <v>161250</v>
      </c>
      <c r="D280" s="18" t="s">
        <v>314</v>
      </c>
      <c r="E280" s="19" t="s">
        <v>315</v>
      </c>
      <c r="F280" s="19" t="s">
        <v>356</v>
      </c>
      <c r="G280" s="21" t="s">
        <v>193</v>
      </c>
      <c r="H280" s="20" t="s">
        <v>163</v>
      </c>
      <c r="I280" s="21" t="s">
        <v>164</v>
      </c>
      <c r="J280" s="21" t="s">
        <v>238</v>
      </c>
      <c r="K280" s="22">
        <v>46052</v>
      </c>
      <c r="L280" s="21" t="s">
        <v>14</v>
      </c>
      <c r="M280" s="20">
        <v>43</v>
      </c>
      <c r="N280" s="21" t="s">
        <v>358</v>
      </c>
      <c r="O280" s="18">
        <v>190467</v>
      </c>
      <c r="P280" t="str">
        <f>VLOOKUP(VALUE(C280),Class20251!D:G,4,0)</f>
        <v>Phạm Huy Hoàng</v>
      </c>
    </row>
    <row r="281" spans="1:16" ht="16.5">
      <c r="A281" s="126" t="s">
        <v>362</v>
      </c>
      <c r="B281" s="18">
        <v>190468</v>
      </c>
      <c r="C281" s="18">
        <v>161250</v>
      </c>
      <c r="D281" s="18" t="s">
        <v>314</v>
      </c>
      <c r="E281" s="19" t="s">
        <v>315</v>
      </c>
      <c r="F281" s="19" t="s">
        <v>356</v>
      </c>
      <c r="G281" s="21" t="s">
        <v>196</v>
      </c>
      <c r="H281" s="20" t="s">
        <v>163</v>
      </c>
      <c r="I281" s="21" t="s">
        <v>164</v>
      </c>
      <c r="J281" s="21" t="s">
        <v>238</v>
      </c>
      <c r="K281" s="22">
        <v>46052</v>
      </c>
      <c r="L281" s="21" t="s">
        <v>14</v>
      </c>
      <c r="M281" s="20">
        <v>42</v>
      </c>
      <c r="N281" s="21" t="s">
        <v>358</v>
      </c>
      <c r="O281" s="18">
        <v>190468</v>
      </c>
      <c r="P281" t="str">
        <f>VLOOKUP(VALUE(C281),Class20251!D:G,4,0)</f>
        <v>Phạm Huy Hoàng</v>
      </c>
    </row>
    <row r="282" spans="1:16" ht="16.5">
      <c r="A282" s="126" t="s">
        <v>362</v>
      </c>
      <c r="B282" s="18">
        <v>190489</v>
      </c>
      <c r="C282" s="18">
        <v>161251</v>
      </c>
      <c r="D282" s="18" t="s">
        <v>330</v>
      </c>
      <c r="E282" s="19" t="s">
        <v>331</v>
      </c>
      <c r="F282" s="19" t="s">
        <v>366</v>
      </c>
      <c r="G282" s="21" t="s">
        <v>196</v>
      </c>
      <c r="H282" s="20" t="s">
        <v>163</v>
      </c>
      <c r="I282" s="21" t="s">
        <v>194</v>
      </c>
      <c r="J282" s="21" t="s">
        <v>165</v>
      </c>
      <c r="K282" s="22">
        <v>46055</v>
      </c>
      <c r="L282" s="21" t="s">
        <v>367</v>
      </c>
      <c r="M282" s="20">
        <v>51</v>
      </c>
      <c r="N282" s="21" t="s">
        <v>358</v>
      </c>
      <c r="O282" s="18">
        <v>190489</v>
      </c>
      <c r="P282" t="str">
        <f>VLOOKUP(VALUE(C282),Class20251!D:G,4,0)</f>
        <v>Lê Bá Vui</v>
      </c>
    </row>
    <row r="283" spans="1:16" ht="16.5">
      <c r="A283" s="126" t="s">
        <v>362</v>
      </c>
      <c r="B283" s="18">
        <v>190490</v>
      </c>
      <c r="C283" s="18">
        <v>161251</v>
      </c>
      <c r="D283" s="18" t="s">
        <v>330</v>
      </c>
      <c r="E283" s="19" t="s">
        <v>331</v>
      </c>
      <c r="F283" s="19" t="s">
        <v>366</v>
      </c>
      <c r="G283" s="21" t="s">
        <v>197</v>
      </c>
      <c r="H283" s="20" t="s">
        <v>163</v>
      </c>
      <c r="I283" s="21" t="s">
        <v>194</v>
      </c>
      <c r="J283" s="21" t="s">
        <v>165</v>
      </c>
      <c r="K283" s="22">
        <v>46055</v>
      </c>
      <c r="L283" s="21" t="s">
        <v>367</v>
      </c>
      <c r="M283" s="20">
        <v>51</v>
      </c>
      <c r="N283" s="21" t="s">
        <v>358</v>
      </c>
      <c r="O283" s="18">
        <v>190490</v>
      </c>
      <c r="P283" t="str">
        <f>VLOOKUP(VALUE(C283),Class20251!D:G,4,0)</f>
        <v>Lê Bá Vui</v>
      </c>
    </row>
    <row r="284" spans="1:16" ht="16.5">
      <c r="A284" s="126" t="s">
        <v>362</v>
      </c>
      <c r="B284" s="18">
        <v>190491</v>
      </c>
      <c r="C284" s="18">
        <v>161251</v>
      </c>
      <c r="D284" s="18" t="s">
        <v>330</v>
      </c>
      <c r="E284" s="19" t="s">
        <v>331</v>
      </c>
      <c r="F284" s="19" t="s">
        <v>366</v>
      </c>
      <c r="G284" s="21" t="s">
        <v>193</v>
      </c>
      <c r="H284" s="20" t="s">
        <v>163</v>
      </c>
      <c r="I284" s="21" t="s">
        <v>194</v>
      </c>
      <c r="J284" s="21" t="s">
        <v>165</v>
      </c>
      <c r="K284" s="22">
        <v>46055</v>
      </c>
      <c r="L284" s="21" t="s">
        <v>367</v>
      </c>
      <c r="M284" s="20">
        <v>52</v>
      </c>
      <c r="N284" s="21" t="s">
        <v>358</v>
      </c>
      <c r="O284" s="18">
        <v>190491</v>
      </c>
      <c r="P284" t="str">
        <f>VLOOKUP(VALUE(C284),Class20251!D:G,4,0)</f>
        <v>Lê Bá Vui</v>
      </c>
    </row>
    <row r="285" spans="1:16" ht="16.5">
      <c r="A285" s="126" t="s">
        <v>362</v>
      </c>
      <c r="B285" s="18">
        <v>190493</v>
      </c>
      <c r="C285" s="18">
        <v>161252</v>
      </c>
      <c r="D285" s="18" t="s">
        <v>330</v>
      </c>
      <c r="E285" s="19" t="s">
        <v>331</v>
      </c>
      <c r="F285" s="19" t="s">
        <v>369</v>
      </c>
      <c r="G285" s="21" t="s">
        <v>193</v>
      </c>
      <c r="H285" s="20" t="s">
        <v>163</v>
      </c>
      <c r="I285" s="21" t="s">
        <v>194</v>
      </c>
      <c r="J285" s="21" t="s">
        <v>165</v>
      </c>
      <c r="K285" s="22">
        <v>46055</v>
      </c>
      <c r="L285" s="21" t="s">
        <v>367</v>
      </c>
      <c r="M285" s="20">
        <v>47</v>
      </c>
      <c r="N285" s="21" t="s">
        <v>358</v>
      </c>
      <c r="O285" s="18">
        <v>190493</v>
      </c>
      <c r="P285" t="str">
        <f>VLOOKUP(VALUE(C285),Class20251!D:G,4,0)</f>
        <v>Nguyễn Đình Thuận</v>
      </c>
    </row>
    <row r="286" spans="1:16" ht="16.5">
      <c r="A286" s="126" t="s">
        <v>362</v>
      </c>
      <c r="B286" s="18">
        <v>190492</v>
      </c>
      <c r="C286" s="18">
        <v>161252</v>
      </c>
      <c r="D286" s="18" t="s">
        <v>330</v>
      </c>
      <c r="E286" s="19" t="s">
        <v>331</v>
      </c>
      <c r="F286" s="19" t="s">
        <v>369</v>
      </c>
      <c r="G286" s="21" t="s">
        <v>196</v>
      </c>
      <c r="H286" s="20" t="s">
        <v>163</v>
      </c>
      <c r="I286" s="21" t="s">
        <v>194</v>
      </c>
      <c r="J286" s="21" t="s">
        <v>165</v>
      </c>
      <c r="K286" s="22">
        <v>46055</v>
      </c>
      <c r="L286" s="21" t="s">
        <v>367</v>
      </c>
      <c r="M286" s="20">
        <v>47</v>
      </c>
      <c r="N286" s="21" t="s">
        <v>358</v>
      </c>
      <c r="O286" s="18">
        <v>190492</v>
      </c>
      <c r="P286" t="str">
        <f>VLOOKUP(VALUE(C286),Class20251!D:G,4,0)</f>
        <v>Nguyễn Đình Thuận</v>
      </c>
    </row>
    <row r="287" spans="1:16" ht="16.5">
      <c r="A287" s="126" t="s">
        <v>362</v>
      </c>
      <c r="B287" s="18">
        <v>190494</v>
      </c>
      <c r="C287" s="18">
        <v>161252</v>
      </c>
      <c r="D287" s="18" t="s">
        <v>330</v>
      </c>
      <c r="E287" s="19" t="s">
        <v>331</v>
      </c>
      <c r="F287" s="19" t="s">
        <v>369</v>
      </c>
      <c r="G287" s="21" t="s">
        <v>197</v>
      </c>
      <c r="H287" s="20" t="s">
        <v>163</v>
      </c>
      <c r="I287" s="21" t="s">
        <v>194</v>
      </c>
      <c r="J287" s="21" t="s">
        <v>165</v>
      </c>
      <c r="K287" s="22">
        <v>46055</v>
      </c>
      <c r="L287" s="21" t="s">
        <v>367</v>
      </c>
      <c r="M287" s="20">
        <v>47</v>
      </c>
      <c r="N287" s="21" t="s">
        <v>358</v>
      </c>
      <c r="O287" s="18">
        <v>190494</v>
      </c>
      <c r="P287" t="str">
        <f>VLOOKUP(VALUE(C287),Class20251!D:G,4,0)</f>
        <v>Nguyễn Đình Thuận</v>
      </c>
    </row>
    <row r="288" spans="1:16" ht="16.5">
      <c r="A288" s="126" t="s">
        <v>362</v>
      </c>
      <c r="B288" s="18">
        <v>190235</v>
      </c>
      <c r="C288" s="18">
        <v>161253</v>
      </c>
      <c r="D288" s="18" t="s">
        <v>272</v>
      </c>
      <c r="E288" s="19" t="s">
        <v>273</v>
      </c>
      <c r="F288" s="19" t="s">
        <v>366</v>
      </c>
      <c r="G288" s="21" t="s">
        <v>193</v>
      </c>
      <c r="H288" s="20" t="s">
        <v>163</v>
      </c>
      <c r="I288" s="21" t="s">
        <v>164</v>
      </c>
      <c r="J288" s="21" t="s">
        <v>165</v>
      </c>
      <c r="K288" s="22">
        <v>46048</v>
      </c>
      <c r="L288" s="21" t="s">
        <v>371</v>
      </c>
      <c r="M288" s="20">
        <v>60</v>
      </c>
      <c r="N288" s="21" t="s">
        <v>358</v>
      </c>
      <c r="O288" s="18">
        <v>190235</v>
      </c>
      <c r="P288" t="str">
        <f>VLOOKUP(VALUE(C288),Class20251!D:G,4,0)</f>
        <v>Nguyễn Thị Kim Anh</v>
      </c>
    </row>
    <row r="289" spans="1:16" ht="16.5">
      <c r="A289" s="126" t="s">
        <v>362</v>
      </c>
      <c r="B289" s="18">
        <v>190234</v>
      </c>
      <c r="C289" s="18">
        <v>161253</v>
      </c>
      <c r="D289" s="18" t="s">
        <v>272</v>
      </c>
      <c r="E289" s="19" t="s">
        <v>273</v>
      </c>
      <c r="F289" s="19" t="s">
        <v>366</v>
      </c>
      <c r="G289" s="21" t="s">
        <v>196</v>
      </c>
      <c r="H289" s="20" t="s">
        <v>163</v>
      </c>
      <c r="I289" s="21" t="s">
        <v>164</v>
      </c>
      <c r="J289" s="21" t="s">
        <v>165</v>
      </c>
      <c r="K289" s="22">
        <v>46048</v>
      </c>
      <c r="L289" s="21" t="s">
        <v>371</v>
      </c>
      <c r="M289" s="20">
        <v>60</v>
      </c>
      <c r="N289" s="21" t="s">
        <v>358</v>
      </c>
      <c r="O289" s="18">
        <v>190234</v>
      </c>
      <c r="P289" t="str">
        <f>VLOOKUP(VALUE(C289),Class20251!D:G,4,0)</f>
        <v>Nguyễn Thị Kim Anh</v>
      </c>
    </row>
    <row r="290" spans="1:16" ht="16.5">
      <c r="A290" s="126" t="s">
        <v>362</v>
      </c>
      <c r="B290" s="18">
        <v>190237</v>
      </c>
      <c r="C290" s="18">
        <v>161254</v>
      </c>
      <c r="D290" s="18" t="s">
        <v>272</v>
      </c>
      <c r="E290" s="19" t="s">
        <v>273</v>
      </c>
      <c r="F290" s="19" t="s">
        <v>369</v>
      </c>
      <c r="G290" s="21" t="s">
        <v>196</v>
      </c>
      <c r="H290" s="20" t="s">
        <v>163</v>
      </c>
      <c r="I290" s="21" t="s">
        <v>164</v>
      </c>
      <c r="J290" s="21" t="s">
        <v>165</v>
      </c>
      <c r="K290" s="22">
        <v>46048</v>
      </c>
      <c r="L290" s="21" t="s">
        <v>371</v>
      </c>
      <c r="M290" s="20">
        <v>65</v>
      </c>
      <c r="N290" s="21" t="s">
        <v>358</v>
      </c>
      <c r="O290" s="18">
        <v>190237</v>
      </c>
      <c r="P290" t="str">
        <f>VLOOKUP(VALUE(C290),Class20251!D:G,4,0)</f>
        <v>Đỗ Tiến Dũng</v>
      </c>
    </row>
    <row r="291" spans="1:16" ht="16.5">
      <c r="A291" s="126" t="s">
        <v>362</v>
      </c>
      <c r="B291" s="18">
        <v>190236</v>
      </c>
      <c r="C291" s="18">
        <v>161254</v>
      </c>
      <c r="D291" s="18" t="s">
        <v>272</v>
      </c>
      <c r="E291" s="19" t="s">
        <v>273</v>
      </c>
      <c r="F291" s="19" t="s">
        <v>369</v>
      </c>
      <c r="G291" s="21" t="s">
        <v>193</v>
      </c>
      <c r="H291" s="20" t="s">
        <v>163</v>
      </c>
      <c r="I291" s="21" t="s">
        <v>164</v>
      </c>
      <c r="J291" s="21" t="s">
        <v>165</v>
      </c>
      <c r="K291" s="22">
        <v>46048</v>
      </c>
      <c r="L291" s="21" t="s">
        <v>371</v>
      </c>
      <c r="M291" s="20">
        <v>66</v>
      </c>
      <c r="N291" s="21" t="s">
        <v>358</v>
      </c>
      <c r="O291" s="18">
        <v>190236</v>
      </c>
      <c r="P291" t="str">
        <f>VLOOKUP(VALUE(C291),Class20251!D:G,4,0)</f>
        <v>Đỗ Tiến Dũng</v>
      </c>
    </row>
    <row r="292" spans="1:16" ht="16.5">
      <c r="A292" s="126" t="s">
        <v>362</v>
      </c>
      <c r="B292" s="18">
        <v>190407</v>
      </c>
      <c r="C292" s="18">
        <v>161255</v>
      </c>
      <c r="D292" s="18" t="s">
        <v>92</v>
      </c>
      <c r="E292" s="19" t="s">
        <v>298</v>
      </c>
      <c r="F292" s="19" t="s">
        <v>375</v>
      </c>
      <c r="G292" s="21" t="s">
        <v>193</v>
      </c>
      <c r="H292" s="20" t="s">
        <v>163</v>
      </c>
      <c r="I292" s="21" t="s">
        <v>228</v>
      </c>
      <c r="J292" s="21" t="s">
        <v>165</v>
      </c>
      <c r="K292" s="22">
        <v>46041</v>
      </c>
      <c r="L292" s="21" t="s">
        <v>475</v>
      </c>
      <c r="M292" s="20">
        <v>61</v>
      </c>
      <c r="N292" s="21" t="s">
        <v>358</v>
      </c>
      <c r="O292" s="18">
        <v>190407</v>
      </c>
      <c r="P292" t="str">
        <f>VLOOKUP(VALUE(C292),Class20251!D:G,4,0)</f>
        <v>Lê Hải Nam (0.4) - Nguyễn Sơn Tùng (0.6)</v>
      </c>
    </row>
    <row r="293" spans="1:16" ht="16.5">
      <c r="A293" s="126" t="s">
        <v>362</v>
      </c>
      <c r="B293" s="18">
        <v>190408</v>
      </c>
      <c r="C293" s="18">
        <v>161255</v>
      </c>
      <c r="D293" s="18" t="s">
        <v>92</v>
      </c>
      <c r="E293" s="19" t="s">
        <v>298</v>
      </c>
      <c r="F293" s="19" t="s">
        <v>375</v>
      </c>
      <c r="G293" s="21" t="s">
        <v>196</v>
      </c>
      <c r="H293" s="20" t="s">
        <v>163</v>
      </c>
      <c r="I293" s="21" t="s">
        <v>228</v>
      </c>
      <c r="J293" s="21" t="s">
        <v>165</v>
      </c>
      <c r="K293" s="22">
        <v>46041</v>
      </c>
      <c r="L293" s="21" t="s">
        <v>475</v>
      </c>
      <c r="M293" s="20">
        <v>61</v>
      </c>
      <c r="N293" s="21" t="s">
        <v>358</v>
      </c>
      <c r="O293" s="18">
        <v>190408</v>
      </c>
      <c r="P293" t="str">
        <f>VLOOKUP(VALUE(C293),Class20251!D:G,4,0)</f>
        <v>Lê Hải Nam (0.4) - Nguyễn Sơn Tùng (0.6)</v>
      </c>
    </row>
    <row r="294" spans="1:16" ht="16.5">
      <c r="A294" s="126" t="s">
        <v>362</v>
      </c>
      <c r="B294" s="18">
        <v>190410</v>
      </c>
      <c r="C294" s="18">
        <v>161256</v>
      </c>
      <c r="D294" s="18" t="s">
        <v>92</v>
      </c>
      <c r="E294" s="19" t="s">
        <v>298</v>
      </c>
      <c r="F294" s="19" t="s">
        <v>380</v>
      </c>
      <c r="G294" s="21" t="s">
        <v>193</v>
      </c>
      <c r="H294" s="20" t="s">
        <v>163</v>
      </c>
      <c r="I294" s="21" t="s">
        <v>228</v>
      </c>
      <c r="J294" s="21" t="s">
        <v>165</v>
      </c>
      <c r="K294" s="22">
        <v>46041</v>
      </c>
      <c r="L294" s="21" t="s">
        <v>475</v>
      </c>
      <c r="M294" s="20">
        <v>61</v>
      </c>
      <c r="N294" s="21" t="s">
        <v>358</v>
      </c>
      <c r="O294" s="18">
        <v>190410</v>
      </c>
      <c r="P294" t="str">
        <f>VLOOKUP(VALUE(C294),Class20251!D:G,4,0)</f>
        <v>Lê Hải Nam (0.4) - Nguyễn Sơn Tùng (0.6)</v>
      </c>
    </row>
    <row r="295" spans="1:16" ht="16.5">
      <c r="A295" s="126" t="s">
        <v>362</v>
      </c>
      <c r="B295" s="18">
        <v>190409</v>
      </c>
      <c r="C295" s="18">
        <v>161256</v>
      </c>
      <c r="D295" s="18" t="s">
        <v>92</v>
      </c>
      <c r="E295" s="19" t="s">
        <v>298</v>
      </c>
      <c r="F295" s="19" t="s">
        <v>380</v>
      </c>
      <c r="G295" s="21" t="s">
        <v>196</v>
      </c>
      <c r="H295" s="20" t="s">
        <v>163</v>
      </c>
      <c r="I295" s="21" t="s">
        <v>228</v>
      </c>
      <c r="J295" s="21" t="s">
        <v>165</v>
      </c>
      <c r="K295" s="22">
        <v>46041</v>
      </c>
      <c r="L295" s="21" t="s">
        <v>475</v>
      </c>
      <c r="M295" s="20">
        <v>61</v>
      </c>
      <c r="N295" s="21" t="s">
        <v>358</v>
      </c>
      <c r="O295" s="18">
        <v>190409</v>
      </c>
      <c r="P295" t="str">
        <f>VLOOKUP(VALUE(C295),Class20251!D:G,4,0)</f>
        <v>Lê Hải Nam (0.4) - Nguyễn Sơn Tùng (0.6)</v>
      </c>
    </row>
    <row r="296" spans="1:16" ht="16.5">
      <c r="A296" s="126" t="s">
        <v>362</v>
      </c>
      <c r="B296" s="18">
        <v>190411</v>
      </c>
      <c r="C296" s="18">
        <v>161257</v>
      </c>
      <c r="D296" s="18" t="s">
        <v>92</v>
      </c>
      <c r="E296" s="19" t="s">
        <v>298</v>
      </c>
      <c r="F296" s="19" t="s">
        <v>381</v>
      </c>
      <c r="G296" s="21" t="s">
        <v>196</v>
      </c>
      <c r="H296" s="20" t="s">
        <v>163</v>
      </c>
      <c r="I296" s="21" t="s">
        <v>228</v>
      </c>
      <c r="J296" s="21" t="s">
        <v>165</v>
      </c>
      <c r="K296" s="22">
        <v>46041</v>
      </c>
      <c r="L296" s="21" t="s">
        <v>475</v>
      </c>
      <c r="M296" s="20">
        <v>64</v>
      </c>
      <c r="N296" s="21" t="s">
        <v>358</v>
      </c>
      <c r="O296" s="18">
        <v>190411</v>
      </c>
      <c r="P296" t="str">
        <f>VLOOKUP(VALUE(C296),Class20251!D:G,4,0)</f>
        <v>Trịnh Tuấn Đạt</v>
      </c>
    </row>
    <row r="297" spans="1:16" ht="16.5">
      <c r="A297" s="126" t="s">
        <v>362</v>
      </c>
      <c r="B297" s="18">
        <v>190412</v>
      </c>
      <c r="C297" s="18">
        <v>161257</v>
      </c>
      <c r="D297" s="18" t="s">
        <v>92</v>
      </c>
      <c r="E297" s="19" t="s">
        <v>298</v>
      </c>
      <c r="F297" s="19" t="s">
        <v>381</v>
      </c>
      <c r="G297" s="21" t="s">
        <v>193</v>
      </c>
      <c r="H297" s="20" t="s">
        <v>163</v>
      </c>
      <c r="I297" s="21" t="s">
        <v>228</v>
      </c>
      <c r="J297" s="21" t="s">
        <v>165</v>
      </c>
      <c r="K297" s="22">
        <v>46041</v>
      </c>
      <c r="L297" s="21" t="s">
        <v>475</v>
      </c>
      <c r="M297" s="20">
        <v>64</v>
      </c>
      <c r="N297" s="21" t="s">
        <v>358</v>
      </c>
      <c r="O297" s="18">
        <v>190412</v>
      </c>
      <c r="P297" t="str">
        <f>VLOOKUP(VALUE(C297),Class20251!D:G,4,0)</f>
        <v>Trịnh Tuấn Đạt</v>
      </c>
    </row>
    <row r="298" spans="1:16" ht="16.5">
      <c r="A298" s="126" t="s">
        <v>362</v>
      </c>
      <c r="B298" s="18">
        <v>190275</v>
      </c>
      <c r="C298" s="18">
        <v>161268</v>
      </c>
      <c r="D298" s="18" t="s">
        <v>383</v>
      </c>
      <c r="E298" s="19" t="s">
        <v>384</v>
      </c>
      <c r="F298" s="19" t="s">
        <v>385</v>
      </c>
      <c r="G298" s="21" t="s">
        <v>169</v>
      </c>
      <c r="H298" s="20" t="s">
        <v>163</v>
      </c>
      <c r="I298" s="21" t="s">
        <v>194</v>
      </c>
      <c r="J298" s="21" t="s">
        <v>278</v>
      </c>
      <c r="K298" s="22">
        <v>46056</v>
      </c>
      <c r="L298" s="99" t="s">
        <v>11</v>
      </c>
      <c r="M298" s="20">
        <v>40</v>
      </c>
      <c r="N298" s="21" t="s">
        <v>358</v>
      </c>
      <c r="O298" s="18">
        <v>190275</v>
      </c>
      <c r="P298" t="str">
        <f>VLOOKUP(VALUE(C298),Class20251!D:G,4,0)</f>
        <v>Trần Vĩnh Đức</v>
      </c>
    </row>
    <row r="299" spans="1:16" ht="16.5">
      <c r="A299" s="126" t="s">
        <v>362</v>
      </c>
      <c r="B299" s="18">
        <v>190276</v>
      </c>
      <c r="C299" s="18">
        <v>161269</v>
      </c>
      <c r="D299" s="18" t="s">
        <v>383</v>
      </c>
      <c r="E299" s="19" t="s">
        <v>384</v>
      </c>
      <c r="F299" s="19" t="s">
        <v>388</v>
      </c>
      <c r="G299" s="21" t="s">
        <v>169</v>
      </c>
      <c r="H299" s="20" t="s">
        <v>163</v>
      </c>
      <c r="I299" s="21" t="s">
        <v>194</v>
      </c>
      <c r="J299" s="21" t="s">
        <v>278</v>
      </c>
      <c r="K299" s="22">
        <v>46056</v>
      </c>
      <c r="L299" s="99" t="s">
        <v>11</v>
      </c>
      <c r="M299" s="20">
        <v>40</v>
      </c>
      <c r="N299" s="21" t="s">
        <v>358</v>
      </c>
      <c r="O299" s="18">
        <v>190276</v>
      </c>
      <c r="P299" t="str">
        <f>VLOOKUP(VALUE(C299),Class20251!D:G,4,0)</f>
        <v>Nguyễn Thị Thu Hương</v>
      </c>
    </row>
    <row r="300" spans="1:16" ht="16.5">
      <c r="A300" s="126" t="s">
        <v>362</v>
      </c>
      <c r="B300" s="18">
        <v>190277</v>
      </c>
      <c r="C300" s="18">
        <v>161270</v>
      </c>
      <c r="D300" s="18" t="s">
        <v>383</v>
      </c>
      <c r="E300" s="19" t="s">
        <v>384</v>
      </c>
      <c r="F300" s="19" t="s">
        <v>390</v>
      </c>
      <c r="G300" s="21" t="s">
        <v>169</v>
      </c>
      <c r="H300" s="20" t="s">
        <v>163</v>
      </c>
      <c r="I300" s="21" t="s">
        <v>194</v>
      </c>
      <c r="J300" s="21" t="s">
        <v>278</v>
      </c>
      <c r="K300" s="22">
        <v>46056</v>
      </c>
      <c r="L300" s="99" t="s">
        <v>11</v>
      </c>
      <c r="M300" s="20">
        <v>40</v>
      </c>
      <c r="N300" s="21" t="s">
        <v>358</v>
      </c>
      <c r="O300" s="18">
        <v>190277</v>
      </c>
      <c r="P300" t="str">
        <f>VLOOKUP(VALUE(C300),Class20251!D:G,4,0)</f>
        <v>Trịnh Anh Phúc</v>
      </c>
    </row>
    <row r="301" spans="1:16" ht="16.5">
      <c r="A301" s="126" t="s">
        <v>362</v>
      </c>
      <c r="B301" s="18">
        <v>190278</v>
      </c>
      <c r="C301" s="18">
        <v>161272</v>
      </c>
      <c r="D301" s="18" t="s">
        <v>383</v>
      </c>
      <c r="E301" s="19" t="s">
        <v>384</v>
      </c>
      <c r="F301" s="19" t="s">
        <v>392</v>
      </c>
      <c r="G301" s="21" t="s">
        <v>169</v>
      </c>
      <c r="H301" s="20" t="s">
        <v>163</v>
      </c>
      <c r="I301" s="21" t="s">
        <v>194</v>
      </c>
      <c r="J301" s="21" t="s">
        <v>278</v>
      </c>
      <c r="K301" s="22">
        <v>46056</v>
      </c>
      <c r="L301" s="99" t="s">
        <v>11</v>
      </c>
      <c r="M301" s="20">
        <v>40</v>
      </c>
      <c r="N301" s="21" t="s">
        <v>358</v>
      </c>
      <c r="O301" s="18">
        <v>190278</v>
      </c>
      <c r="P301" t="str">
        <f>VLOOKUP(VALUE(C301),Class20251!D:G,4,0)</f>
        <v>Nguyễn Thị Thu Hương</v>
      </c>
    </row>
    <row r="302" spans="1:16" ht="16.5">
      <c r="A302" s="126" t="s">
        <v>362</v>
      </c>
      <c r="B302" s="18">
        <v>190279</v>
      </c>
      <c r="C302" s="18">
        <v>161273</v>
      </c>
      <c r="D302" s="18" t="s">
        <v>383</v>
      </c>
      <c r="E302" s="19" t="s">
        <v>384</v>
      </c>
      <c r="F302" s="19" t="s">
        <v>393</v>
      </c>
      <c r="G302" s="21" t="s">
        <v>169</v>
      </c>
      <c r="H302" s="20" t="s">
        <v>163</v>
      </c>
      <c r="I302" s="21" t="s">
        <v>194</v>
      </c>
      <c r="J302" s="21" t="s">
        <v>278</v>
      </c>
      <c r="K302" s="22">
        <v>46056</v>
      </c>
      <c r="L302" s="99" t="s">
        <v>11</v>
      </c>
      <c r="M302" s="20">
        <v>41</v>
      </c>
      <c r="N302" s="21" t="s">
        <v>358</v>
      </c>
      <c r="O302" s="18">
        <v>190279</v>
      </c>
      <c r="P302" t="str">
        <f>VLOOKUP(VALUE(C302),Class20251!D:G,4,0)</f>
        <v>Trịnh Anh Phúc</v>
      </c>
    </row>
    <row r="303" spans="1:16" ht="16.5">
      <c r="A303" s="126" t="s">
        <v>362</v>
      </c>
      <c r="B303" s="18">
        <v>190280</v>
      </c>
      <c r="C303" s="18">
        <v>161274</v>
      </c>
      <c r="D303" s="18" t="s">
        <v>383</v>
      </c>
      <c r="E303" s="19" t="s">
        <v>384</v>
      </c>
      <c r="F303" s="19" t="s">
        <v>394</v>
      </c>
      <c r="G303" s="21" t="s">
        <v>169</v>
      </c>
      <c r="H303" s="20" t="s">
        <v>163</v>
      </c>
      <c r="I303" s="21" t="s">
        <v>194</v>
      </c>
      <c r="J303" s="21" t="s">
        <v>278</v>
      </c>
      <c r="K303" s="22">
        <v>46056</v>
      </c>
      <c r="L303" s="99" t="s">
        <v>11</v>
      </c>
      <c r="M303" s="20">
        <v>40</v>
      </c>
      <c r="N303" s="21" t="s">
        <v>358</v>
      </c>
      <c r="O303" s="18">
        <v>190280</v>
      </c>
      <c r="P303" t="str">
        <f>VLOOKUP(VALUE(C303),Class20251!D:G,4,0)</f>
        <v>Phạm Đăng Hải</v>
      </c>
    </row>
    <row r="304" spans="1:16" ht="16.5">
      <c r="A304" s="126" t="s">
        <v>362</v>
      </c>
      <c r="B304" s="18">
        <v>190281</v>
      </c>
      <c r="C304" s="18">
        <v>161276</v>
      </c>
      <c r="D304" s="18" t="s">
        <v>383</v>
      </c>
      <c r="E304" s="19" t="s">
        <v>384</v>
      </c>
      <c r="F304" s="19" t="s">
        <v>395</v>
      </c>
      <c r="G304" s="21" t="s">
        <v>169</v>
      </c>
      <c r="H304" s="20" t="s">
        <v>163</v>
      </c>
      <c r="I304" s="21" t="s">
        <v>194</v>
      </c>
      <c r="J304" s="21" t="s">
        <v>278</v>
      </c>
      <c r="K304" s="22">
        <v>46056</v>
      </c>
      <c r="L304" s="99" t="s">
        <v>11</v>
      </c>
      <c r="M304" s="20">
        <v>31</v>
      </c>
      <c r="N304" s="21" t="s">
        <v>358</v>
      </c>
      <c r="O304" s="18">
        <v>190281</v>
      </c>
      <c r="P304" t="str">
        <f>VLOOKUP(VALUE(C304),Class20251!D:G,4,0)</f>
        <v>Nguyễn Hữu Đức</v>
      </c>
    </row>
    <row r="305" spans="1:16" ht="16.5">
      <c r="A305" s="126" t="s">
        <v>362</v>
      </c>
      <c r="B305" s="18">
        <v>190282</v>
      </c>
      <c r="C305" s="18">
        <v>161277</v>
      </c>
      <c r="D305" s="18" t="s">
        <v>383</v>
      </c>
      <c r="E305" s="19" t="s">
        <v>384</v>
      </c>
      <c r="F305" s="19" t="s">
        <v>397</v>
      </c>
      <c r="G305" s="21" t="s">
        <v>169</v>
      </c>
      <c r="H305" s="20" t="s">
        <v>163</v>
      </c>
      <c r="I305" s="21" t="s">
        <v>194</v>
      </c>
      <c r="J305" s="21" t="s">
        <v>278</v>
      </c>
      <c r="K305" s="22">
        <v>46056</v>
      </c>
      <c r="L305" s="99" t="s">
        <v>11</v>
      </c>
      <c r="M305" s="20">
        <v>21</v>
      </c>
      <c r="N305" s="21" t="s">
        <v>358</v>
      </c>
      <c r="O305" s="18">
        <v>190282</v>
      </c>
      <c r="P305" t="str">
        <f>VLOOKUP(VALUE(C305),Class20251!D:G,4,0)</f>
        <v>Dương Quang Huy</v>
      </c>
    </row>
    <row r="306" spans="1:16" ht="16.5">
      <c r="A306" s="126" t="s">
        <v>362</v>
      </c>
      <c r="B306" s="18">
        <v>190283</v>
      </c>
      <c r="C306" s="18">
        <v>161278</v>
      </c>
      <c r="D306" s="18" t="s">
        <v>383</v>
      </c>
      <c r="E306" s="19" t="s">
        <v>384</v>
      </c>
      <c r="F306" s="19" t="s">
        <v>399</v>
      </c>
      <c r="G306" s="21" t="s">
        <v>169</v>
      </c>
      <c r="H306" s="20" t="s">
        <v>163</v>
      </c>
      <c r="I306" s="21" t="s">
        <v>194</v>
      </c>
      <c r="J306" s="21" t="s">
        <v>278</v>
      </c>
      <c r="K306" s="22">
        <v>46056</v>
      </c>
      <c r="L306" s="99" t="s">
        <v>11</v>
      </c>
      <c r="M306" s="20">
        <v>41</v>
      </c>
      <c r="N306" s="21" t="s">
        <v>358</v>
      </c>
      <c r="O306" s="18">
        <v>190283</v>
      </c>
      <c r="P306" t="str">
        <f>VLOOKUP(VALUE(C306),Class20251!D:G,4,0)</f>
        <v>Dương Quang Huy</v>
      </c>
    </row>
    <row r="307" spans="1:16" ht="16.5">
      <c r="A307" s="126" t="s">
        <v>362</v>
      </c>
      <c r="B307" s="18">
        <v>190487</v>
      </c>
      <c r="C307" s="18">
        <v>161301</v>
      </c>
      <c r="D307" s="18" t="s">
        <v>137</v>
      </c>
      <c r="E307" s="19" t="s">
        <v>400</v>
      </c>
      <c r="F307" s="19" t="s">
        <v>401</v>
      </c>
      <c r="G307" s="21" t="s">
        <v>169</v>
      </c>
      <c r="H307" s="20" t="s">
        <v>163</v>
      </c>
      <c r="I307" s="21" t="s">
        <v>228</v>
      </c>
      <c r="J307" s="21" t="s">
        <v>238</v>
      </c>
      <c r="K307" s="22">
        <v>46045</v>
      </c>
      <c r="L307" s="21" t="s">
        <v>15</v>
      </c>
      <c r="M307" s="20">
        <v>38</v>
      </c>
      <c r="N307" s="21" t="s">
        <v>358</v>
      </c>
      <c r="O307" s="18">
        <v>190487</v>
      </c>
      <c r="P307" t="str">
        <f>VLOOKUP(VALUE(C307),Class20251!D:G,4,0)</f>
        <v>Phạm Ngọc Hưng</v>
      </c>
    </row>
    <row r="308" spans="1:16" ht="16.5">
      <c r="A308" s="126" t="s">
        <v>362</v>
      </c>
      <c r="B308" s="18">
        <v>190473</v>
      </c>
      <c r="C308" s="18">
        <v>161302</v>
      </c>
      <c r="D308" s="18" t="s">
        <v>404</v>
      </c>
      <c r="E308" s="19" t="s">
        <v>405</v>
      </c>
      <c r="F308" s="19" t="s">
        <v>401</v>
      </c>
      <c r="G308" s="21" t="s">
        <v>169</v>
      </c>
      <c r="H308" s="20" t="s">
        <v>163</v>
      </c>
      <c r="I308" s="21" t="s">
        <v>164</v>
      </c>
      <c r="J308" s="21" t="s">
        <v>238</v>
      </c>
      <c r="K308" s="22">
        <v>46052</v>
      </c>
      <c r="L308" s="21" t="s">
        <v>14</v>
      </c>
      <c r="M308" s="20">
        <v>42</v>
      </c>
      <c r="N308" s="21" t="s">
        <v>358</v>
      </c>
      <c r="O308" s="18">
        <v>190473</v>
      </c>
      <c r="P308" t="str">
        <f>VLOOKUP(VALUE(C308),Class20251!D:G,4,0)</f>
        <v>Phạm Huy Hoàng</v>
      </c>
    </row>
    <row r="309" spans="1:16" ht="16.5">
      <c r="A309" s="126" t="s">
        <v>362</v>
      </c>
      <c r="B309" s="18">
        <v>190423</v>
      </c>
      <c r="C309" s="18">
        <v>161303</v>
      </c>
      <c r="D309" s="18" t="s">
        <v>118</v>
      </c>
      <c r="E309" s="19" t="s">
        <v>407</v>
      </c>
      <c r="F309" s="19" t="s">
        <v>401</v>
      </c>
      <c r="G309" s="21" t="s">
        <v>193</v>
      </c>
      <c r="H309" s="20" t="s">
        <v>163</v>
      </c>
      <c r="I309" s="21" t="s">
        <v>228</v>
      </c>
      <c r="J309" s="21" t="s">
        <v>278</v>
      </c>
      <c r="K309" s="22">
        <v>46042</v>
      </c>
      <c r="L309" s="21" t="s">
        <v>15</v>
      </c>
      <c r="M309" s="20">
        <v>45</v>
      </c>
      <c r="N309" s="21" t="s">
        <v>358</v>
      </c>
      <c r="O309" s="18">
        <v>190423</v>
      </c>
      <c r="P309" t="str">
        <f>VLOOKUP(VALUE(C309),Class20251!D:G,4,0)</f>
        <v>Trịnh Thành Trung</v>
      </c>
    </row>
    <row r="310" spans="1:16" ht="16.5">
      <c r="A310" s="126" t="s">
        <v>362</v>
      </c>
      <c r="B310" s="18">
        <v>190424</v>
      </c>
      <c r="C310" s="18">
        <v>161303</v>
      </c>
      <c r="D310" s="18" t="s">
        <v>118</v>
      </c>
      <c r="E310" s="19" t="s">
        <v>407</v>
      </c>
      <c r="F310" s="19" t="s">
        <v>401</v>
      </c>
      <c r="G310" s="21" t="s">
        <v>196</v>
      </c>
      <c r="H310" s="20" t="s">
        <v>163</v>
      </c>
      <c r="I310" s="21" t="s">
        <v>228</v>
      </c>
      <c r="J310" s="21" t="s">
        <v>278</v>
      </c>
      <c r="K310" s="22">
        <v>46042</v>
      </c>
      <c r="L310" s="21" t="s">
        <v>15</v>
      </c>
      <c r="M310" s="20">
        <v>44</v>
      </c>
      <c r="N310" s="21" t="s">
        <v>358</v>
      </c>
      <c r="O310" s="18">
        <v>190424</v>
      </c>
      <c r="P310" t="str">
        <f>VLOOKUP(VALUE(C310),Class20251!D:G,4,0)</f>
        <v>Trịnh Thành Trung</v>
      </c>
    </row>
    <row r="311" spans="1:16" ht="16.5">
      <c r="A311" s="126" t="s">
        <v>362</v>
      </c>
      <c r="B311" s="18">
        <v>190506</v>
      </c>
      <c r="C311" s="18">
        <v>161304</v>
      </c>
      <c r="D311" s="18" t="s">
        <v>333</v>
      </c>
      <c r="E311" s="19" t="s">
        <v>334</v>
      </c>
      <c r="F311" s="19" t="s">
        <v>401</v>
      </c>
      <c r="G311" s="21" t="s">
        <v>196</v>
      </c>
      <c r="H311" s="20" t="s">
        <v>163</v>
      </c>
      <c r="I311" s="21" t="s">
        <v>194</v>
      </c>
      <c r="J311" s="21" t="s">
        <v>165</v>
      </c>
      <c r="K311" s="22">
        <v>46055</v>
      </c>
      <c r="L311" s="21" t="s">
        <v>15</v>
      </c>
      <c r="M311" s="20">
        <v>51</v>
      </c>
      <c r="N311" s="21" t="s">
        <v>358</v>
      </c>
      <c r="O311" s="18">
        <v>190506</v>
      </c>
      <c r="P311" t="str">
        <f>VLOOKUP(VALUE(C311),Class20251!D:G,4,0)</f>
        <v>Tống Văn Vạn</v>
      </c>
    </row>
    <row r="312" spans="1:16" ht="16.5">
      <c r="A312" s="126" t="s">
        <v>362</v>
      </c>
      <c r="B312" s="18">
        <v>190505</v>
      </c>
      <c r="C312" s="18">
        <v>161304</v>
      </c>
      <c r="D312" s="18" t="s">
        <v>333</v>
      </c>
      <c r="E312" s="19" t="s">
        <v>334</v>
      </c>
      <c r="F312" s="19" t="s">
        <v>401</v>
      </c>
      <c r="G312" s="21" t="s">
        <v>193</v>
      </c>
      <c r="H312" s="20" t="s">
        <v>163</v>
      </c>
      <c r="I312" s="21" t="s">
        <v>194</v>
      </c>
      <c r="J312" s="21" t="s">
        <v>165</v>
      </c>
      <c r="K312" s="22">
        <v>46055</v>
      </c>
      <c r="L312" s="21" t="s">
        <v>15</v>
      </c>
      <c r="M312" s="20">
        <v>51</v>
      </c>
      <c r="N312" s="21" t="s">
        <v>358</v>
      </c>
      <c r="O312" s="18">
        <v>190505</v>
      </c>
      <c r="P312" t="str">
        <f>VLOOKUP(VALUE(C312),Class20251!D:G,4,0)</f>
        <v>Tống Văn Vạn</v>
      </c>
    </row>
    <row r="313" spans="1:16" ht="16.5">
      <c r="A313" s="126" t="s">
        <v>362</v>
      </c>
      <c r="B313" s="18">
        <v>190375</v>
      </c>
      <c r="C313" s="18">
        <v>161306</v>
      </c>
      <c r="D313" s="18" t="s">
        <v>284</v>
      </c>
      <c r="E313" s="19" t="s">
        <v>285</v>
      </c>
      <c r="F313" s="19" t="s">
        <v>401</v>
      </c>
      <c r="G313" s="21" t="s">
        <v>169</v>
      </c>
      <c r="H313" s="20" t="s">
        <v>163</v>
      </c>
      <c r="I313" s="21" t="s">
        <v>164</v>
      </c>
      <c r="J313" s="21" t="s">
        <v>283</v>
      </c>
      <c r="K313" s="22">
        <v>46051</v>
      </c>
      <c r="L313" s="21" t="s">
        <v>15</v>
      </c>
      <c r="M313" s="20">
        <v>67</v>
      </c>
      <c r="N313" s="21" t="s">
        <v>358</v>
      </c>
      <c r="O313" s="18">
        <v>190375</v>
      </c>
      <c r="P313" t="str">
        <f>VLOOKUP(VALUE(C313),Class20251!D:G,4,0)</f>
        <v>Thân Quang Khoát</v>
      </c>
    </row>
    <row r="314" spans="1:16" ht="16.5">
      <c r="A314" s="126" t="s">
        <v>362</v>
      </c>
      <c r="B314" s="18">
        <v>190338</v>
      </c>
      <c r="C314" s="18">
        <v>161310</v>
      </c>
      <c r="D314" s="18" t="s">
        <v>411</v>
      </c>
      <c r="E314" s="19" t="s">
        <v>412</v>
      </c>
      <c r="F314" s="19" t="s">
        <v>401</v>
      </c>
      <c r="G314" s="21" t="s">
        <v>196</v>
      </c>
      <c r="H314" s="20" t="s">
        <v>163</v>
      </c>
      <c r="I314" s="21" t="s">
        <v>164</v>
      </c>
      <c r="J314" s="21" t="s">
        <v>278</v>
      </c>
      <c r="K314" s="22">
        <v>46049</v>
      </c>
      <c r="L314" s="21" t="s">
        <v>15</v>
      </c>
      <c r="M314" s="20">
        <v>43</v>
      </c>
      <c r="N314" s="21" t="s">
        <v>358</v>
      </c>
      <c r="O314" s="18">
        <v>190338</v>
      </c>
      <c r="P314" t="str">
        <f>VLOOKUP(VALUE(C314),Class20251!D:G,4,0)</f>
        <v>Nguyễn Khanh Văn</v>
      </c>
    </row>
    <row r="315" spans="1:16" ht="16.5">
      <c r="A315" s="126" t="s">
        <v>362</v>
      </c>
      <c r="B315" s="18">
        <v>190339</v>
      </c>
      <c r="C315" s="18">
        <v>161310</v>
      </c>
      <c r="D315" s="18" t="s">
        <v>411</v>
      </c>
      <c r="E315" s="19" t="s">
        <v>412</v>
      </c>
      <c r="F315" s="19" t="s">
        <v>401</v>
      </c>
      <c r="G315" s="21" t="s">
        <v>193</v>
      </c>
      <c r="H315" s="20" t="s">
        <v>163</v>
      </c>
      <c r="I315" s="21" t="s">
        <v>164</v>
      </c>
      <c r="J315" s="21" t="s">
        <v>278</v>
      </c>
      <c r="K315" s="22">
        <v>46049</v>
      </c>
      <c r="L315" s="21" t="s">
        <v>15</v>
      </c>
      <c r="M315" s="20">
        <v>43</v>
      </c>
      <c r="N315" s="21" t="s">
        <v>358</v>
      </c>
      <c r="O315" s="18">
        <v>190339</v>
      </c>
      <c r="P315" t="str">
        <f>VLOOKUP(VALUE(C315),Class20251!D:G,4,0)</f>
        <v>Nguyễn Khanh Văn</v>
      </c>
    </row>
    <row r="316" spans="1:16" ht="16.5">
      <c r="A316" s="126" t="s">
        <v>362</v>
      </c>
      <c r="B316" s="18">
        <v>190360</v>
      </c>
      <c r="C316" s="18">
        <v>161311</v>
      </c>
      <c r="D316" s="18" t="s">
        <v>88</v>
      </c>
      <c r="E316" s="19" t="s">
        <v>415</v>
      </c>
      <c r="F316" s="19" t="s">
        <v>416</v>
      </c>
      <c r="G316" s="21" t="s">
        <v>193</v>
      </c>
      <c r="H316" s="20" t="s">
        <v>163</v>
      </c>
      <c r="I316" s="72" t="s">
        <v>228</v>
      </c>
      <c r="J316" s="72" t="s">
        <v>881</v>
      </c>
      <c r="K316" s="91">
        <v>46041</v>
      </c>
      <c r="L316" s="72" t="s">
        <v>13</v>
      </c>
      <c r="M316" s="20">
        <v>61</v>
      </c>
      <c r="N316" s="21" t="s">
        <v>358</v>
      </c>
      <c r="O316" s="18">
        <v>190360</v>
      </c>
      <c r="P316" t="str">
        <f>VLOOKUP(VALUE(C316),Class20251!D:G,4,0)</f>
        <v>Trần Nhật Hoá</v>
      </c>
    </row>
    <row r="317" spans="1:16" ht="16.5">
      <c r="A317" s="126" t="s">
        <v>362</v>
      </c>
      <c r="B317" s="18">
        <v>190359</v>
      </c>
      <c r="C317" s="18">
        <v>161311</v>
      </c>
      <c r="D317" s="18" t="s">
        <v>88</v>
      </c>
      <c r="E317" s="19" t="s">
        <v>415</v>
      </c>
      <c r="F317" s="19" t="s">
        <v>416</v>
      </c>
      <c r="G317" s="21" t="s">
        <v>196</v>
      </c>
      <c r="H317" s="20" t="s">
        <v>163</v>
      </c>
      <c r="I317" s="72" t="s">
        <v>228</v>
      </c>
      <c r="J317" s="72" t="s">
        <v>881</v>
      </c>
      <c r="K317" s="91">
        <v>46041</v>
      </c>
      <c r="L317" s="72" t="s">
        <v>13</v>
      </c>
      <c r="M317" s="20">
        <v>61</v>
      </c>
      <c r="N317" s="21" t="s">
        <v>358</v>
      </c>
      <c r="O317" s="18">
        <v>190359</v>
      </c>
      <c r="P317" t="str">
        <f>VLOOKUP(VALUE(C317),Class20251!D:G,4,0)</f>
        <v>Trần Nhật Hoá</v>
      </c>
    </row>
    <row r="318" spans="1:16" ht="16.5">
      <c r="A318" s="126" t="s">
        <v>362</v>
      </c>
      <c r="B318" s="18">
        <v>190362</v>
      </c>
      <c r="C318" s="18">
        <v>161312</v>
      </c>
      <c r="D318" s="18" t="s">
        <v>88</v>
      </c>
      <c r="E318" s="19" t="s">
        <v>415</v>
      </c>
      <c r="F318" s="19" t="s">
        <v>419</v>
      </c>
      <c r="G318" s="21" t="s">
        <v>193</v>
      </c>
      <c r="H318" s="20" t="s">
        <v>163</v>
      </c>
      <c r="I318" s="72" t="s">
        <v>228</v>
      </c>
      <c r="J318" s="72" t="s">
        <v>881</v>
      </c>
      <c r="K318" s="91">
        <v>46041</v>
      </c>
      <c r="L318" s="72" t="s">
        <v>13</v>
      </c>
      <c r="M318" s="20">
        <v>52</v>
      </c>
      <c r="N318" s="21" t="s">
        <v>358</v>
      </c>
      <c r="O318" s="18">
        <v>190362</v>
      </c>
      <c r="P318" t="str">
        <f>VLOOKUP(VALUE(C318),Class20251!D:G,4,0)</f>
        <v>Nguyễn Mạnh Tuấn</v>
      </c>
    </row>
    <row r="319" spans="1:16" ht="16.5">
      <c r="A319" s="126" t="s">
        <v>362</v>
      </c>
      <c r="B319" s="18">
        <v>190361</v>
      </c>
      <c r="C319" s="18">
        <v>161312</v>
      </c>
      <c r="D319" s="18" t="s">
        <v>88</v>
      </c>
      <c r="E319" s="19" t="s">
        <v>415</v>
      </c>
      <c r="F319" s="19" t="s">
        <v>419</v>
      </c>
      <c r="G319" s="21" t="s">
        <v>196</v>
      </c>
      <c r="H319" s="20" t="s">
        <v>163</v>
      </c>
      <c r="I319" s="72" t="s">
        <v>228</v>
      </c>
      <c r="J319" s="72" t="s">
        <v>881</v>
      </c>
      <c r="K319" s="91">
        <v>46041</v>
      </c>
      <c r="L319" s="72" t="s">
        <v>13</v>
      </c>
      <c r="M319" s="20">
        <v>52</v>
      </c>
      <c r="N319" s="21" t="s">
        <v>358</v>
      </c>
      <c r="O319" s="18">
        <v>190361</v>
      </c>
      <c r="P319" t="str">
        <f>VLOOKUP(VALUE(C319),Class20251!D:G,4,0)</f>
        <v>Nguyễn Mạnh Tuấn</v>
      </c>
    </row>
    <row r="320" spans="1:16" ht="16.5">
      <c r="A320" s="126" t="s">
        <v>362</v>
      </c>
      <c r="B320" s="18">
        <v>190334</v>
      </c>
      <c r="C320" s="18">
        <v>161313</v>
      </c>
      <c r="D320" s="18" t="s">
        <v>421</v>
      </c>
      <c r="E320" s="19" t="s">
        <v>280</v>
      </c>
      <c r="F320" s="19" t="s">
        <v>422</v>
      </c>
      <c r="G320" s="21" t="s">
        <v>196</v>
      </c>
      <c r="H320" s="20" t="s">
        <v>163</v>
      </c>
      <c r="I320" s="21" t="s">
        <v>164</v>
      </c>
      <c r="J320" s="21" t="s">
        <v>278</v>
      </c>
      <c r="K320" s="22">
        <v>46049</v>
      </c>
      <c r="L320" s="21" t="s">
        <v>15</v>
      </c>
      <c r="M320" s="20">
        <v>65</v>
      </c>
      <c r="N320" s="21" t="s">
        <v>358</v>
      </c>
      <c r="O320" s="18">
        <v>190334</v>
      </c>
      <c r="P320" t="str">
        <f>VLOOKUP(VALUE(C320),Class20251!D:G,4,0)</f>
        <v>Trần Quang Đức</v>
      </c>
    </row>
    <row r="321" spans="1:16" ht="16.5">
      <c r="A321" s="126" t="s">
        <v>362</v>
      </c>
      <c r="B321" s="18">
        <v>190335</v>
      </c>
      <c r="C321" s="18">
        <v>161313</v>
      </c>
      <c r="D321" s="18" t="s">
        <v>421</v>
      </c>
      <c r="E321" s="19" t="s">
        <v>280</v>
      </c>
      <c r="F321" s="19" t="s">
        <v>422</v>
      </c>
      <c r="G321" s="21" t="s">
        <v>193</v>
      </c>
      <c r="H321" s="20" t="s">
        <v>163</v>
      </c>
      <c r="I321" s="21" t="s">
        <v>164</v>
      </c>
      <c r="J321" s="21" t="s">
        <v>278</v>
      </c>
      <c r="K321" s="22">
        <v>46049</v>
      </c>
      <c r="L321" s="21" t="s">
        <v>15</v>
      </c>
      <c r="M321" s="20">
        <v>66</v>
      </c>
      <c r="N321" s="21" t="s">
        <v>358</v>
      </c>
      <c r="O321" s="18">
        <v>190335</v>
      </c>
      <c r="P321" t="str">
        <f>VLOOKUP(VALUE(C321),Class20251!D:G,4,0)</f>
        <v>Trần Quang Đức</v>
      </c>
    </row>
    <row r="322" spans="1:16" ht="16.5">
      <c r="A322" s="126" t="s">
        <v>362</v>
      </c>
      <c r="B322" s="18">
        <v>190337</v>
      </c>
      <c r="C322" s="18">
        <v>161314</v>
      </c>
      <c r="D322" s="18" t="s">
        <v>421</v>
      </c>
      <c r="E322" s="19" t="s">
        <v>280</v>
      </c>
      <c r="F322" s="19" t="s">
        <v>423</v>
      </c>
      <c r="G322" s="21" t="s">
        <v>196</v>
      </c>
      <c r="H322" s="20" t="s">
        <v>163</v>
      </c>
      <c r="I322" s="21" t="s">
        <v>164</v>
      </c>
      <c r="J322" s="21" t="s">
        <v>278</v>
      </c>
      <c r="K322" s="22">
        <v>46049</v>
      </c>
      <c r="L322" s="21" t="s">
        <v>15</v>
      </c>
      <c r="M322" s="20">
        <v>48</v>
      </c>
      <c r="N322" s="21" t="s">
        <v>358</v>
      </c>
      <c r="O322" s="18">
        <v>190337</v>
      </c>
      <c r="P322" t="str">
        <f>VLOOKUP(VALUE(C322),Class20251!D:G,4,0)</f>
        <v>Nguyễn Khanh Văn</v>
      </c>
    </row>
    <row r="323" spans="1:16" ht="16.5">
      <c r="A323" s="126" t="s">
        <v>362</v>
      </c>
      <c r="B323" s="18">
        <v>190336</v>
      </c>
      <c r="C323" s="18">
        <v>161314</v>
      </c>
      <c r="D323" s="18" t="s">
        <v>421</v>
      </c>
      <c r="E323" s="19" t="s">
        <v>280</v>
      </c>
      <c r="F323" s="19" t="s">
        <v>423</v>
      </c>
      <c r="G323" s="21" t="s">
        <v>193</v>
      </c>
      <c r="H323" s="20" t="s">
        <v>163</v>
      </c>
      <c r="I323" s="21" t="s">
        <v>164</v>
      </c>
      <c r="J323" s="21" t="s">
        <v>278</v>
      </c>
      <c r="K323" s="22">
        <v>46049</v>
      </c>
      <c r="L323" s="21" t="s">
        <v>15</v>
      </c>
      <c r="M323" s="20">
        <v>49</v>
      </c>
      <c r="N323" s="21" t="s">
        <v>358</v>
      </c>
      <c r="O323" s="18">
        <v>190336</v>
      </c>
      <c r="P323" t="str">
        <f>VLOOKUP(VALUE(C323),Class20251!D:G,4,0)</f>
        <v>Nguyễn Khanh Văn</v>
      </c>
    </row>
    <row r="324" spans="1:16" ht="16.5">
      <c r="A324" s="126" t="s">
        <v>362</v>
      </c>
      <c r="B324" s="18">
        <v>190119</v>
      </c>
      <c r="C324" s="18">
        <v>161315</v>
      </c>
      <c r="D324" s="18" t="s">
        <v>235</v>
      </c>
      <c r="E324" s="19" t="s">
        <v>236</v>
      </c>
      <c r="F324" s="19" t="s">
        <v>424</v>
      </c>
      <c r="G324" s="21" t="s">
        <v>193</v>
      </c>
      <c r="H324" s="20" t="s">
        <v>163</v>
      </c>
      <c r="I324" s="21" t="s">
        <v>194</v>
      </c>
      <c r="J324" s="21" t="s">
        <v>238</v>
      </c>
      <c r="K324" s="22">
        <v>46059</v>
      </c>
      <c r="L324" s="21" t="s">
        <v>371</v>
      </c>
      <c r="M324" s="20">
        <v>58</v>
      </c>
      <c r="N324" s="21" t="s">
        <v>358</v>
      </c>
      <c r="O324" s="18">
        <v>190119</v>
      </c>
      <c r="P324" t="str">
        <f>VLOOKUP(VALUE(C324),Class20251!D:G,4,0)</f>
        <v>Phạm Đăng Hải</v>
      </c>
    </row>
    <row r="325" spans="1:16" ht="16.5">
      <c r="A325" s="126" t="s">
        <v>362</v>
      </c>
      <c r="B325" s="18">
        <v>190120</v>
      </c>
      <c r="C325" s="18">
        <v>161315</v>
      </c>
      <c r="D325" s="18" t="s">
        <v>235</v>
      </c>
      <c r="E325" s="19" t="s">
        <v>236</v>
      </c>
      <c r="F325" s="19" t="s">
        <v>424</v>
      </c>
      <c r="G325" s="21" t="s">
        <v>196</v>
      </c>
      <c r="H325" s="20" t="s">
        <v>163</v>
      </c>
      <c r="I325" s="21" t="s">
        <v>194</v>
      </c>
      <c r="J325" s="21" t="s">
        <v>238</v>
      </c>
      <c r="K325" s="22">
        <v>46059</v>
      </c>
      <c r="L325" s="21" t="s">
        <v>371</v>
      </c>
      <c r="M325" s="20">
        <v>59</v>
      </c>
      <c r="N325" s="21" t="s">
        <v>358</v>
      </c>
      <c r="O325" s="18">
        <v>190120</v>
      </c>
      <c r="P325" t="str">
        <f>VLOOKUP(VALUE(C325),Class20251!D:G,4,0)</f>
        <v>Phạm Đăng Hải</v>
      </c>
    </row>
    <row r="326" spans="1:16" ht="16.5">
      <c r="A326" s="126" t="s">
        <v>362</v>
      </c>
      <c r="B326" s="18">
        <v>190122</v>
      </c>
      <c r="C326" s="18">
        <v>161316</v>
      </c>
      <c r="D326" s="18" t="s">
        <v>235</v>
      </c>
      <c r="E326" s="19" t="s">
        <v>236</v>
      </c>
      <c r="F326" s="19" t="s">
        <v>426</v>
      </c>
      <c r="G326" s="21" t="s">
        <v>193</v>
      </c>
      <c r="H326" s="20" t="s">
        <v>163</v>
      </c>
      <c r="I326" s="21" t="s">
        <v>194</v>
      </c>
      <c r="J326" s="21" t="s">
        <v>238</v>
      </c>
      <c r="K326" s="22">
        <v>46059</v>
      </c>
      <c r="L326" s="21" t="s">
        <v>371</v>
      </c>
      <c r="M326" s="20">
        <v>56</v>
      </c>
      <c r="N326" s="21" t="s">
        <v>358</v>
      </c>
      <c r="O326" s="18">
        <v>190122</v>
      </c>
      <c r="P326" t="str">
        <f>VLOOKUP(VALUE(C326),Class20251!D:G,4,0)</f>
        <v>Đỗ Tuấn Anh</v>
      </c>
    </row>
    <row r="327" spans="1:16" ht="16.5">
      <c r="A327" s="126" t="s">
        <v>362</v>
      </c>
      <c r="B327" s="18">
        <v>190121</v>
      </c>
      <c r="C327" s="18">
        <v>161316</v>
      </c>
      <c r="D327" s="18" t="s">
        <v>235</v>
      </c>
      <c r="E327" s="19" t="s">
        <v>236</v>
      </c>
      <c r="F327" s="19" t="s">
        <v>426</v>
      </c>
      <c r="G327" s="21" t="s">
        <v>196</v>
      </c>
      <c r="H327" s="20" t="s">
        <v>163</v>
      </c>
      <c r="I327" s="21" t="s">
        <v>194</v>
      </c>
      <c r="J327" s="21" t="s">
        <v>238</v>
      </c>
      <c r="K327" s="22">
        <v>46059</v>
      </c>
      <c r="L327" s="21" t="s">
        <v>371</v>
      </c>
      <c r="M327" s="20">
        <v>55</v>
      </c>
      <c r="N327" s="21" t="s">
        <v>358</v>
      </c>
      <c r="O327" s="18">
        <v>190121</v>
      </c>
      <c r="P327" t="str">
        <f>VLOOKUP(VALUE(C327),Class20251!D:G,4,0)</f>
        <v>Đỗ Tuấn Anh</v>
      </c>
    </row>
    <row r="328" spans="1:16" ht="16.5">
      <c r="A328" s="126" t="s">
        <v>362</v>
      </c>
      <c r="B328" s="18">
        <v>190124</v>
      </c>
      <c r="C328" s="18">
        <v>161317</v>
      </c>
      <c r="D328" s="18" t="s">
        <v>235</v>
      </c>
      <c r="E328" s="19" t="s">
        <v>236</v>
      </c>
      <c r="F328" s="19" t="s">
        <v>429</v>
      </c>
      <c r="G328" s="21" t="s">
        <v>196</v>
      </c>
      <c r="H328" s="20" t="s">
        <v>163</v>
      </c>
      <c r="I328" s="21" t="s">
        <v>194</v>
      </c>
      <c r="J328" s="21" t="s">
        <v>238</v>
      </c>
      <c r="K328" s="22">
        <v>46059</v>
      </c>
      <c r="L328" s="21" t="s">
        <v>371</v>
      </c>
      <c r="M328" s="20">
        <v>55</v>
      </c>
      <c r="N328" s="21" t="s">
        <v>358</v>
      </c>
      <c r="O328" s="18">
        <v>190124</v>
      </c>
      <c r="P328" t="str">
        <f>VLOOKUP(VALUE(C328),Class20251!D:G,4,0)</f>
        <v>Ban Hà Bằng</v>
      </c>
    </row>
    <row r="329" spans="1:16" ht="16.5">
      <c r="A329" s="126" t="s">
        <v>362</v>
      </c>
      <c r="B329" s="18">
        <v>190123</v>
      </c>
      <c r="C329" s="18">
        <v>161317</v>
      </c>
      <c r="D329" s="18" t="s">
        <v>235</v>
      </c>
      <c r="E329" s="19" t="s">
        <v>236</v>
      </c>
      <c r="F329" s="19" t="s">
        <v>429</v>
      </c>
      <c r="G329" s="21" t="s">
        <v>193</v>
      </c>
      <c r="H329" s="20" t="s">
        <v>163</v>
      </c>
      <c r="I329" s="21" t="s">
        <v>194</v>
      </c>
      <c r="J329" s="21" t="s">
        <v>238</v>
      </c>
      <c r="K329" s="22">
        <v>46059</v>
      </c>
      <c r="L329" s="21" t="s">
        <v>371</v>
      </c>
      <c r="M329" s="20">
        <v>55</v>
      </c>
      <c r="N329" s="21" t="s">
        <v>358</v>
      </c>
      <c r="O329" s="18">
        <v>190123</v>
      </c>
      <c r="P329" t="str">
        <f>VLOOKUP(VALUE(C329),Class20251!D:G,4,0)</f>
        <v>Ban Hà Bằng</v>
      </c>
    </row>
    <row r="330" spans="1:16" ht="16.5">
      <c r="A330" s="126" t="s">
        <v>362</v>
      </c>
      <c r="B330" s="18">
        <v>190136</v>
      </c>
      <c r="C330" s="18">
        <v>161318</v>
      </c>
      <c r="D330" s="18" t="s">
        <v>431</v>
      </c>
      <c r="E330" s="19" t="s">
        <v>432</v>
      </c>
      <c r="F330" s="19" t="s">
        <v>433</v>
      </c>
      <c r="G330" s="21" t="s">
        <v>196</v>
      </c>
      <c r="H330" s="20" t="s">
        <v>163</v>
      </c>
      <c r="I330" s="21" t="s">
        <v>164</v>
      </c>
      <c r="J330" s="21" t="s">
        <v>238</v>
      </c>
      <c r="K330" s="22">
        <v>46052</v>
      </c>
      <c r="L330" s="21" t="s">
        <v>15</v>
      </c>
      <c r="M330" s="20">
        <v>61</v>
      </c>
      <c r="N330" s="21" t="s">
        <v>358</v>
      </c>
      <c r="O330" s="18">
        <v>190136</v>
      </c>
      <c r="P330" t="str">
        <f>VLOOKUP(VALUE(C330),Class20251!D:G,4,0)</f>
        <v>Bùi Trọng Tùng</v>
      </c>
    </row>
    <row r="331" spans="1:16" ht="16.5">
      <c r="A331" s="126" t="s">
        <v>362</v>
      </c>
      <c r="B331" s="18">
        <v>190135</v>
      </c>
      <c r="C331" s="18">
        <v>161318</v>
      </c>
      <c r="D331" s="18" t="s">
        <v>431</v>
      </c>
      <c r="E331" s="19" t="s">
        <v>432</v>
      </c>
      <c r="F331" s="19" t="s">
        <v>433</v>
      </c>
      <c r="G331" s="21" t="s">
        <v>193</v>
      </c>
      <c r="H331" s="20" t="s">
        <v>163</v>
      </c>
      <c r="I331" s="21" t="s">
        <v>164</v>
      </c>
      <c r="J331" s="21" t="s">
        <v>238</v>
      </c>
      <c r="K331" s="22">
        <v>46052</v>
      </c>
      <c r="L331" s="21" t="s">
        <v>15</v>
      </c>
      <c r="M331" s="20">
        <v>60</v>
      </c>
      <c r="N331" s="21" t="s">
        <v>358</v>
      </c>
      <c r="O331" s="18">
        <v>190135</v>
      </c>
      <c r="P331" t="str">
        <f>VLOOKUP(VALUE(C331),Class20251!D:G,4,0)</f>
        <v>Bùi Trọng Tùng</v>
      </c>
    </row>
    <row r="332" spans="1:16" ht="16.5">
      <c r="A332" s="126" t="s">
        <v>362</v>
      </c>
      <c r="B332" s="18">
        <v>190138</v>
      </c>
      <c r="C332" s="18">
        <v>161319</v>
      </c>
      <c r="D332" s="18" t="s">
        <v>431</v>
      </c>
      <c r="E332" s="19" t="s">
        <v>432</v>
      </c>
      <c r="F332" s="19" t="s">
        <v>436</v>
      </c>
      <c r="G332" s="21" t="s">
        <v>193</v>
      </c>
      <c r="H332" s="20" t="s">
        <v>163</v>
      </c>
      <c r="I332" s="21" t="s">
        <v>164</v>
      </c>
      <c r="J332" s="21" t="s">
        <v>238</v>
      </c>
      <c r="K332" s="22">
        <v>46052</v>
      </c>
      <c r="L332" s="21" t="s">
        <v>15</v>
      </c>
      <c r="M332" s="20">
        <v>60</v>
      </c>
      <c r="N332" s="21" t="s">
        <v>358</v>
      </c>
      <c r="O332" s="18">
        <v>190138</v>
      </c>
      <c r="P332" t="str">
        <f>VLOOKUP(VALUE(C332),Class20251!D:G,4,0)</f>
        <v>Phạm Huy Hoàng</v>
      </c>
    </row>
    <row r="333" spans="1:16" ht="16.5">
      <c r="A333" s="126" t="s">
        <v>362</v>
      </c>
      <c r="B333" s="18">
        <v>190137</v>
      </c>
      <c r="C333" s="18">
        <v>161319</v>
      </c>
      <c r="D333" s="18" t="s">
        <v>431</v>
      </c>
      <c r="E333" s="19" t="s">
        <v>432</v>
      </c>
      <c r="F333" s="19" t="s">
        <v>436</v>
      </c>
      <c r="G333" s="21" t="s">
        <v>196</v>
      </c>
      <c r="H333" s="20" t="s">
        <v>163</v>
      </c>
      <c r="I333" s="21" t="s">
        <v>164</v>
      </c>
      <c r="J333" s="21" t="s">
        <v>238</v>
      </c>
      <c r="K333" s="22">
        <v>46052</v>
      </c>
      <c r="L333" s="21" t="s">
        <v>15</v>
      </c>
      <c r="M333" s="20">
        <v>59</v>
      </c>
      <c r="N333" s="21" t="s">
        <v>358</v>
      </c>
      <c r="O333" s="18">
        <v>190137</v>
      </c>
      <c r="P333" t="str">
        <f>VLOOKUP(VALUE(C333),Class20251!D:G,4,0)</f>
        <v>Phạm Huy Hoàng</v>
      </c>
    </row>
    <row r="334" spans="1:16" ht="16.5">
      <c r="A334" s="126" t="s">
        <v>362</v>
      </c>
      <c r="B334" s="18">
        <v>190140</v>
      </c>
      <c r="C334" s="18">
        <v>161320</v>
      </c>
      <c r="D334" s="18" t="s">
        <v>431</v>
      </c>
      <c r="E334" s="19" t="s">
        <v>432</v>
      </c>
      <c r="F334" s="19" t="s">
        <v>429</v>
      </c>
      <c r="G334" s="21" t="s">
        <v>193</v>
      </c>
      <c r="H334" s="20" t="s">
        <v>163</v>
      </c>
      <c r="I334" s="21" t="s">
        <v>164</v>
      </c>
      <c r="J334" s="21" t="s">
        <v>238</v>
      </c>
      <c r="K334" s="22">
        <v>46052</v>
      </c>
      <c r="L334" s="21" t="s">
        <v>15</v>
      </c>
      <c r="M334" s="20">
        <v>46</v>
      </c>
      <c r="N334" s="21" t="s">
        <v>358</v>
      </c>
      <c r="O334" s="18">
        <v>190140</v>
      </c>
      <c r="P334" t="str">
        <f>VLOOKUP(VALUE(C334),Class20251!D:G,4,0)</f>
        <v>Tống Văn Vạn</v>
      </c>
    </row>
    <row r="335" spans="1:16" ht="16.5">
      <c r="A335" s="126" t="s">
        <v>362</v>
      </c>
      <c r="B335" s="18">
        <v>190139</v>
      </c>
      <c r="C335" s="18">
        <v>161320</v>
      </c>
      <c r="D335" s="18" t="s">
        <v>431</v>
      </c>
      <c r="E335" s="19" t="s">
        <v>432</v>
      </c>
      <c r="F335" s="19" t="s">
        <v>429</v>
      </c>
      <c r="G335" s="21" t="s">
        <v>196</v>
      </c>
      <c r="H335" s="20" t="s">
        <v>163</v>
      </c>
      <c r="I335" s="21" t="s">
        <v>164</v>
      </c>
      <c r="J335" s="21" t="s">
        <v>238</v>
      </c>
      <c r="K335" s="22">
        <v>46052</v>
      </c>
      <c r="L335" s="21" t="s">
        <v>15</v>
      </c>
      <c r="M335" s="20">
        <v>45</v>
      </c>
      <c r="N335" s="21" t="s">
        <v>358</v>
      </c>
      <c r="O335" s="18">
        <v>190139</v>
      </c>
      <c r="P335" t="str">
        <f>VLOOKUP(VALUE(C335),Class20251!D:G,4,0)</f>
        <v>Tống Văn Vạn</v>
      </c>
    </row>
    <row r="336" spans="1:16" ht="16.5">
      <c r="A336" s="126" t="s">
        <v>362</v>
      </c>
      <c r="B336" s="18">
        <v>190205</v>
      </c>
      <c r="C336" s="18">
        <v>161321</v>
      </c>
      <c r="D336" s="18" t="s">
        <v>261</v>
      </c>
      <c r="E336" s="19" t="s">
        <v>262</v>
      </c>
      <c r="F336" s="19" t="s">
        <v>422</v>
      </c>
      <c r="G336" s="21" t="s">
        <v>196</v>
      </c>
      <c r="H336" s="20" t="s">
        <v>163</v>
      </c>
      <c r="I336" s="21" t="s">
        <v>164</v>
      </c>
      <c r="J336" s="21" t="s">
        <v>215</v>
      </c>
      <c r="K336" s="22">
        <v>46050</v>
      </c>
      <c r="L336" s="21" t="s">
        <v>15</v>
      </c>
      <c r="M336" s="20">
        <v>48</v>
      </c>
      <c r="N336" s="21" t="s">
        <v>358</v>
      </c>
      <c r="O336" s="18">
        <v>190205</v>
      </c>
      <c r="P336" t="str">
        <f>VLOOKUP(VALUE(C336),Class20251!D:G,4,0)</f>
        <v>Nguyễn Khánh Phương</v>
      </c>
    </row>
    <row r="337" spans="1:16" ht="16.5">
      <c r="A337" s="126" t="s">
        <v>362</v>
      </c>
      <c r="B337" s="18">
        <v>190203</v>
      </c>
      <c r="C337" s="18">
        <v>161321</v>
      </c>
      <c r="D337" s="18" t="s">
        <v>261</v>
      </c>
      <c r="E337" s="19" t="s">
        <v>262</v>
      </c>
      <c r="F337" s="19" t="s">
        <v>422</v>
      </c>
      <c r="G337" s="21" t="s">
        <v>197</v>
      </c>
      <c r="H337" s="20" t="s">
        <v>163</v>
      </c>
      <c r="I337" s="21" t="s">
        <v>164</v>
      </c>
      <c r="J337" s="21" t="s">
        <v>215</v>
      </c>
      <c r="K337" s="22">
        <v>46050</v>
      </c>
      <c r="L337" s="21" t="s">
        <v>15</v>
      </c>
      <c r="M337" s="20">
        <v>47</v>
      </c>
      <c r="N337" s="21" t="s">
        <v>358</v>
      </c>
      <c r="O337" s="18">
        <v>190203</v>
      </c>
      <c r="P337" t="str">
        <f>VLOOKUP(VALUE(C337),Class20251!D:G,4,0)</f>
        <v>Nguyễn Khánh Phương</v>
      </c>
    </row>
    <row r="338" spans="1:16" ht="16.5">
      <c r="A338" s="126" t="s">
        <v>362</v>
      </c>
      <c r="B338" s="18">
        <v>190204</v>
      </c>
      <c r="C338" s="18">
        <v>161321</v>
      </c>
      <c r="D338" s="18" t="s">
        <v>261</v>
      </c>
      <c r="E338" s="19" t="s">
        <v>262</v>
      </c>
      <c r="F338" s="19" t="s">
        <v>422</v>
      </c>
      <c r="G338" s="21" t="s">
        <v>193</v>
      </c>
      <c r="H338" s="20" t="s">
        <v>163</v>
      </c>
      <c r="I338" s="21" t="s">
        <v>164</v>
      </c>
      <c r="J338" s="21" t="s">
        <v>215</v>
      </c>
      <c r="K338" s="22">
        <v>46050</v>
      </c>
      <c r="L338" s="21" t="s">
        <v>15</v>
      </c>
      <c r="M338" s="20">
        <v>48</v>
      </c>
      <c r="N338" s="21" t="s">
        <v>358</v>
      </c>
      <c r="O338" s="18">
        <v>190204</v>
      </c>
      <c r="P338" t="str">
        <f>VLOOKUP(VALUE(C338),Class20251!D:G,4,0)</f>
        <v>Nguyễn Khánh Phương</v>
      </c>
    </row>
    <row r="339" spans="1:16" ht="16.5">
      <c r="A339" s="126" t="s">
        <v>362</v>
      </c>
      <c r="B339" s="18">
        <v>190208</v>
      </c>
      <c r="C339" s="18">
        <v>161322</v>
      </c>
      <c r="D339" s="18" t="s">
        <v>261</v>
      </c>
      <c r="E339" s="19" t="s">
        <v>262</v>
      </c>
      <c r="F339" s="19" t="s">
        <v>426</v>
      </c>
      <c r="G339" s="21" t="s">
        <v>193</v>
      </c>
      <c r="H339" s="20" t="s">
        <v>163</v>
      </c>
      <c r="I339" s="21" t="s">
        <v>164</v>
      </c>
      <c r="J339" s="21" t="s">
        <v>215</v>
      </c>
      <c r="K339" s="22">
        <v>46050</v>
      </c>
      <c r="L339" s="21" t="s">
        <v>15</v>
      </c>
      <c r="M339" s="20">
        <v>48</v>
      </c>
      <c r="N339" s="21" t="s">
        <v>358</v>
      </c>
      <c r="O339" s="18">
        <v>190208</v>
      </c>
      <c r="P339" t="str">
        <f>VLOOKUP(VALUE(C339),Class20251!D:G,4,0)</f>
        <v>Nguyễn Hữu Đức</v>
      </c>
    </row>
    <row r="340" spans="1:16" ht="16.5">
      <c r="A340" s="126" t="s">
        <v>362</v>
      </c>
      <c r="B340" s="18">
        <v>190207</v>
      </c>
      <c r="C340" s="18">
        <v>161322</v>
      </c>
      <c r="D340" s="18" t="s">
        <v>261</v>
      </c>
      <c r="E340" s="19" t="s">
        <v>262</v>
      </c>
      <c r="F340" s="19" t="s">
        <v>426</v>
      </c>
      <c r="G340" s="21" t="s">
        <v>196</v>
      </c>
      <c r="H340" s="20" t="s">
        <v>163</v>
      </c>
      <c r="I340" s="21" t="s">
        <v>164</v>
      </c>
      <c r="J340" s="21" t="s">
        <v>215</v>
      </c>
      <c r="K340" s="22">
        <v>46050</v>
      </c>
      <c r="L340" s="21" t="s">
        <v>15</v>
      </c>
      <c r="M340" s="20">
        <v>47</v>
      </c>
      <c r="N340" s="21" t="s">
        <v>358</v>
      </c>
      <c r="O340" s="18">
        <v>190207</v>
      </c>
      <c r="P340" t="str">
        <f>VLOOKUP(VALUE(C340),Class20251!D:G,4,0)</f>
        <v>Nguyễn Hữu Đức</v>
      </c>
    </row>
    <row r="341" spans="1:16" ht="16.5">
      <c r="A341" s="126" t="s">
        <v>362</v>
      </c>
      <c r="B341" s="18">
        <v>190206</v>
      </c>
      <c r="C341" s="18">
        <v>161322</v>
      </c>
      <c r="D341" s="18" t="s">
        <v>261</v>
      </c>
      <c r="E341" s="19" t="s">
        <v>262</v>
      </c>
      <c r="F341" s="19" t="s">
        <v>426</v>
      </c>
      <c r="G341" s="21" t="s">
        <v>197</v>
      </c>
      <c r="H341" s="20" t="s">
        <v>163</v>
      </c>
      <c r="I341" s="21" t="s">
        <v>164</v>
      </c>
      <c r="J341" s="21" t="s">
        <v>215</v>
      </c>
      <c r="K341" s="22">
        <v>46050</v>
      </c>
      <c r="L341" s="21" t="s">
        <v>15</v>
      </c>
      <c r="M341" s="20">
        <v>47</v>
      </c>
      <c r="N341" s="21" t="s">
        <v>358</v>
      </c>
      <c r="O341" s="18">
        <v>190206</v>
      </c>
      <c r="P341" t="str">
        <f>VLOOKUP(VALUE(C341),Class20251!D:G,4,0)</f>
        <v>Nguyễn Hữu Đức</v>
      </c>
    </row>
    <row r="342" spans="1:16" ht="16.5">
      <c r="A342" s="126" t="s">
        <v>362</v>
      </c>
      <c r="B342" s="18">
        <v>190445</v>
      </c>
      <c r="C342" s="18">
        <v>161324</v>
      </c>
      <c r="D342" s="18" t="s">
        <v>309</v>
      </c>
      <c r="E342" s="19" t="s">
        <v>310</v>
      </c>
      <c r="F342" s="19" t="s">
        <v>439</v>
      </c>
      <c r="G342" s="21" t="s">
        <v>196</v>
      </c>
      <c r="H342" s="20" t="s">
        <v>163</v>
      </c>
      <c r="I342" s="21" t="s">
        <v>194</v>
      </c>
      <c r="J342" s="21" t="s">
        <v>283</v>
      </c>
      <c r="K342" s="22">
        <v>46058</v>
      </c>
      <c r="L342" s="21" t="s">
        <v>440</v>
      </c>
      <c r="M342" s="20">
        <v>60</v>
      </c>
      <c r="N342" s="21" t="s">
        <v>358</v>
      </c>
      <c r="O342" s="18">
        <v>190445</v>
      </c>
      <c r="P342" t="str">
        <f>VLOOKUP(VALUE(C342),Class20251!D:G,4,0)</f>
        <v>Trịnh Văn Chiến</v>
      </c>
    </row>
    <row r="343" spans="1:16" ht="16.5">
      <c r="A343" s="126" t="s">
        <v>362</v>
      </c>
      <c r="B343" s="18">
        <v>190446</v>
      </c>
      <c r="C343" s="18">
        <v>161324</v>
      </c>
      <c r="D343" s="18" t="s">
        <v>309</v>
      </c>
      <c r="E343" s="19" t="s">
        <v>310</v>
      </c>
      <c r="F343" s="19" t="s">
        <v>439</v>
      </c>
      <c r="G343" s="21" t="s">
        <v>193</v>
      </c>
      <c r="H343" s="20" t="s">
        <v>163</v>
      </c>
      <c r="I343" s="21" t="s">
        <v>194</v>
      </c>
      <c r="J343" s="21" t="s">
        <v>283</v>
      </c>
      <c r="K343" s="22">
        <v>46058</v>
      </c>
      <c r="L343" s="21" t="s">
        <v>440</v>
      </c>
      <c r="M343" s="20">
        <v>60</v>
      </c>
      <c r="N343" s="21" t="s">
        <v>358</v>
      </c>
      <c r="O343" s="18">
        <v>190446</v>
      </c>
      <c r="P343" t="str">
        <f>VLOOKUP(VALUE(C343),Class20251!D:G,4,0)</f>
        <v>Trịnh Văn Chiến</v>
      </c>
    </row>
    <row r="344" spans="1:16" ht="16.5">
      <c r="A344" s="126" t="s">
        <v>362</v>
      </c>
      <c r="B344" s="18">
        <v>190447</v>
      </c>
      <c r="C344" s="18">
        <v>161325</v>
      </c>
      <c r="D344" s="18" t="s">
        <v>309</v>
      </c>
      <c r="E344" s="19" t="s">
        <v>310</v>
      </c>
      <c r="F344" s="19" t="s">
        <v>443</v>
      </c>
      <c r="G344" s="21" t="s">
        <v>196</v>
      </c>
      <c r="H344" s="20" t="s">
        <v>163</v>
      </c>
      <c r="I344" s="21" t="s">
        <v>194</v>
      </c>
      <c r="J344" s="21" t="s">
        <v>283</v>
      </c>
      <c r="K344" s="22">
        <v>46058</v>
      </c>
      <c r="L344" s="21" t="s">
        <v>440</v>
      </c>
      <c r="M344" s="20">
        <v>47</v>
      </c>
      <c r="N344" s="21" t="s">
        <v>358</v>
      </c>
      <c r="O344" s="18">
        <v>190447</v>
      </c>
      <c r="P344" t="str">
        <f>VLOOKUP(VALUE(C344),Class20251!D:G,4,0)</f>
        <v>Trịnh Văn Chiến</v>
      </c>
    </row>
    <row r="345" spans="1:16" ht="16.5">
      <c r="A345" s="126" t="s">
        <v>362</v>
      </c>
      <c r="B345" s="18">
        <v>190448</v>
      </c>
      <c r="C345" s="18">
        <v>161325</v>
      </c>
      <c r="D345" s="18" t="s">
        <v>309</v>
      </c>
      <c r="E345" s="19" t="s">
        <v>310</v>
      </c>
      <c r="F345" s="19" t="s">
        <v>443</v>
      </c>
      <c r="G345" s="21" t="s">
        <v>193</v>
      </c>
      <c r="H345" s="20" t="s">
        <v>163</v>
      </c>
      <c r="I345" s="21" t="s">
        <v>194</v>
      </c>
      <c r="J345" s="21" t="s">
        <v>283</v>
      </c>
      <c r="K345" s="22">
        <v>46058</v>
      </c>
      <c r="L345" s="21" t="s">
        <v>440</v>
      </c>
      <c r="M345" s="20">
        <v>48</v>
      </c>
      <c r="N345" s="21" t="s">
        <v>358</v>
      </c>
      <c r="O345" s="18">
        <v>190448</v>
      </c>
      <c r="P345" t="str">
        <f>VLOOKUP(VALUE(C345),Class20251!D:G,4,0)</f>
        <v>Trịnh Văn Chiến</v>
      </c>
    </row>
    <row r="346" spans="1:16" ht="16.5">
      <c r="A346" s="126" t="s">
        <v>362</v>
      </c>
      <c r="B346" s="18">
        <v>190508</v>
      </c>
      <c r="C346" s="18">
        <v>161347</v>
      </c>
      <c r="D346" s="18" t="s">
        <v>333</v>
      </c>
      <c r="E346" s="19" t="s">
        <v>334</v>
      </c>
      <c r="F346" s="19" t="s">
        <v>445</v>
      </c>
      <c r="G346" s="21" t="s">
        <v>196</v>
      </c>
      <c r="H346" s="20" t="s">
        <v>163</v>
      </c>
      <c r="I346" s="21" t="s">
        <v>194</v>
      </c>
      <c r="J346" s="21" t="s">
        <v>165</v>
      </c>
      <c r="K346" s="22">
        <v>46055</v>
      </c>
      <c r="L346" s="21" t="s">
        <v>15</v>
      </c>
      <c r="M346" s="20">
        <v>38</v>
      </c>
      <c r="N346" s="21" t="s">
        <v>358</v>
      </c>
      <c r="O346" s="18">
        <v>190508</v>
      </c>
      <c r="P346" t="str">
        <f>VLOOKUP(VALUE(C346),Class20251!D:G,4,0)</f>
        <v>Nguyễn Đình Thuận</v>
      </c>
    </row>
    <row r="347" spans="1:16" ht="16.5">
      <c r="A347" s="126" t="s">
        <v>362</v>
      </c>
      <c r="B347" s="18">
        <v>190507</v>
      </c>
      <c r="C347" s="18">
        <v>161347</v>
      </c>
      <c r="D347" s="18" t="s">
        <v>333</v>
      </c>
      <c r="E347" s="19" t="s">
        <v>334</v>
      </c>
      <c r="F347" s="19" t="s">
        <v>445</v>
      </c>
      <c r="G347" s="21" t="s">
        <v>193</v>
      </c>
      <c r="H347" s="20" t="s">
        <v>163</v>
      </c>
      <c r="I347" s="21" t="s">
        <v>194</v>
      </c>
      <c r="J347" s="21" t="s">
        <v>165</v>
      </c>
      <c r="K347" s="22">
        <v>46055</v>
      </c>
      <c r="L347" s="21" t="s">
        <v>15</v>
      </c>
      <c r="M347" s="20">
        <v>39</v>
      </c>
      <c r="N347" s="21" t="s">
        <v>358</v>
      </c>
      <c r="O347" s="18">
        <v>190507</v>
      </c>
      <c r="P347" t="str">
        <f>VLOOKUP(VALUE(C347),Class20251!D:G,4,0)</f>
        <v>Nguyễn Đình Thuận</v>
      </c>
    </row>
    <row r="348" spans="1:16" ht="16.5">
      <c r="A348" s="126" t="s">
        <v>362</v>
      </c>
      <c r="B348" s="18">
        <v>190145</v>
      </c>
      <c r="C348" s="18">
        <v>161350</v>
      </c>
      <c r="D348" s="18" t="s">
        <v>239</v>
      </c>
      <c r="E348" s="19" t="s">
        <v>240</v>
      </c>
      <c r="F348" s="19" t="s">
        <v>445</v>
      </c>
      <c r="G348" s="21" t="s">
        <v>196</v>
      </c>
      <c r="H348" s="20" t="s">
        <v>163</v>
      </c>
      <c r="I348" s="21" t="s">
        <v>164</v>
      </c>
      <c r="J348" s="21" t="s">
        <v>238</v>
      </c>
      <c r="K348" s="22">
        <v>46052</v>
      </c>
      <c r="L348" s="21" t="s">
        <v>13</v>
      </c>
      <c r="M348" s="20">
        <v>58</v>
      </c>
      <c r="N348" s="21" t="s">
        <v>358</v>
      </c>
      <c r="O348" s="18">
        <v>190145</v>
      </c>
      <c r="P348" t="str">
        <f>VLOOKUP(VALUE(C348),Class20251!D:G,4,0)</f>
        <v>Trần Nguyên Ngọc</v>
      </c>
    </row>
    <row r="349" spans="1:16" ht="16.5">
      <c r="A349" s="126" t="s">
        <v>362</v>
      </c>
      <c r="B349" s="18">
        <v>190146</v>
      </c>
      <c r="C349" s="18">
        <v>161350</v>
      </c>
      <c r="D349" s="18" t="s">
        <v>239</v>
      </c>
      <c r="E349" s="19" t="s">
        <v>240</v>
      </c>
      <c r="F349" s="19" t="s">
        <v>445</v>
      </c>
      <c r="G349" s="21" t="s">
        <v>193</v>
      </c>
      <c r="H349" s="20" t="s">
        <v>163</v>
      </c>
      <c r="I349" s="21" t="s">
        <v>164</v>
      </c>
      <c r="J349" s="21" t="s">
        <v>238</v>
      </c>
      <c r="K349" s="22">
        <v>46052</v>
      </c>
      <c r="L349" s="21" t="s">
        <v>13</v>
      </c>
      <c r="M349" s="20">
        <v>59</v>
      </c>
      <c r="N349" s="21" t="s">
        <v>358</v>
      </c>
      <c r="O349" s="18">
        <v>190146</v>
      </c>
      <c r="P349" t="str">
        <f>VLOOKUP(VALUE(C349),Class20251!D:G,4,0)</f>
        <v>Trần Nguyên Ngọc</v>
      </c>
    </row>
    <row r="350" spans="1:16" ht="16.5">
      <c r="A350" s="126" t="s">
        <v>362</v>
      </c>
      <c r="B350" s="18">
        <v>190271</v>
      </c>
      <c r="C350" s="18">
        <v>161351</v>
      </c>
      <c r="D350" s="18" t="s">
        <v>449</v>
      </c>
      <c r="E350" s="19" t="s">
        <v>450</v>
      </c>
      <c r="F350" s="19" t="s">
        <v>445</v>
      </c>
      <c r="G350" s="21" t="s">
        <v>196</v>
      </c>
      <c r="H350" s="20" t="s">
        <v>163</v>
      </c>
      <c r="I350" s="21" t="s">
        <v>164</v>
      </c>
      <c r="J350" s="21" t="s">
        <v>283</v>
      </c>
      <c r="K350" s="22">
        <v>46051</v>
      </c>
      <c r="L350" s="21" t="s">
        <v>13</v>
      </c>
      <c r="M350" s="20">
        <v>62</v>
      </c>
      <c r="N350" s="21" t="s">
        <v>358</v>
      </c>
      <c r="O350" s="18">
        <v>190271</v>
      </c>
      <c r="P350" t="str">
        <f>VLOOKUP(VALUE(C350),Class20251!D:G,4,0)</f>
        <v>Vũ Tuyết Trinh</v>
      </c>
    </row>
    <row r="351" spans="1:16" ht="16.5">
      <c r="A351" s="126" t="s">
        <v>362</v>
      </c>
      <c r="B351" s="18">
        <v>190270</v>
      </c>
      <c r="C351" s="18">
        <v>161351</v>
      </c>
      <c r="D351" s="18" t="s">
        <v>449</v>
      </c>
      <c r="E351" s="19" t="s">
        <v>450</v>
      </c>
      <c r="F351" s="19" t="s">
        <v>445</v>
      </c>
      <c r="G351" s="21" t="s">
        <v>193</v>
      </c>
      <c r="H351" s="20" t="s">
        <v>163</v>
      </c>
      <c r="I351" s="21" t="s">
        <v>164</v>
      </c>
      <c r="J351" s="21" t="s">
        <v>283</v>
      </c>
      <c r="K351" s="22">
        <v>46051</v>
      </c>
      <c r="L351" s="21" t="s">
        <v>13</v>
      </c>
      <c r="M351" s="20">
        <v>64</v>
      </c>
      <c r="N351" s="21" t="s">
        <v>358</v>
      </c>
      <c r="O351" s="18">
        <v>190270</v>
      </c>
      <c r="P351" t="str">
        <f>VLOOKUP(VALUE(C351),Class20251!D:G,4,0)</f>
        <v>Vũ Tuyết Trinh</v>
      </c>
    </row>
    <row r="352" spans="1:16" ht="16.5">
      <c r="A352" s="126" t="s">
        <v>362</v>
      </c>
      <c r="B352" s="18">
        <v>190364</v>
      </c>
      <c r="C352" s="18">
        <v>161355</v>
      </c>
      <c r="D352" s="18" t="s">
        <v>114</v>
      </c>
      <c r="E352" s="19" t="s">
        <v>452</v>
      </c>
      <c r="F352" s="19" t="s">
        <v>445</v>
      </c>
      <c r="G352" s="21" t="s">
        <v>196</v>
      </c>
      <c r="H352" s="20" t="s">
        <v>163</v>
      </c>
      <c r="I352" s="72" t="s">
        <v>228</v>
      </c>
      <c r="J352" s="72" t="s">
        <v>881</v>
      </c>
      <c r="K352" s="91">
        <v>46041</v>
      </c>
      <c r="L352" s="72" t="s">
        <v>13</v>
      </c>
      <c r="M352" s="20">
        <v>54</v>
      </c>
      <c r="N352" s="21" t="s">
        <v>358</v>
      </c>
      <c r="O352" s="18">
        <v>190364</v>
      </c>
      <c r="P352" t="str">
        <f>VLOOKUP(VALUE(C352),Class20251!D:G,4,0)</f>
        <v>Bùi Thị Mai Anh (0.0) - Nguyễn Quốc Tuấn (1.0)</v>
      </c>
    </row>
    <row r="353" spans="1:16" ht="16.5">
      <c r="A353" s="126" t="s">
        <v>362</v>
      </c>
      <c r="B353" s="18">
        <v>190363</v>
      </c>
      <c r="C353" s="18">
        <v>161355</v>
      </c>
      <c r="D353" s="18" t="s">
        <v>114</v>
      </c>
      <c r="E353" s="19" t="s">
        <v>452</v>
      </c>
      <c r="F353" s="19" t="s">
        <v>445</v>
      </c>
      <c r="G353" s="21" t="s">
        <v>193</v>
      </c>
      <c r="H353" s="20" t="s">
        <v>163</v>
      </c>
      <c r="I353" s="72" t="s">
        <v>228</v>
      </c>
      <c r="J353" s="72" t="s">
        <v>881</v>
      </c>
      <c r="K353" s="91">
        <v>46041</v>
      </c>
      <c r="L353" s="72" t="s">
        <v>13</v>
      </c>
      <c r="M353" s="20">
        <v>55</v>
      </c>
      <c r="N353" s="21" t="s">
        <v>358</v>
      </c>
      <c r="O353" s="18">
        <v>190363</v>
      </c>
      <c r="P353" t="str">
        <f>VLOOKUP(VALUE(C353),Class20251!D:G,4,0)</f>
        <v>Bùi Thị Mai Anh (0.0) - Nguyễn Quốc Tuấn (1.0)</v>
      </c>
    </row>
    <row r="354" spans="1:16" ht="16.5">
      <c r="A354" s="126" t="s">
        <v>362</v>
      </c>
      <c r="B354" s="18">
        <v>190457</v>
      </c>
      <c r="C354" s="18">
        <v>161356</v>
      </c>
      <c r="D354" s="18" t="s">
        <v>454</v>
      </c>
      <c r="E354" s="19" t="s">
        <v>455</v>
      </c>
      <c r="F354" s="19" t="s">
        <v>445</v>
      </c>
      <c r="G354" s="21" t="s">
        <v>196</v>
      </c>
      <c r="H354" s="20" t="s">
        <v>163</v>
      </c>
      <c r="I354" s="21" t="s">
        <v>194</v>
      </c>
      <c r="J354" s="21" t="s">
        <v>283</v>
      </c>
      <c r="K354" s="22">
        <v>46058</v>
      </c>
      <c r="L354" s="21" t="s">
        <v>440</v>
      </c>
      <c r="M354" s="20">
        <v>63</v>
      </c>
      <c r="N354" s="21" t="s">
        <v>358</v>
      </c>
      <c r="O354" s="18">
        <v>190457</v>
      </c>
      <c r="P354" t="str">
        <f>VLOOKUP(VALUE(C354),Class20251!D:G,4,0)</f>
        <v>Đỗ Công Thuần</v>
      </c>
    </row>
    <row r="355" spans="1:16" ht="16.5">
      <c r="A355" s="126" t="s">
        <v>362</v>
      </c>
      <c r="B355" s="18">
        <v>190456</v>
      </c>
      <c r="C355" s="18">
        <v>161356</v>
      </c>
      <c r="D355" s="18" t="s">
        <v>454</v>
      </c>
      <c r="E355" s="19" t="s">
        <v>455</v>
      </c>
      <c r="F355" s="19" t="s">
        <v>445</v>
      </c>
      <c r="G355" s="21" t="s">
        <v>193</v>
      </c>
      <c r="H355" s="20" t="s">
        <v>163</v>
      </c>
      <c r="I355" s="21" t="s">
        <v>194</v>
      </c>
      <c r="J355" s="21" t="s">
        <v>283</v>
      </c>
      <c r="K355" s="22">
        <v>46058</v>
      </c>
      <c r="L355" s="21" t="s">
        <v>440</v>
      </c>
      <c r="M355" s="20">
        <v>63</v>
      </c>
      <c r="N355" s="21" t="s">
        <v>358</v>
      </c>
      <c r="O355" s="18">
        <v>190456</v>
      </c>
      <c r="P355" t="str">
        <f>VLOOKUP(VALUE(C355),Class20251!D:G,4,0)</f>
        <v>Đỗ Công Thuần</v>
      </c>
    </row>
    <row r="356" spans="1:16" ht="16.5">
      <c r="A356" s="126" t="s">
        <v>362</v>
      </c>
      <c r="B356" s="18">
        <v>190293</v>
      </c>
      <c r="C356" s="18">
        <v>161366</v>
      </c>
      <c r="D356" s="18" t="s">
        <v>457</v>
      </c>
      <c r="E356" s="19" t="s">
        <v>458</v>
      </c>
      <c r="F356" s="19" t="s">
        <v>459</v>
      </c>
      <c r="G356" s="21" t="s">
        <v>193</v>
      </c>
      <c r="H356" s="20" t="s">
        <v>163</v>
      </c>
      <c r="I356" s="21" t="s">
        <v>194</v>
      </c>
      <c r="J356" s="21" t="s">
        <v>165</v>
      </c>
      <c r="K356" s="22">
        <v>46055</v>
      </c>
      <c r="L356" s="21" t="s">
        <v>12</v>
      </c>
      <c r="M356" s="20">
        <v>56</v>
      </c>
      <c r="N356" s="21" t="s">
        <v>358</v>
      </c>
      <c r="O356" s="18">
        <v>190293</v>
      </c>
      <c r="P356" t="str">
        <f>VLOOKUP(VALUE(C356),Class20251!D:G,4,0)</f>
        <v>Trịnh Văn Chiến</v>
      </c>
    </row>
    <row r="357" spans="1:16" ht="16.5">
      <c r="A357" s="126" t="s">
        <v>362</v>
      </c>
      <c r="B357" s="18">
        <v>190294</v>
      </c>
      <c r="C357" s="18">
        <v>161366</v>
      </c>
      <c r="D357" s="18" t="s">
        <v>457</v>
      </c>
      <c r="E357" s="19" t="s">
        <v>458</v>
      </c>
      <c r="F357" s="19" t="s">
        <v>459</v>
      </c>
      <c r="G357" s="21" t="s">
        <v>196</v>
      </c>
      <c r="H357" s="20" t="s">
        <v>163</v>
      </c>
      <c r="I357" s="21" t="s">
        <v>194</v>
      </c>
      <c r="J357" s="21" t="s">
        <v>165</v>
      </c>
      <c r="K357" s="22">
        <v>46055</v>
      </c>
      <c r="L357" s="21" t="s">
        <v>12</v>
      </c>
      <c r="M357" s="20">
        <v>56</v>
      </c>
      <c r="N357" s="21" t="s">
        <v>358</v>
      </c>
      <c r="O357" s="18">
        <v>190294</v>
      </c>
      <c r="P357" t="str">
        <f>VLOOKUP(VALUE(C357),Class20251!D:G,4,0)</f>
        <v>Trịnh Văn Chiến</v>
      </c>
    </row>
    <row r="358" spans="1:16" ht="16.5">
      <c r="A358" s="126" t="s">
        <v>362</v>
      </c>
      <c r="B358" s="18">
        <v>190296</v>
      </c>
      <c r="C358" s="18">
        <v>161367</v>
      </c>
      <c r="D358" s="18" t="s">
        <v>457</v>
      </c>
      <c r="E358" s="19" t="s">
        <v>458</v>
      </c>
      <c r="F358" s="19" t="s">
        <v>460</v>
      </c>
      <c r="G358" s="21" t="s">
        <v>193</v>
      </c>
      <c r="H358" s="20" t="s">
        <v>163</v>
      </c>
      <c r="I358" s="21" t="s">
        <v>194</v>
      </c>
      <c r="J358" s="21" t="s">
        <v>165</v>
      </c>
      <c r="K358" s="22">
        <v>46055</v>
      </c>
      <c r="L358" s="21" t="s">
        <v>12</v>
      </c>
      <c r="M358" s="20">
        <v>56</v>
      </c>
      <c r="N358" s="21" t="s">
        <v>358</v>
      </c>
      <c r="O358" s="18">
        <v>190296</v>
      </c>
      <c r="P358" t="str">
        <f>VLOOKUP(VALUE(C358),Class20251!D:G,4,0)</f>
        <v>Nguyễn Thị Thanh Nga</v>
      </c>
    </row>
    <row r="359" spans="1:16" ht="16.5">
      <c r="A359" s="126" t="s">
        <v>362</v>
      </c>
      <c r="B359" s="18">
        <v>190295</v>
      </c>
      <c r="C359" s="18">
        <v>161367</v>
      </c>
      <c r="D359" s="18" t="s">
        <v>457</v>
      </c>
      <c r="E359" s="19" t="s">
        <v>458</v>
      </c>
      <c r="F359" s="19" t="s">
        <v>460</v>
      </c>
      <c r="G359" s="21" t="s">
        <v>196</v>
      </c>
      <c r="H359" s="20" t="s">
        <v>163</v>
      </c>
      <c r="I359" s="21" t="s">
        <v>194</v>
      </c>
      <c r="J359" s="21" t="s">
        <v>165</v>
      </c>
      <c r="K359" s="22">
        <v>46055</v>
      </c>
      <c r="L359" s="21" t="s">
        <v>12</v>
      </c>
      <c r="M359" s="20">
        <v>56</v>
      </c>
      <c r="N359" s="21" t="s">
        <v>358</v>
      </c>
      <c r="O359" s="18">
        <v>190295</v>
      </c>
      <c r="P359" t="str">
        <f>VLOOKUP(VALUE(C359),Class20251!D:G,4,0)</f>
        <v>Nguyễn Thị Thanh Nga</v>
      </c>
    </row>
    <row r="360" spans="1:16" ht="16.5">
      <c r="A360" s="126" t="s">
        <v>362</v>
      </c>
      <c r="B360" s="18">
        <v>190298</v>
      </c>
      <c r="C360" s="18">
        <v>161368</v>
      </c>
      <c r="D360" s="18" t="s">
        <v>457</v>
      </c>
      <c r="E360" s="19" t="s">
        <v>458</v>
      </c>
      <c r="F360" s="19" t="s">
        <v>462</v>
      </c>
      <c r="G360" s="21" t="s">
        <v>196</v>
      </c>
      <c r="H360" s="20" t="s">
        <v>163</v>
      </c>
      <c r="I360" s="21" t="s">
        <v>194</v>
      </c>
      <c r="J360" s="21" t="s">
        <v>165</v>
      </c>
      <c r="K360" s="22">
        <v>46055</v>
      </c>
      <c r="L360" s="21" t="s">
        <v>12</v>
      </c>
      <c r="M360" s="20">
        <v>57</v>
      </c>
      <c r="N360" s="21" t="s">
        <v>358</v>
      </c>
      <c r="O360" s="18">
        <v>190298</v>
      </c>
      <c r="P360" t="str">
        <f>VLOOKUP(VALUE(C360),Class20251!D:G,4,0)</f>
        <v>Lê Xuân Thành</v>
      </c>
    </row>
    <row r="361" spans="1:16" ht="16.5">
      <c r="A361" s="126" t="s">
        <v>362</v>
      </c>
      <c r="B361" s="18">
        <v>190297</v>
      </c>
      <c r="C361" s="18">
        <v>161368</v>
      </c>
      <c r="D361" s="18" t="s">
        <v>457</v>
      </c>
      <c r="E361" s="19" t="s">
        <v>458</v>
      </c>
      <c r="F361" s="19" t="s">
        <v>462</v>
      </c>
      <c r="G361" s="21" t="s">
        <v>193</v>
      </c>
      <c r="H361" s="20" t="s">
        <v>163</v>
      </c>
      <c r="I361" s="21" t="s">
        <v>194</v>
      </c>
      <c r="J361" s="21" t="s">
        <v>165</v>
      </c>
      <c r="K361" s="22">
        <v>46055</v>
      </c>
      <c r="L361" s="21" t="s">
        <v>12</v>
      </c>
      <c r="M361" s="20">
        <v>58</v>
      </c>
      <c r="N361" s="21" t="s">
        <v>358</v>
      </c>
      <c r="O361" s="18">
        <v>190297</v>
      </c>
      <c r="P361" t="str">
        <f>VLOOKUP(VALUE(C361),Class20251!D:G,4,0)</f>
        <v>Lê Xuân Thành</v>
      </c>
    </row>
    <row r="362" spans="1:16" ht="16.5">
      <c r="A362" s="126" t="s">
        <v>362</v>
      </c>
      <c r="B362" s="18">
        <v>190379</v>
      </c>
      <c r="C362" s="18">
        <v>161380</v>
      </c>
      <c r="D362" s="18" t="s">
        <v>68</v>
      </c>
      <c r="E362" s="19" t="s">
        <v>287</v>
      </c>
      <c r="F362" s="19" t="s">
        <v>459</v>
      </c>
      <c r="G362" s="21" t="s">
        <v>196</v>
      </c>
      <c r="H362" s="20" t="s">
        <v>163</v>
      </c>
      <c r="I362" s="21" t="s">
        <v>228</v>
      </c>
      <c r="J362" s="21" t="s">
        <v>283</v>
      </c>
      <c r="K362" s="22">
        <v>46044</v>
      </c>
      <c r="L362" s="21" t="s">
        <v>13</v>
      </c>
      <c r="M362" s="20">
        <v>54</v>
      </c>
      <c r="N362" s="21" t="s">
        <v>358</v>
      </c>
      <c r="O362" s="18">
        <v>190379</v>
      </c>
      <c r="P362" t="str">
        <f>VLOOKUP(VALUE(C362),Class20251!D:G,4,0)</f>
        <v>Nguyễn Hồng Quang</v>
      </c>
    </row>
    <row r="363" spans="1:16" ht="16.5">
      <c r="A363" s="126" t="s">
        <v>362</v>
      </c>
      <c r="B363" s="18">
        <v>190378</v>
      </c>
      <c r="C363" s="18">
        <v>161380</v>
      </c>
      <c r="D363" s="18" t="s">
        <v>68</v>
      </c>
      <c r="E363" s="19" t="s">
        <v>287</v>
      </c>
      <c r="F363" s="19" t="s">
        <v>459</v>
      </c>
      <c r="G363" s="21" t="s">
        <v>193</v>
      </c>
      <c r="H363" s="20" t="s">
        <v>163</v>
      </c>
      <c r="I363" s="21" t="s">
        <v>228</v>
      </c>
      <c r="J363" s="21" t="s">
        <v>283</v>
      </c>
      <c r="K363" s="22">
        <v>46044</v>
      </c>
      <c r="L363" s="21" t="s">
        <v>13</v>
      </c>
      <c r="M363" s="20">
        <v>55</v>
      </c>
      <c r="N363" s="21" t="s">
        <v>358</v>
      </c>
      <c r="O363" s="18">
        <v>190378</v>
      </c>
      <c r="P363" t="str">
        <f>VLOOKUP(VALUE(C363),Class20251!D:G,4,0)</f>
        <v>Nguyễn Hồng Quang</v>
      </c>
    </row>
    <row r="364" spans="1:16" ht="16.5">
      <c r="A364" s="126" t="s">
        <v>362</v>
      </c>
      <c r="B364" s="18">
        <v>190381</v>
      </c>
      <c r="C364" s="18">
        <v>161381</v>
      </c>
      <c r="D364" s="18" t="s">
        <v>68</v>
      </c>
      <c r="E364" s="19" t="s">
        <v>287</v>
      </c>
      <c r="F364" s="19" t="s">
        <v>466</v>
      </c>
      <c r="G364" s="21" t="s">
        <v>193</v>
      </c>
      <c r="H364" s="20" t="s">
        <v>163</v>
      </c>
      <c r="I364" s="21" t="s">
        <v>228</v>
      </c>
      <c r="J364" s="21" t="s">
        <v>283</v>
      </c>
      <c r="K364" s="22">
        <v>46044</v>
      </c>
      <c r="L364" s="21" t="s">
        <v>13</v>
      </c>
      <c r="M364" s="20">
        <v>55</v>
      </c>
      <c r="N364" s="21" t="s">
        <v>358</v>
      </c>
      <c r="O364" s="18">
        <v>190381</v>
      </c>
      <c r="P364" t="str">
        <f>VLOOKUP(VALUE(C364),Class20251!D:G,4,0)</f>
        <v>Đoàn Phong Tùng</v>
      </c>
    </row>
    <row r="365" spans="1:16" ht="16.5">
      <c r="A365" s="126" t="s">
        <v>362</v>
      </c>
      <c r="B365" s="18">
        <v>190380</v>
      </c>
      <c r="C365" s="18">
        <v>161381</v>
      </c>
      <c r="D365" s="18" t="s">
        <v>68</v>
      </c>
      <c r="E365" s="19" t="s">
        <v>287</v>
      </c>
      <c r="F365" s="19" t="s">
        <v>466</v>
      </c>
      <c r="G365" s="21" t="s">
        <v>196</v>
      </c>
      <c r="H365" s="20" t="s">
        <v>163</v>
      </c>
      <c r="I365" s="21" t="s">
        <v>228</v>
      </c>
      <c r="J365" s="21" t="s">
        <v>283</v>
      </c>
      <c r="K365" s="22">
        <v>46044</v>
      </c>
      <c r="L365" s="21" t="s">
        <v>13</v>
      </c>
      <c r="M365" s="20">
        <v>54</v>
      </c>
      <c r="N365" s="21" t="s">
        <v>358</v>
      </c>
      <c r="O365" s="18">
        <v>190380</v>
      </c>
      <c r="P365" t="str">
        <f>VLOOKUP(VALUE(C365),Class20251!D:G,4,0)</f>
        <v>Đoàn Phong Tùng</v>
      </c>
    </row>
    <row r="366" spans="1:16" ht="16.5">
      <c r="A366" s="126" t="s">
        <v>362</v>
      </c>
      <c r="B366" s="18">
        <v>190383</v>
      </c>
      <c r="C366" s="18">
        <v>161382</v>
      </c>
      <c r="D366" s="18" t="s">
        <v>68</v>
      </c>
      <c r="E366" s="19" t="s">
        <v>287</v>
      </c>
      <c r="F366" s="19" t="s">
        <v>462</v>
      </c>
      <c r="G366" s="21" t="s">
        <v>193</v>
      </c>
      <c r="H366" s="20" t="s">
        <v>163</v>
      </c>
      <c r="I366" s="21" t="s">
        <v>228</v>
      </c>
      <c r="J366" s="21" t="s">
        <v>283</v>
      </c>
      <c r="K366" s="22">
        <v>46044</v>
      </c>
      <c r="L366" s="21" t="s">
        <v>13</v>
      </c>
      <c r="M366" s="20">
        <v>56</v>
      </c>
      <c r="N366" s="21" t="s">
        <v>358</v>
      </c>
      <c r="O366" s="18">
        <v>190383</v>
      </c>
      <c r="P366" t="str">
        <f>VLOOKUP(VALUE(C366),Class20251!D:G,4,0)</f>
        <v>Nguyễn Đình Thuận</v>
      </c>
    </row>
    <row r="367" spans="1:16" ht="16.5">
      <c r="A367" s="126" t="s">
        <v>362</v>
      </c>
      <c r="B367" s="18">
        <v>190382</v>
      </c>
      <c r="C367" s="18">
        <v>161382</v>
      </c>
      <c r="D367" s="18" t="s">
        <v>68</v>
      </c>
      <c r="E367" s="19" t="s">
        <v>287</v>
      </c>
      <c r="F367" s="19" t="s">
        <v>462</v>
      </c>
      <c r="G367" s="21" t="s">
        <v>196</v>
      </c>
      <c r="H367" s="20" t="s">
        <v>163</v>
      </c>
      <c r="I367" s="21" t="s">
        <v>228</v>
      </c>
      <c r="J367" s="21" t="s">
        <v>283</v>
      </c>
      <c r="K367" s="22">
        <v>46044</v>
      </c>
      <c r="L367" s="21" t="s">
        <v>13</v>
      </c>
      <c r="M367" s="20">
        <v>55</v>
      </c>
      <c r="N367" s="21" t="s">
        <v>358</v>
      </c>
      <c r="O367" s="18">
        <v>190382</v>
      </c>
      <c r="P367" t="str">
        <f>VLOOKUP(VALUE(C367),Class20251!D:G,4,0)</f>
        <v>Nguyễn Đình Thuận</v>
      </c>
    </row>
    <row r="368" spans="1:16" ht="16.5">
      <c r="A368" s="126" t="s">
        <v>362</v>
      </c>
      <c r="B368" s="18">
        <v>190068</v>
      </c>
      <c r="C368" s="18">
        <v>161383</v>
      </c>
      <c r="D368" s="18" t="s">
        <v>216</v>
      </c>
      <c r="E368" s="19" t="s">
        <v>217</v>
      </c>
      <c r="F368" s="19" t="s">
        <v>459</v>
      </c>
      <c r="G368" s="21" t="s">
        <v>196</v>
      </c>
      <c r="H368" s="20" t="s">
        <v>163</v>
      </c>
      <c r="I368" s="21" t="s">
        <v>194</v>
      </c>
      <c r="J368" s="21" t="s">
        <v>215</v>
      </c>
      <c r="K368" s="22">
        <v>46057</v>
      </c>
      <c r="L368" s="21" t="s">
        <v>15</v>
      </c>
      <c r="M368" s="20">
        <v>55</v>
      </c>
      <c r="N368" s="21" t="s">
        <v>358</v>
      </c>
      <c r="O368" s="18">
        <v>190068</v>
      </c>
      <c r="P368" t="str">
        <f>VLOOKUP(VALUE(C368),Class20251!D:G,4,0)</f>
        <v>Nguyễn Tuấn Dũng</v>
      </c>
    </row>
    <row r="369" spans="1:16" ht="16.5">
      <c r="A369" s="126" t="s">
        <v>362</v>
      </c>
      <c r="B369" s="18">
        <v>190067</v>
      </c>
      <c r="C369" s="18">
        <v>161383</v>
      </c>
      <c r="D369" s="18" t="s">
        <v>216</v>
      </c>
      <c r="E369" s="19" t="s">
        <v>217</v>
      </c>
      <c r="F369" s="19" t="s">
        <v>459</v>
      </c>
      <c r="G369" s="21" t="s">
        <v>193</v>
      </c>
      <c r="H369" s="20" t="s">
        <v>163</v>
      </c>
      <c r="I369" s="21" t="s">
        <v>194</v>
      </c>
      <c r="J369" s="21" t="s">
        <v>215</v>
      </c>
      <c r="K369" s="22">
        <v>46057</v>
      </c>
      <c r="L369" s="21" t="s">
        <v>15</v>
      </c>
      <c r="M369" s="20">
        <v>55</v>
      </c>
      <c r="N369" s="21" t="s">
        <v>358</v>
      </c>
      <c r="O369" s="18">
        <v>190067</v>
      </c>
      <c r="P369" t="str">
        <f>VLOOKUP(VALUE(C369),Class20251!D:G,4,0)</f>
        <v>Nguyễn Tuấn Dũng</v>
      </c>
    </row>
    <row r="370" spans="1:16" ht="16.5">
      <c r="A370" s="126" t="s">
        <v>362</v>
      </c>
      <c r="B370" s="18">
        <v>190069</v>
      </c>
      <c r="C370" s="18">
        <v>161384</v>
      </c>
      <c r="D370" s="18" t="s">
        <v>216</v>
      </c>
      <c r="E370" s="19" t="s">
        <v>217</v>
      </c>
      <c r="F370" s="19" t="s">
        <v>469</v>
      </c>
      <c r="G370" s="21" t="s">
        <v>196</v>
      </c>
      <c r="H370" s="20" t="s">
        <v>163</v>
      </c>
      <c r="I370" s="21" t="s">
        <v>194</v>
      </c>
      <c r="J370" s="21" t="s">
        <v>215</v>
      </c>
      <c r="K370" s="22">
        <v>46057</v>
      </c>
      <c r="L370" s="21" t="s">
        <v>15</v>
      </c>
      <c r="M370" s="20">
        <v>53</v>
      </c>
      <c r="N370" s="21" t="s">
        <v>358</v>
      </c>
      <c r="O370" s="18">
        <v>190069</v>
      </c>
      <c r="P370" t="str">
        <f>VLOOKUP(VALUE(C370),Class20251!D:G,4,0)</f>
        <v>Bùi Quốc Trung</v>
      </c>
    </row>
    <row r="371" spans="1:16" ht="16.5">
      <c r="A371" s="126" t="s">
        <v>362</v>
      </c>
      <c r="B371" s="18">
        <v>190070</v>
      </c>
      <c r="C371" s="18">
        <v>161384</v>
      </c>
      <c r="D371" s="18" t="s">
        <v>216</v>
      </c>
      <c r="E371" s="19" t="s">
        <v>217</v>
      </c>
      <c r="F371" s="19" t="s">
        <v>469</v>
      </c>
      <c r="G371" s="21" t="s">
        <v>193</v>
      </c>
      <c r="H371" s="20" t="s">
        <v>163</v>
      </c>
      <c r="I371" s="21" t="s">
        <v>194</v>
      </c>
      <c r="J371" s="21" t="s">
        <v>215</v>
      </c>
      <c r="K371" s="22">
        <v>46057</v>
      </c>
      <c r="L371" s="21" t="s">
        <v>15</v>
      </c>
      <c r="M371" s="20">
        <v>53</v>
      </c>
      <c r="N371" s="21" t="s">
        <v>358</v>
      </c>
      <c r="O371" s="18">
        <v>190070</v>
      </c>
      <c r="P371" t="str">
        <f>VLOOKUP(VALUE(C371),Class20251!D:G,4,0)</f>
        <v>Bùi Quốc Trung</v>
      </c>
    </row>
    <row r="372" spans="1:16" ht="16.5">
      <c r="A372" s="126" t="s">
        <v>362</v>
      </c>
      <c r="B372" s="18">
        <v>190071</v>
      </c>
      <c r="C372" s="18">
        <v>161385</v>
      </c>
      <c r="D372" s="18" t="s">
        <v>216</v>
      </c>
      <c r="E372" s="19" t="s">
        <v>217</v>
      </c>
      <c r="F372" s="19" t="s">
        <v>471</v>
      </c>
      <c r="G372" s="21" t="s">
        <v>193</v>
      </c>
      <c r="H372" s="20" t="s">
        <v>163</v>
      </c>
      <c r="I372" s="21" t="s">
        <v>194</v>
      </c>
      <c r="J372" s="21" t="s">
        <v>215</v>
      </c>
      <c r="K372" s="22">
        <v>46057</v>
      </c>
      <c r="L372" s="21" t="s">
        <v>15</v>
      </c>
      <c r="M372" s="20">
        <v>54</v>
      </c>
      <c r="N372" s="21" t="s">
        <v>358</v>
      </c>
      <c r="O372" s="18">
        <v>190071</v>
      </c>
      <c r="P372" t="str">
        <f>VLOOKUP(VALUE(C372),Class20251!D:G,4,0)</f>
        <v>Đỗ Quốc Huy</v>
      </c>
    </row>
    <row r="373" spans="1:16" ht="16.5">
      <c r="A373" s="126" t="s">
        <v>362</v>
      </c>
      <c r="B373" s="18">
        <v>190072</v>
      </c>
      <c r="C373" s="18">
        <v>161385</v>
      </c>
      <c r="D373" s="18" t="s">
        <v>216</v>
      </c>
      <c r="E373" s="19" t="s">
        <v>217</v>
      </c>
      <c r="F373" s="19" t="s">
        <v>471</v>
      </c>
      <c r="G373" s="21" t="s">
        <v>196</v>
      </c>
      <c r="H373" s="20" t="s">
        <v>163</v>
      </c>
      <c r="I373" s="21" t="s">
        <v>194</v>
      </c>
      <c r="J373" s="21" t="s">
        <v>215</v>
      </c>
      <c r="K373" s="22">
        <v>46057</v>
      </c>
      <c r="L373" s="21" t="s">
        <v>15</v>
      </c>
      <c r="M373" s="20">
        <v>53</v>
      </c>
      <c r="N373" s="21" t="s">
        <v>358</v>
      </c>
      <c r="O373" s="18">
        <v>190072</v>
      </c>
      <c r="P373" t="str">
        <f>VLOOKUP(VALUE(C373),Class20251!D:G,4,0)</f>
        <v>Đỗ Quốc Huy</v>
      </c>
    </row>
    <row r="374" spans="1:16" ht="16.5">
      <c r="A374" s="126" t="s">
        <v>362</v>
      </c>
      <c r="B374" s="18">
        <v>190250</v>
      </c>
      <c r="C374" s="18">
        <v>161386</v>
      </c>
      <c r="D374" s="18" t="s">
        <v>63</v>
      </c>
      <c r="E374" s="19" t="s">
        <v>473</v>
      </c>
      <c r="F374" s="19" t="s">
        <v>474</v>
      </c>
      <c r="G374" s="21" t="s">
        <v>169</v>
      </c>
      <c r="H374" s="20" t="s">
        <v>163</v>
      </c>
      <c r="I374" s="76" t="s">
        <v>228</v>
      </c>
      <c r="J374" s="76" t="s">
        <v>882</v>
      </c>
      <c r="K374" s="77">
        <v>46042</v>
      </c>
      <c r="L374" s="76" t="s">
        <v>371</v>
      </c>
      <c r="M374" s="20">
        <v>40</v>
      </c>
      <c r="N374" s="21" t="s">
        <v>358</v>
      </c>
      <c r="O374" s="18">
        <v>190250</v>
      </c>
      <c r="P374" t="str">
        <f>VLOOKUP(VALUE(C374),Class20251!D:G,4,0)</f>
        <v>Lã Thế Vinh</v>
      </c>
    </row>
    <row r="375" spans="1:16" ht="16.5">
      <c r="A375" s="126" t="s">
        <v>362</v>
      </c>
      <c r="B375" s="18">
        <v>190251</v>
      </c>
      <c r="C375" s="18">
        <v>161387</v>
      </c>
      <c r="D375" s="18" t="s">
        <v>63</v>
      </c>
      <c r="E375" s="19" t="s">
        <v>473</v>
      </c>
      <c r="F375" s="19" t="s">
        <v>460</v>
      </c>
      <c r="G375" s="21" t="s">
        <v>169</v>
      </c>
      <c r="H375" s="20" t="s">
        <v>163</v>
      </c>
      <c r="I375" s="76" t="s">
        <v>228</v>
      </c>
      <c r="J375" s="76" t="s">
        <v>882</v>
      </c>
      <c r="K375" s="77">
        <v>46042</v>
      </c>
      <c r="L375" s="76" t="s">
        <v>371</v>
      </c>
      <c r="M375" s="20">
        <v>40</v>
      </c>
      <c r="N375" s="21" t="s">
        <v>358</v>
      </c>
      <c r="O375" s="18">
        <v>190251</v>
      </c>
      <c r="P375" t="str">
        <f>VLOOKUP(VALUE(C375),Class20251!D:G,4,0)</f>
        <v>Dương Quang Huy</v>
      </c>
    </row>
    <row r="376" spans="1:16" ht="16.5">
      <c r="A376" s="126" t="s">
        <v>362</v>
      </c>
      <c r="B376" s="18">
        <v>190252</v>
      </c>
      <c r="C376" s="18">
        <v>161388</v>
      </c>
      <c r="D376" s="18" t="s">
        <v>63</v>
      </c>
      <c r="E376" s="19" t="s">
        <v>473</v>
      </c>
      <c r="F376" s="19" t="s">
        <v>478</v>
      </c>
      <c r="G376" s="21" t="s">
        <v>169</v>
      </c>
      <c r="H376" s="20" t="s">
        <v>163</v>
      </c>
      <c r="I376" s="76" t="s">
        <v>228</v>
      </c>
      <c r="J376" s="76" t="s">
        <v>882</v>
      </c>
      <c r="K376" s="77">
        <v>46042</v>
      </c>
      <c r="L376" s="76" t="s">
        <v>371</v>
      </c>
      <c r="M376" s="20">
        <v>39</v>
      </c>
      <c r="N376" s="21" t="s">
        <v>358</v>
      </c>
      <c r="O376" s="18">
        <v>190252</v>
      </c>
      <c r="P376" t="str">
        <f>VLOOKUP(VALUE(C376),Class20251!D:G,4,0)</f>
        <v>Nguyễn Tiến Thành</v>
      </c>
    </row>
    <row r="377" spans="1:16" ht="16.5">
      <c r="A377" s="126" t="s">
        <v>362</v>
      </c>
      <c r="B377" s="18">
        <v>190253</v>
      </c>
      <c r="C377" s="18">
        <v>161389</v>
      </c>
      <c r="D377" s="18" t="s">
        <v>63</v>
      </c>
      <c r="E377" s="19" t="s">
        <v>473</v>
      </c>
      <c r="F377" s="19" t="s">
        <v>481</v>
      </c>
      <c r="G377" s="21" t="s">
        <v>169</v>
      </c>
      <c r="H377" s="20" t="s">
        <v>163</v>
      </c>
      <c r="I377" s="76" t="s">
        <v>228</v>
      </c>
      <c r="J377" s="76" t="s">
        <v>882</v>
      </c>
      <c r="K377" s="77">
        <v>46042</v>
      </c>
      <c r="L377" s="76" t="s">
        <v>371</v>
      </c>
      <c r="M377" s="20">
        <v>40</v>
      </c>
      <c r="N377" s="21" t="s">
        <v>358</v>
      </c>
      <c r="O377" s="18">
        <v>190253</v>
      </c>
      <c r="P377" t="str">
        <f>VLOOKUP(VALUE(C377),Class20251!D:G,4,0)</f>
        <v>Nguyễn Quốc Tuấn</v>
      </c>
    </row>
    <row r="378" spans="1:16" ht="16.5">
      <c r="A378" s="126" t="s">
        <v>362</v>
      </c>
      <c r="B378" s="18">
        <v>190254</v>
      </c>
      <c r="C378" s="18">
        <v>161390</v>
      </c>
      <c r="D378" s="18" t="s">
        <v>63</v>
      </c>
      <c r="E378" s="19" t="s">
        <v>473</v>
      </c>
      <c r="F378" s="19" t="s">
        <v>484</v>
      </c>
      <c r="G378" s="21" t="s">
        <v>169</v>
      </c>
      <c r="H378" s="20" t="s">
        <v>163</v>
      </c>
      <c r="I378" s="76" t="s">
        <v>228</v>
      </c>
      <c r="J378" s="76" t="s">
        <v>882</v>
      </c>
      <c r="K378" s="77">
        <v>46042</v>
      </c>
      <c r="L378" s="76" t="s">
        <v>371</v>
      </c>
      <c r="M378" s="20">
        <v>40</v>
      </c>
      <c r="N378" s="21" t="s">
        <v>358</v>
      </c>
      <c r="O378" s="18">
        <v>190254</v>
      </c>
      <c r="P378" t="str">
        <f>VLOOKUP(VALUE(C378),Class20251!D:G,4,0)</f>
        <v>Ngô Thành Trung</v>
      </c>
    </row>
    <row r="379" spans="1:16" ht="16.5">
      <c r="A379" s="126" t="s">
        <v>362</v>
      </c>
      <c r="B379" s="18">
        <v>190255</v>
      </c>
      <c r="C379" s="18">
        <v>161391</v>
      </c>
      <c r="D379" s="18" t="s">
        <v>63</v>
      </c>
      <c r="E379" s="19" t="s">
        <v>473</v>
      </c>
      <c r="F379" s="19" t="s">
        <v>486</v>
      </c>
      <c r="G379" s="21" t="s">
        <v>169</v>
      </c>
      <c r="H379" s="20" t="s">
        <v>163</v>
      </c>
      <c r="I379" s="76" t="s">
        <v>228</v>
      </c>
      <c r="J379" s="76" t="s">
        <v>882</v>
      </c>
      <c r="K379" s="77">
        <v>46042</v>
      </c>
      <c r="L379" s="76" t="s">
        <v>371</v>
      </c>
      <c r="M379" s="20">
        <v>40</v>
      </c>
      <c r="N379" s="21" t="s">
        <v>358</v>
      </c>
      <c r="O379" s="18">
        <v>190255</v>
      </c>
      <c r="P379" t="str">
        <f>VLOOKUP(VALUE(C379),Class20251!D:G,4,0)</f>
        <v>Nguyễn Hồng Phương</v>
      </c>
    </row>
    <row r="380" spans="1:16" ht="16.5">
      <c r="A380" s="126" t="s">
        <v>362</v>
      </c>
      <c r="B380" s="18">
        <v>190256</v>
      </c>
      <c r="C380" s="18">
        <v>161392</v>
      </c>
      <c r="D380" s="18" t="s">
        <v>63</v>
      </c>
      <c r="E380" s="19" t="s">
        <v>473</v>
      </c>
      <c r="F380" s="19" t="s">
        <v>488</v>
      </c>
      <c r="G380" s="21" t="s">
        <v>169</v>
      </c>
      <c r="H380" s="20" t="s">
        <v>163</v>
      </c>
      <c r="I380" s="76" t="s">
        <v>228</v>
      </c>
      <c r="J380" s="76" t="s">
        <v>882</v>
      </c>
      <c r="K380" s="77">
        <v>46042</v>
      </c>
      <c r="L380" s="76" t="s">
        <v>371</v>
      </c>
      <c r="M380" s="20">
        <v>40</v>
      </c>
      <c r="N380" s="21" t="s">
        <v>358</v>
      </c>
      <c r="O380" s="18">
        <v>190256</v>
      </c>
      <c r="P380" t="str">
        <f>VLOOKUP(VALUE(C380),Class20251!D:G,4,0)</f>
        <v>Vũ Đức Vượng</v>
      </c>
    </row>
    <row r="381" spans="1:16" ht="16.5">
      <c r="A381" s="126" t="s">
        <v>362</v>
      </c>
      <c r="B381" s="18">
        <v>190257</v>
      </c>
      <c r="C381" s="18">
        <v>161393</v>
      </c>
      <c r="D381" s="18" t="s">
        <v>63</v>
      </c>
      <c r="E381" s="19" t="s">
        <v>473</v>
      </c>
      <c r="F381" s="19" t="s">
        <v>490</v>
      </c>
      <c r="G381" s="21" t="s">
        <v>169</v>
      </c>
      <c r="H381" s="20" t="s">
        <v>163</v>
      </c>
      <c r="I381" s="76" t="s">
        <v>228</v>
      </c>
      <c r="J381" s="76" t="s">
        <v>882</v>
      </c>
      <c r="K381" s="77">
        <v>46042</v>
      </c>
      <c r="L381" s="76" t="s">
        <v>371</v>
      </c>
      <c r="M381" s="20">
        <v>40</v>
      </c>
      <c r="N381" s="21" t="s">
        <v>358</v>
      </c>
      <c r="O381" s="18">
        <v>190257</v>
      </c>
      <c r="P381" t="str">
        <f>VLOOKUP(VALUE(C381),Class20251!D:G,4,0)</f>
        <v>Tạ Duy Hoàng</v>
      </c>
    </row>
    <row r="382" spans="1:16" ht="16.5">
      <c r="A382" s="126" t="s">
        <v>362</v>
      </c>
      <c r="B382" s="18">
        <v>190258</v>
      </c>
      <c r="C382" s="18">
        <v>161394</v>
      </c>
      <c r="D382" s="18" t="s">
        <v>63</v>
      </c>
      <c r="E382" s="19" t="s">
        <v>473</v>
      </c>
      <c r="F382" s="19" t="s">
        <v>492</v>
      </c>
      <c r="G382" s="21" t="s">
        <v>169</v>
      </c>
      <c r="H382" s="20" t="s">
        <v>163</v>
      </c>
      <c r="I382" s="76" t="s">
        <v>228</v>
      </c>
      <c r="J382" s="76" t="s">
        <v>882</v>
      </c>
      <c r="K382" s="77">
        <v>46042</v>
      </c>
      <c r="L382" s="76" t="s">
        <v>371</v>
      </c>
      <c r="M382" s="20">
        <v>40</v>
      </c>
      <c r="N382" s="21" t="s">
        <v>358</v>
      </c>
      <c r="O382" s="18">
        <v>190258</v>
      </c>
      <c r="P382" t="str">
        <f>VLOOKUP(VALUE(C382),Class20251!D:G,4,0)</f>
        <v>Nguyễn Hồng Quang</v>
      </c>
    </row>
    <row r="383" spans="1:16" ht="16.5">
      <c r="A383" s="126" t="s">
        <v>362</v>
      </c>
      <c r="B383" s="18">
        <v>190259</v>
      </c>
      <c r="C383" s="18">
        <v>161395</v>
      </c>
      <c r="D383" s="18" t="s">
        <v>63</v>
      </c>
      <c r="E383" s="19" t="s">
        <v>473</v>
      </c>
      <c r="F383" s="19" t="s">
        <v>493</v>
      </c>
      <c r="G383" s="21" t="s">
        <v>169</v>
      </c>
      <c r="H383" s="20" t="s">
        <v>163</v>
      </c>
      <c r="I383" s="76" t="s">
        <v>228</v>
      </c>
      <c r="J383" s="76" t="s">
        <v>882</v>
      </c>
      <c r="K383" s="77">
        <v>46042</v>
      </c>
      <c r="L383" s="76" t="s">
        <v>371</v>
      </c>
      <c r="M383" s="20">
        <v>40</v>
      </c>
      <c r="N383" s="21" t="s">
        <v>358</v>
      </c>
      <c r="O383" s="18">
        <v>190259</v>
      </c>
      <c r="P383" t="str">
        <f>VLOOKUP(VALUE(C383),Class20251!D:G,4,0)</f>
        <v>Nguyễn Quốc Tuấn</v>
      </c>
    </row>
    <row r="384" spans="1:16" ht="16.5">
      <c r="A384" s="126" t="s">
        <v>362</v>
      </c>
      <c r="B384" s="18">
        <v>190089</v>
      </c>
      <c r="C384" s="18">
        <v>161411</v>
      </c>
      <c r="D384" s="18" t="s">
        <v>494</v>
      </c>
      <c r="E384" s="19" t="s">
        <v>495</v>
      </c>
      <c r="F384" s="19" t="s">
        <v>496</v>
      </c>
      <c r="G384" s="21" t="s">
        <v>196</v>
      </c>
      <c r="H384" s="20" t="s">
        <v>163</v>
      </c>
      <c r="I384" s="21" t="s">
        <v>194</v>
      </c>
      <c r="J384" s="21" t="s">
        <v>283</v>
      </c>
      <c r="K384" s="22">
        <v>46058</v>
      </c>
      <c r="L384" s="21" t="s">
        <v>12</v>
      </c>
      <c r="M384" s="20">
        <v>43</v>
      </c>
      <c r="N384" s="21" t="s">
        <v>358</v>
      </c>
      <c r="O384" s="18">
        <v>190089</v>
      </c>
      <c r="P384" t="str">
        <f>VLOOKUP(VALUE(C384),Class20251!D:G,4,0)</f>
        <v>Nguyễn Khánh Phương</v>
      </c>
    </row>
    <row r="385" spans="1:16" ht="16.5">
      <c r="A385" s="126" t="s">
        <v>362</v>
      </c>
      <c r="B385" s="18">
        <v>190090</v>
      </c>
      <c r="C385" s="18">
        <v>161411</v>
      </c>
      <c r="D385" s="18" t="s">
        <v>494</v>
      </c>
      <c r="E385" s="19" t="s">
        <v>495</v>
      </c>
      <c r="F385" s="19" t="s">
        <v>496</v>
      </c>
      <c r="G385" s="21" t="s">
        <v>193</v>
      </c>
      <c r="H385" s="20" t="s">
        <v>163</v>
      </c>
      <c r="I385" s="21" t="s">
        <v>194</v>
      </c>
      <c r="J385" s="21" t="s">
        <v>283</v>
      </c>
      <c r="K385" s="22">
        <v>46058</v>
      </c>
      <c r="L385" s="21" t="s">
        <v>12</v>
      </c>
      <c r="M385" s="20">
        <v>45</v>
      </c>
      <c r="N385" s="21" t="s">
        <v>358</v>
      </c>
      <c r="O385" s="18">
        <v>190090</v>
      </c>
      <c r="P385" t="str">
        <f>VLOOKUP(VALUE(C385),Class20251!D:G,4,0)</f>
        <v>Nguyễn Khánh Phương</v>
      </c>
    </row>
    <row r="386" spans="1:16" ht="16.5">
      <c r="A386" s="126" t="s">
        <v>362</v>
      </c>
      <c r="B386" s="18">
        <v>190091</v>
      </c>
      <c r="C386" s="18">
        <v>161412</v>
      </c>
      <c r="D386" s="18" t="s">
        <v>494</v>
      </c>
      <c r="E386" s="19" t="s">
        <v>495</v>
      </c>
      <c r="F386" s="19" t="s">
        <v>497</v>
      </c>
      <c r="G386" s="21" t="s">
        <v>193</v>
      </c>
      <c r="H386" s="20" t="s">
        <v>163</v>
      </c>
      <c r="I386" s="21" t="s">
        <v>194</v>
      </c>
      <c r="J386" s="21" t="s">
        <v>283</v>
      </c>
      <c r="K386" s="22">
        <v>46058</v>
      </c>
      <c r="L386" s="21" t="s">
        <v>12</v>
      </c>
      <c r="M386" s="20">
        <v>38</v>
      </c>
      <c r="N386" s="21" t="s">
        <v>358</v>
      </c>
      <c r="O386" s="18">
        <v>190091</v>
      </c>
      <c r="P386" t="str">
        <f>VLOOKUP(VALUE(C386),Class20251!D:G,4,0)</f>
        <v>Phạm Quang Dũng</v>
      </c>
    </row>
    <row r="387" spans="1:16" ht="16.5">
      <c r="A387" s="126" t="s">
        <v>362</v>
      </c>
      <c r="B387" s="18">
        <v>190092</v>
      </c>
      <c r="C387" s="18">
        <v>161412</v>
      </c>
      <c r="D387" s="18" t="s">
        <v>494</v>
      </c>
      <c r="E387" s="19" t="s">
        <v>495</v>
      </c>
      <c r="F387" s="19" t="s">
        <v>497</v>
      </c>
      <c r="G387" s="21" t="s">
        <v>196</v>
      </c>
      <c r="H387" s="20" t="s">
        <v>163</v>
      </c>
      <c r="I387" s="21" t="s">
        <v>194</v>
      </c>
      <c r="J387" s="21" t="s">
        <v>283</v>
      </c>
      <c r="K387" s="22">
        <v>46058</v>
      </c>
      <c r="L387" s="21" t="s">
        <v>12</v>
      </c>
      <c r="M387" s="20">
        <v>38</v>
      </c>
      <c r="N387" s="21" t="s">
        <v>358</v>
      </c>
      <c r="O387" s="18">
        <v>190092</v>
      </c>
      <c r="P387" t="str">
        <f>VLOOKUP(VALUE(C387),Class20251!D:G,4,0)</f>
        <v>Phạm Quang Dũng</v>
      </c>
    </row>
    <row r="388" spans="1:16" ht="16.5">
      <c r="A388" s="126" t="s">
        <v>362</v>
      </c>
      <c r="B388" s="18">
        <v>190220</v>
      </c>
      <c r="C388" s="18">
        <v>161413</v>
      </c>
      <c r="D388" s="18" t="s">
        <v>499</v>
      </c>
      <c r="E388" s="19" t="s">
        <v>500</v>
      </c>
      <c r="F388" s="19" t="s">
        <v>496</v>
      </c>
      <c r="G388" s="21" t="s">
        <v>196</v>
      </c>
      <c r="H388" s="20" t="s">
        <v>163</v>
      </c>
      <c r="I388" s="21" t="s">
        <v>164</v>
      </c>
      <c r="J388" s="21" t="s">
        <v>215</v>
      </c>
      <c r="K388" s="22">
        <v>46050</v>
      </c>
      <c r="L388" s="21" t="s">
        <v>14</v>
      </c>
      <c r="M388" s="20">
        <v>54</v>
      </c>
      <c r="N388" s="21" t="s">
        <v>358</v>
      </c>
      <c r="O388" s="18">
        <v>190220</v>
      </c>
      <c r="P388" t="str">
        <f>VLOOKUP(VALUE(C388),Class20251!D:G,4,0)</f>
        <v>Phạm Quang Dũng</v>
      </c>
    </row>
    <row r="389" spans="1:16" ht="16.5">
      <c r="A389" s="126" t="s">
        <v>362</v>
      </c>
      <c r="B389" s="18">
        <v>190221</v>
      </c>
      <c r="C389" s="18">
        <v>161413</v>
      </c>
      <c r="D389" s="18" t="s">
        <v>499</v>
      </c>
      <c r="E389" s="19" t="s">
        <v>500</v>
      </c>
      <c r="F389" s="19" t="s">
        <v>496</v>
      </c>
      <c r="G389" s="21" t="s">
        <v>193</v>
      </c>
      <c r="H389" s="20" t="s">
        <v>163</v>
      </c>
      <c r="I389" s="21" t="s">
        <v>164</v>
      </c>
      <c r="J389" s="21" t="s">
        <v>215</v>
      </c>
      <c r="K389" s="22">
        <v>46050</v>
      </c>
      <c r="L389" s="21" t="s">
        <v>14</v>
      </c>
      <c r="M389" s="20">
        <v>55</v>
      </c>
      <c r="N389" s="21" t="s">
        <v>358</v>
      </c>
      <c r="O389" s="18">
        <v>190221</v>
      </c>
      <c r="P389" t="str">
        <f>VLOOKUP(VALUE(C389),Class20251!D:G,4,0)</f>
        <v>Phạm Quang Dũng</v>
      </c>
    </row>
    <row r="390" spans="1:16" ht="16.5">
      <c r="A390" s="126" t="s">
        <v>362</v>
      </c>
      <c r="B390" s="18">
        <v>190223</v>
      </c>
      <c r="C390" s="18">
        <v>161414</v>
      </c>
      <c r="D390" s="18" t="s">
        <v>499</v>
      </c>
      <c r="E390" s="19" t="s">
        <v>500</v>
      </c>
      <c r="F390" s="19" t="s">
        <v>497</v>
      </c>
      <c r="G390" s="21" t="s">
        <v>196</v>
      </c>
      <c r="H390" s="20" t="s">
        <v>163</v>
      </c>
      <c r="I390" s="21" t="s">
        <v>164</v>
      </c>
      <c r="J390" s="21" t="s">
        <v>215</v>
      </c>
      <c r="K390" s="22">
        <v>46050</v>
      </c>
      <c r="L390" s="21" t="s">
        <v>14</v>
      </c>
      <c r="M390" s="20">
        <v>38</v>
      </c>
      <c r="N390" s="21" t="s">
        <v>358</v>
      </c>
      <c r="O390" s="18">
        <v>190223</v>
      </c>
      <c r="P390" t="str">
        <f>VLOOKUP(VALUE(C390),Class20251!D:G,4,0)</f>
        <v>Nguyễn Khánh Phương</v>
      </c>
    </row>
    <row r="391" spans="1:16" ht="16.5">
      <c r="A391" s="126" t="s">
        <v>362</v>
      </c>
      <c r="B391" s="18">
        <v>190222</v>
      </c>
      <c r="C391" s="18">
        <v>161414</v>
      </c>
      <c r="D391" s="18" t="s">
        <v>499</v>
      </c>
      <c r="E391" s="19" t="s">
        <v>500</v>
      </c>
      <c r="F391" s="19" t="s">
        <v>497</v>
      </c>
      <c r="G391" s="21" t="s">
        <v>193</v>
      </c>
      <c r="H391" s="20" t="s">
        <v>163</v>
      </c>
      <c r="I391" s="21" t="s">
        <v>164</v>
      </c>
      <c r="J391" s="21" t="s">
        <v>215</v>
      </c>
      <c r="K391" s="22">
        <v>46050</v>
      </c>
      <c r="L391" s="21" t="s">
        <v>14</v>
      </c>
      <c r="M391" s="20">
        <v>38</v>
      </c>
      <c r="N391" s="21" t="s">
        <v>358</v>
      </c>
      <c r="O391" s="18">
        <v>190222</v>
      </c>
      <c r="P391" t="str">
        <f>VLOOKUP(VALUE(C391),Class20251!D:G,4,0)</f>
        <v>Nguyễn Khánh Phương</v>
      </c>
    </row>
    <row r="392" spans="1:16" ht="16.5">
      <c r="A392" s="126" t="s">
        <v>362</v>
      </c>
      <c r="B392" s="18">
        <v>190264</v>
      </c>
      <c r="C392" s="18">
        <v>161415</v>
      </c>
      <c r="D392" s="18" t="s">
        <v>501</v>
      </c>
      <c r="E392" s="19" t="s">
        <v>502</v>
      </c>
      <c r="F392" s="19" t="s">
        <v>503</v>
      </c>
      <c r="G392" s="21" t="s">
        <v>193</v>
      </c>
      <c r="H392" s="20" t="s">
        <v>163</v>
      </c>
      <c r="I392" s="21" t="s">
        <v>228</v>
      </c>
      <c r="J392" s="21" t="s">
        <v>215</v>
      </c>
      <c r="K392" s="22">
        <v>46043</v>
      </c>
      <c r="L392" s="21" t="s">
        <v>14</v>
      </c>
      <c r="M392" s="20">
        <v>40</v>
      </c>
      <c r="N392" s="21" t="s">
        <v>358</v>
      </c>
      <c r="O392" s="18">
        <v>190264</v>
      </c>
      <c r="P392" t="str">
        <f>VLOOKUP(VALUE(C392),Class20251!D:G,4,0)</f>
        <v>Phạm Ngọc Hưng</v>
      </c>
    </row>
    <row r="393" spans="1:16" ht="16.5">
      <c r="A393" s="126" t="s">
        <v>362</v>
      </c>
      <c r="B393" s="18">
        <v>190263</v>
      </c>
      <c r="C393" s="18">
        <v>161415</v>
      </c>
      <c r="D393" s="18" t="s">
        <v>501</v>
      </c>
      <c r="E393" s="19" t="s">
        <v>502</v>
      </c>
      <c r="F393" s="19" t="s">
        <v>503</v>
      </c>
      <c r="G393" s="21" t="s">
        <v>196</v>
      </c>
      <c r="H393" s="20" t="s">
        <v>163</v>
      </c>
      <c r="I393" s="21" t="s">
        <v>228</v>
      </c>
      <c r="J393" s="21" t="s">
        <v>215</v>
      </c>
      <c r="K393" s="22">
        <v>46043</v>
      </c>
      <c r="L393" s="21" t="s">
        <v>14</v>
      </c>
      <c r="M393" s="20">
        <v>40</v>
      </c>
      <c r="N393" s="21" t="s">
        <v>358</v>
      </c>
      <c r="O393" s="18">
        <v>190263</v>
      </c>
      <c r="P393" t="str">
        <f>VLOOKUP(VALUE(C393),Class20251!D:G,4,0)</f>
        <v>Phạm Ngọc Hưng</v>
      </c>
    </row>
    <row r="394" spans="1:16" ht="16.5">
      <c r="A394" s="126" t="s">
        <v>362</v>
      </c>
      <c r="B394" s="18">
        <v>190266</v>
      </c>
      <c r="C394" s="18">
        <v>161416</v>
      </c>
      <c r="D394" s="18" t="s">
        <v>501</v>
      </c>
      <c r="E394" s="19" t="s">
        <v>502</v>
      </c>
      <c r="F394" s="19" t="s">
        <v>503</v>
      </c>
      <c r="G394" s="21" t="s">
        <v>196</v>
      </c>
      <c r="H394" s="20" t="s">
        <v>163</v>
      </c>
      <c r="I394" s="21" t="s">
        <v>228</v>
      </c>
      <c r="J394" s="21" t="s">
        <v>215</v>
      </c>
      <c r="K394" s="22">
        <v>46043</v>
      </c>
      <c r="L394" s="21" t="s">
        <v>14</v>
      </c>
      <c r="M394" s="20">
        <v>37</v>
      </c>
      <c r="N394" s="21" t="s">
        <v>358</v>
      </c>
      <c r="O394" s="18">
        <v>190266</v>
      </c>
      <c r="P394" t="str">
        <f>VLOOKUP(VALUE(C394),Class20251!D:G,4,0)</f>
        <v>Hoàng Văn Hiệp</v>
      </c>
    </row>
    <row r="395" spans="1:16" ht="16.5">
      <c r="A395" s="126" t="s">
        <v>362</v>
      </c>
      <c r="B395" s="18">
        <v>190265</v>
      </c>
      <c r="C395" s="18">
        <v>161416</v>
      </c>
      <c r="D395" s="18" t="s">
        <v>501</v>
      </c>
      <c r="E395" s="19" t="s">
        <v>502</v>
      </c>
      <c r="F395" s="19" t="s">
        <v>503</v>
      </c>
      <c r="G395" s="21" t="s">
        <v>193</v>
      </c>
      <c r="H395" s="20" t="s">
        <v>163</v>
      </c>
      <c r="I395" s="21" t="s">
        <v>228</v>
      </c>
      <c r="J395" s="21" t="s">
        <v>215</v>
      </c>
      <c r="K395" s="22">
        <v>46043</v>
      </c>
      <c r="L395" s="21" t="s">
        <v>14</v>
      </c>
      <c r="M395" s="20">
        <v>37</v>
      </c>
      <c r="N395" s="21" t="s">
        <v>358</v>
      </c>
      <c r="O395" s="18">
        <v>190265</v>
      </c>
      <c r="P395" t="str">
        <f>VLOOKUP(VALUE(C395),Class20251!D:G,4,0)</f>
        <v>Hoàng Văn Hiệp</v>
      </c>
    </row>
    <row r="396" spans="1:16" ht="16.5">
      <c r="A396" s="126" t="s">
        <v>362</v>
      </c>
      <c r="B396" s="18">
        <v>190260</v>
      </c>
      <c r="C396" s="18">
        <v>161417</v>
      </c>
      <c r="D396" s="18" t="s">
        <v>505</v>
      </c>
      <c r="E396" s="19" t="s">
        <v>506</v>
      </c>
      <c r="F396" s="19" t="s">
        <v>496</v>
      </c>
      <c r="G396" s="21" t="s">
        <v>169</v>
      </c>
      <c r="H396" s="20" t="s">
        <v>163</v>
      </c>
      <c r="I396" s="21" t="s">
        <v>164</v>
      </c>
      <c r="J396" s="21" t="s">
        <v>238</v>
      </c>
      <c r="K396" s="22">
        <v>46052</v>
      </c>
      <c r="L396" s="21" t="s">
        <v>11</v>
      </c>
      <c r="M396" s="20">
        <v>40</v>
      </c>
      <c r="N396" s="21" t="s">
        <v>358</v>
      </c>
      <c r="O396" s="18">
        <v>190260</v>
      </c>
      <c r="P396" t="str">
        <f>VLOOKUP(VALUE(C396),Class20251!D:G,4,0)</f>
        <v>Lê Bá Vui (0.5) - Nguyễn Đình Thuận (0.5)</v>
      </c>
    </row>
    <row r="397" spans="1:16" ht="16.5">
      <c r="A397" s="126" t="s">
        <v>362</v>
      </c>
      <c r="B397" s="18">
        <v>190261</v>
      </c>
      <c r="C397" s="18">
        <v>161418</v>
      </c>
      <c r="D397" s="18" t="s">
        <v>505</v>
      </c>
      <c r="E397" s="19" t="s">
        <v>506</v>
      </c>
      <c r="F397" s="19" t="s">
        <v>508</v>
      </c>
      <c r="G397" s="21" t="s">
        <v>169</v>
      </c>
      <c r="H397" s="20" t="s">
        <v>163</v>
      </c>
      <c r="I397" s="21" t="s">
        <v>164</v>
      </c>
      <c r="J397" s="21" t="s">
        <v>238</v>
      </c>
      <c r="K397" s="22">
        <v>46052</v>
      </c>
      <c r="L397" s="21" t="s">
        <v>11</v>
      </c>
      <c r="M397" s="20">
        <v>40</v>
      </c>
      <c r="N397" s="21" t="s">
        <v>358</v>
      </c>
      <c r="O397" s="18">
        <v>190261</v>
      </c>
      <c r="P397" t="str">
        <f>VLOOKUP(VALUE(C397),Class20251!D:G,4,0)</f>
        <v>Nguyễn Đức Tiến</v>
      </c>
    </row>
    <row r="398" spans="1:16" ht="16.5">
      <c r="A398" s="126" t="s">
        <v>362</v>
      </c>
      <c r="B398" s="18">
        <v>190262</v>
      </c>
      <c r="C398" s="18">
        <v>161419</v>
      </c>
      <c r="D398" s="18" t="s">
        <v>505</v>
      </c>
      <c r="E398" s="19" t="s">
        <v>506</v>
      </c>
      <c r="F398" s="19" t="s">
        <v>510</v>
      </c>
      <c r="G398" s="21" t="s">
        <v>169</v>
      </c>
      <c r="H398" s="20" t="s">
        <v>163</v>
      </c>
      <c r="I398" s="21" t="s">
        <v>164</v>
      </c>
      <c r="J398" s="21" t="s">
        <v>238</v>
      </c>
      <c r="K398" s="22">
        <v>46052</v>
      </c>
      <c r="L398" s="21" t="s">
        <v>11</v>
      </c>
      <c r="M398" s="20">
        <v>40</v>
      </c>
      <c r="N398" s="21" t="s">
        <v>358</v>
      </c>
      <c r="O398" s="18">
        <v>190262</v>
      </c>
      <c r="P398" t="str">
        <f>VLOOKUP(VALUE(C398),Class20251!D:G,4,0)</f>
        <v>Lê Bá Vui</v>
      </c>
    </row>
    <row r="399" spans="1:16" ht="16.5">
      <c r="A399" s="126" t="s">
        <v>362</v>
      </c>
      <c r="B399" s="18">
        <v>190017</v>
      </c>
      <c r="C399" s="18">
        <v>161455</v>
      </c>
      <c r="D399" s="18" t="s">
        <v>212</v>
      </c>
      <c r="E399" s="19" t="s">
        <v>213</v>
      </c>
      <c r="F399" s="19" t="s">
        <v>511</v>
      </c>
      <c r="G399" s="21" t="s">
        <v>512</v>
      </c>
      <c r="H399" s="20" t="s">
        <v>163</v>
      </c>
      <c r="I399" s="21" t="s">
        <v>194</v>
      </c>
      <c r="J399" s="21" t="s">
        <v>215</v>
      </c>
      <c r="K399" s="22">
        <v>46057</v>
      </c>
      <c r="L399" s="21" t="s">
        <v>12</v>
      </c>
      <c r="M399" s="20">
        <v>64</v>
      </c>
      <c r="N399" s="21" t="s">
        <v>358</v>
      </c>
      <c r="O399" s="18">
        <v>190017</v>
      </c>
      <c r="P399" t="str">
        <f>VLOOKUP(VALUE(C399),Class20251!D:G,4,0)</f>
        <v>Nguyễn Đức Tiến</v>
      </c>
    </row>
    <row r="400" spans="1:16" ht="16.5">
      <c r="A400" s="126" t="s">
        <v>362</v>
      </c>
      <c r="B400" s="18">
        <v>190020</v>
      </c>
      <c r="C400" s="18">
        <v>161455</v>
      </c>
      <c r="D400" s="18" t="s">
        <v>212</v>
      </c>
      <c r="E400" s="19" t="s">
        <v>213</v>
      </c>
      <c r="F400" s="19" t="s">
        <v>511</v>
      </c>
      <c r="G400" s="21" t="s">
        <v>516</v>
      </c>
      <c r="H400" s="20" t="s">
        <v>163</v>
      </c>
      <c r="I400" s="21" t="s">
        <v>194</v>
      </c>
      <c r="J400" s="21" t="s">
        <v>215</v>
      </c>
      <c r="K400" s="22">
        <v>46057</v>
      </c>
      <c r="L400" s="21" t="s">
        <v>12</v>
      </c>
      <c r="M400" s="20">
        <v>67</v>
      </c>
      <c r="N400" s="21" t="s">
        <v>358</v>
      </c>
      <c r="O400" s="18">
        <v>190020</v>
      </c>
      <c r="P400" t="str">
        <f>VLOOKUP(VALUE(C400),Class20251!D:G,4,0)</f>
        <v>Nguyễn Đức Tiến</v>
      </c>
    </row>
    <row r="401" spans="1:16" ht="16.5">
      <c r="A401" s="126" t="s">
        <v>362</v>
      </c>
      <c r="B401" s="18">
        <v>190016</v>
      </c>
      <c r="C401" s="18">
        <v>161455</v>
      </c>
      <c r="D401" s="18" t="s">
        <v>212</v>
      </c>
      <c r="E401" s="19" t="s">
        <v>213</v>
      </c>
      <c r="F401" s="19" t="s">
        <v>511</v>
      </c>
      <c r="G401" s="21" t="s">
        <v>169</v>
      </c>
      <c r="H401" s="20" t="s">
        <v>163</v>
      </c>
      <c r="I401" s="21" t="s">
        <v>194</v>
      </c>
      <c r="J401" s="21" t="s">
        <v>215</v>
      </c>
      <c r="K401" s="22">
        <v>46057</v>
      </c>
      <c r="L401" s="21" t="s">
        <v>12</v>
      </c>
      <c r="M401" s="20">
        <v>1</v>
      </c>
      <c r="N401" s="21" t="s">
        <v>358</v>
      </c>
      <c r="O401" s="18">
        <v>190016</v>
      </c>
      <c r="P401" t="str">
        <f>VLOOKUP(VALUE(C401),Class20251!D:G,4,0)</f>
        <v>Nguyễn Đức Tiến</v>
      </c>
    </row>
    <row r="402" spans="1:16" ht="16.5">
      <c r="A402" s="126" t="s">
        <v>362</v>
      </c>
      <c r="B402" s="18">
        <v>190019</v>
      </c>
      <c r="C402" s="18">
        <v>161455</v>
      </c>
      <c r="D402" s="18" t="s">
        <v>212</v>
      </c>
      <c r="E402" s="19" t="s">
        <v>213</v>
      </c>
      <c r="F402" s="19" t="s">
        <v>511</v>
      </c>
      <c r="G402" s="21" t="s">
        <v>517</v>
      </c>
      <c r="H402" s="20" t="s">
        <v>163</v>
      </c>
      <c r="I402" s="21" t="s">
        <v>194</v>
      </c>
      <c r="J402" s="21" t="s">
        <v>215</v>
      </c>
      <c r="K402" s="22">
        <v>46057</v>
      </c>
      <c r="L402" s="21" t="s">
        <v>12</v>
      </c>
      <c r="M402" s="20">
        <v>65</v>
      </c>
      <c r="N402" s="21" t="s">
        <v>358</v>
      </c>
      <c r="O402" s="18">
        <v>190019</v>
      </c>
      <c r="P402" t="str">
        <f>VLOOKUP(VALUE(C402),Class20251!D:G,4,0)</f>
        <v>Nguyễn Đức Tiến</v>
      </c>
    </row>
    <row r="403" spans="1:16" ht="16.5">
      <c r="A403" s="126" t="s">
        <v>362</v>
      </c>
      <c r="B403" s="18">
        <v>190021</v>
      </c>
      <c r="C403" s="18">
        <v>161455</v>
      </c>
      <c r="D403" s="18" t="s">
        <v>212</v>
      </c>
      <c r="E403" s="19" t="s">
        <v>213</v>
      </c>
      <c r="F403" s="19" t="s">
        <v>511</v>
      </c>
      <c r="G403" s="21" t="s">
        <v>518</v>
      </c>
      <c r="H403" s="20" t="s">
        <v>163</v>
      </c>
      <c r="I403" s="21" t="s">
        <v>194</v>
      </c>
      <c r="J403" s="21" t="s">
        <v>215</v>
      </c>
      <c r="K403" s="22">
        <v>46057</v>
      </c>
      <c r="L403" s="21" t="s">
        <v>12</v>
      </c>
      <c r="M403" s="20">
        <v>43</v>
      </c>
      <c r="N403" s="21" t="s">
        <v>358</v>
      </c>
      <c r="O403" s="18">
        <v>190021</v>
      </c>
      <c r="P403" t="str">
        <f>VLOOKUP(VALUE(C403),Class20251!D:G,4,0)</f>
        <v>Nguyễn Đức Tiến</v>
      </c>
    </row>
    <row r="404" spans="1:16" ht="16.5">
      <c r="A404" s="126" t="s">
        <v>362</v>
      </c>
      <c r="B404" s="18">
        <v>190018</v>
      </c>
      <c r="C404" s="18">
        <v>161455</v>
      </c>
      <c r="D404" s="18" t="s">
        <v>212</v>
      </c>
      <c r="E404" s="19" t="s">
        <v>213</v>
      </c>
      <c r="F404" s="19" t="s">
        <v>511</v>
      </c>
      <c r="G404" s="21" t="s">
        <v>519</v>
      </c>
      <c r="H404" s="20" t="s">
        <v>163</v>
      </c>
      <c r="I404" s="21" t="s">
        <v>194</v>
      </c>
      <c r="J404" s="21" t="s">
        <v>215</v>
      </c>
      <c r="K404" s="22">
        <v>46057</v>
      </c>
      <c r="L404" s="21" t="s">
        <v>12</v>
      </c>
      <c r="M404" s="20">
        <v>65</v>
      </c>
      <c r="N404" s="21" t="s">
        <v>358</v>
      </c>
      <c r="O404" s="18">
        <v>190018</v>
      </c>
      <c r="P404" t="str">
        <f>VLOOKUP(VALUE(C404),Class20251!D:G,4,0)</f>
        <v>Nguyễn Đức Tiến</v>
      </c>
    </row>
    <row r="405" spans="1:16" ht="16.5">
      <c r="A405" s="126" t="s">
        <v>362</v>
      </c>
      <c r="B405" s="18">
        <v>190026</v>
      </c>
      <c r="C405" s="18">
        <v>161468</v>
      </c>
      <c r="D405" s="18" t="s">
        <v>212</v>
      </c>
      <c r="E405" s="19" t="s">
        <v>213</v>
      </c>
      <c r="F405" s="19" t="s">
        <v>520</v>
      </c>
      <c r="G405" s="21" t="s">
        <v>188</v>
      </c>
      <c r="H405" s="20" t="s">
        <v>163</v>
      </c>
      <c r="I405" s="21" t="s">
        <v>194</v>
      </c>
      <c r="J405" s="21" t="s">
        <v>215</v>
      </c>
      <c r="K405" s="22">
        <v>46057</v>
      </c>
      <c r="L405" s="21" t="s">
        <v>12</v>
      </c>
      <c r="M405" s="20">
        <v>45</v>
      </c>
      <c r="N405" s="21" t="s">
        <v>358</v>
      </c>
      <c r="O405" s="18">
        <v>190026</v>
      </c>
      <c r="P405" t="str">
        <f>VLOOKUP(VALUE(C405),Class20251!D:G,4,0)</f>
        <v>Lê Thanh Hương</v>
      </c>
    </row>
    <row r="406" spans="1:16" ht="16.5">
      <c r="A406" s="126" t="s">
        <v>362</v>
      </c>
      <c r="B406" s="18">
        <v>190023</v>
      </c>
      <c r="C406" s="18">
        <v>161468</v>
      </c>
      <c r="D406" s="18" t="s">
        <v>212</v>
      </c>
      <c r="E406" s="19" t="s">
        <v>213</v>
      </c>
      <c r="F406" s="19" t="s">
        <v>520</v>
      </c>
      <c r="G406" s="21" t="s">
        <v>169</v>
      </c>
      <c r="H406" s="20" t="s">
        <v>163</v>
      </c>
      <c r="I406" s="21" t="s">
        <v>194</v>
      </c>
      <c r="J406" s="21" t="s">
        <v>215</v>
      </c>
      <c r="K406" s="22">
        <v>46057</v>
      </c>
      <c r="L406" s="21" t="s">
        <v>12</v>
      </c>
      <c r="M406" s="20">
        <v>1</v>
      </c>
      <c r="N406" s="21" t="s">
        <v>358</v>
      </c>
      <c r="O406" s="18">
        <v>190023</v>
      </c>
      <c r="P406" t="str">
        <f>VLOOKUP(VALUE(C406),Class20251!D:G,4,0)</f>
        <v>Lê Thanh Hương</v>
      </c>
    </row>
    <row r="407" spans="1:16" ht="16.5">
      <c r="A407" s="126" t="s">
        <v>362</v>
      </c>
      <c r="B407" s="18">
        <v>190022</v>
      </c>
      <c r="C407" s="18">
        <v>161468</v>
      </c>
      <c r="D407" s="18" t="s">
        <v>212</v>
      </c>
      <c r="E407" s="19" t="s">
        <v>213</v>
      </c>
      <c r="F407" s="19" t="s">
        <v>520</v>
      </c>
      <c r="G407" s="21" t="s">
        <v>522</v>
      </c>
      <c r="H407" s="20" t="s">
        <v>163</v>
      </c>
      <c r="I407" s="21" t="s">
        <v>194</v>
      </c>
      <c r="J407" s="21" t="s">
        <v>215</v>
      </c>
      <c r="K407" s="22">
        <v>46057</v>
      </c>
      <c r="L407" s="21" t="s">
        <v>12</v>
      </c>
      <c r="M407" s="20">
        <v>65</v>
      </c>
      <c r="N407" s="21" t="s">
        <v>358</v>
      </c>
      <c r="O407" s="18">
        <v>190022</v>
      </c>
      <c r="P407" t="str">
        <f>VLOOKUP(VALUE(C407),Class20251!D:G,4,0)</f>
        <v>Lê Thanh Hương</v>
      </c>
    </row>
    <row r="408" spans="1:16" ht="16.5">
      <c r="A408" s="126" t="s">
        <v>362</v>
      </c>
      <c r="B408" s="18">
        <v>190025</v>
      </c>
      <c r="C408" s="18">
        <v>161468</v>
      </c>
      <c r="D408" s="18" t="s">
        <v>212</v>
      </c>
      <c r="E408" s="19" t="s">
        <v>213</v>
      </c>
      <c r="F408" s="19" t="s">
        <v>520</v>
      </c>
      <c r="G408" s="21" t="s">
        <v>523</v>
      </c>
      <c r="H408" s="20" t="s">
        <v>163</v>
      </c>
      <c r="I408" s="21" t="s">
        <v>194</v>
      </c>
      <c r="J408" s="21" t="s">
        <v>215</v>
      </c>
      <c r="K408" s="22">
        <v>46057</v>
      </c>
      <c r="L408" s="21" t="s">
        <v>12</v>
      </c>
      <c r="M408" s="20">
        <v>65</v>
      </c>
      <c r="N408" s="21" t="s">
        <v>358</v>
      </c>
      <c r="O408" s="18">
        <v>190025</v>
      </c>
      <c r="P408" t="str">
        <f>VLOOKUP(VALUE(C408),Class20251!D:G,4,0)</f>
        <v>Lê Thanh Hương</v>
      </c>
    </row>
    <row r="409" spans="1:16" ht="16.5">
      <c r="A409" s="126" t="s">
        <v>362</v>
      </c>
      <c r="B409" s="18">
        <v>190027</v>
      </c>
      <c r="C409" s="18">
        <v>161468</v>
      </c>
      <c r="D409" s="18" t="s">
        <v>212</v>
      </c>
      <c r="E409" s="19" t="s">
        <v>213</v>
      </c>
      <c r="F409" s="19" t="s">
        <v>520</v>
      </c>
      <c r="G409" s="21" t="s">
        <v>185</v>
      </c>
      <c r="H409" s="20" t="s">
        <v>163</v>
      </c>
      <c r="I409" s="21" t="s">
        <v>194</v>
      </c>
      <c r="J409" s="21" t="s">
        <v>215</v>
      </c>
      <c r="K409" s="22">
        <v>46057</v>
      </c>
      <c r="L409" s="21" t="s">
        <v>12</v>
      </c>
      <c r="M409" s="20">
        <v>40</v>
      </c>
      <c r="N409" s="21" t="s">
        <v>358</v>
      </c>
      <c r="O409" s="18">
        <v>190027</v>
      </c>
      <c r="P409" t="str">
        <f>VLOOKUP(VALUE(C409),Class20251!D:G,4,0)</f>
        <v>Lê Thanh Hương</v>
      </c>
    </row>
    <row r="410" spans="1:16" ht="16.5">
      <c r="A410" s="126" t="s">
        <v>362</v>
      </c>
      <c r="B410" s="18">
        <v>190028</v>
      </c>
      <c r="C410" s="18">
        <v>161468</v>
      </c>
      <c r="D410" s="18" t="s">
        <v>212</v>
      </c>
      <c r="E410" s="19" t="s">
        <v>213</v>
      </c>
      <c r="F410" s="19" t="s">
        <v>520</v>
      </c>
      <c r="G410" s="21" t="s">
        <v>186</v>
      </c>
      <c r="H410" s="20" t="s">
        <v>163</v>
      </c>
      <c r="I410" s="21" t="s">
        <v>194</v>
      </c>
      <c r="J410" s="21" t="s">
        <v>215</v>
      </c>
      <c r="K410" s="22">
        <v>46057</v>
      </c>
      <c r="L410" s="21" t="s">
        <v>12</v>
      </c>
      <c r="M410" s="20">
        <v>38</v>
      </c>
      <c r="N410" s="21" t="s">
        <v>358</v>
      </c>
      <c r="O410" s="18">
        <v>190028</v>
      </c>
      <c r="P410" t="str">
        <f>VLOOKUP(VALUE(C410),Class20251!D:G,4,0)</f>
        <v>Lê Thanh Hương</v>
      </c>
    </row>
    <row r="411" spans="1:16" ht="16.5">
      <c r="A411" s="126" t="s">
        <v>362</v>
      </c>
      <c r="B411" s="18">
        <v>190024</v>
      </c>
      <c r="C411" s="18">
        <v>161468</v>
      </c>
      <c r="D411" s="18" t="s">
        <v>212</v>
      </c>
      <c r="E411" s="19" t="s">
        <v>213</v>
      </c>
      <c r="F411" s="19" t="s">
        <v>520</v>
      </c>
      <c r="G411" s="21" t="s">
        <v>189</v>
      </c>
      <c r="H411" s="20" t="s">
        <v>163</v>
      </c>
      <c r="I411" s="21" t="s">
        <v>194</v>
      </c>
      <c r="J411" s="21" t="s">
        <v>215</v>
      </c>
      <c r="K411" s="22">
        <v>46057</v>
      </c>
      <c r="L411" s="21" t="s">
        <v>12</v>
      </c>
      <c r="M411" s="20">
        <v>40</v>
      </c>
      <c r="N411" s="21" t="s">
        <v>358</v>
      </c>
      <c r="O411" s="18">
        <v>190024</v>
      </c>
      <c r="P411" t="str">
        <f>VLOOKUP(VALUE(C411),Class20251!D:G,4,0)</f>
        <v>Lê Thanh Hương</v>
      </c>
    </row>
    <row r="412" spans="1:16" ht="16.5">
      <c r="A412" s="126" t="s">
        <v>362</v>
      </c>
      <c r="B412" s="18">
        <v>190243</v>
      </c>
      <c r="C412" s="18">
        <v>161469</v>
      </c>
      <c r="D412" s="18" t="s">
        <v>524</v>
      </c>
      <c r="E412" s="19" t="s">
        <v>525</v>
      </c>
      <c r="F412" s="19" t="s">
        <v>526</v>
      </c>
      <c r="G412" s="21" t="s">
        <v>523</v>
      </c>
      <c r="H412" s="20" t="s">
        <v>163</v>
      </c>
      <c r="I412" s="21" t="s">
        <v>164</v>
      </c>
      <c r="J412" s="21" t="s">
        <v>238</v>
      </c>
      <c r="K412" s="22">
        <v>46052</v>
      </c>
      <c r="L412" s="21" t="s">
        <v>12</v>
      </c>
      <c r="M412" s="20">
        <v>65</v>
      </c>
      <c r="N412" s="21" t="s">
        <v>358</v>
      </c>
      <c r="O412" s="18">
        <v>190243</v>
      </c>
      <c r="P412" t="str">
        <f>VLOOKUP(VALUE(C412),Class20251!D:G,4,0)</f>
        <v>Dương Quang Huy</v>
      </c>
    </row>
    <row r="413" spans="1:16" ht="16.5">
      <c r="A413" s="126" t="s">
        <v>362</v>
      </c>
      <c r="B413" s="18">
        <v>190245</v>
      </c>
      <c r="C413" s="18">
        <v>161469</v>
      </c>
      <c r="D413" s="18" t="s">
        <v>524</v>
      </c>
      <c r="E413" s="19" t="s">
        <v>525</v>
      </c>
      <c r="F413" s="19" t="s">
        <v>526</v>
      </c>
      <c r="G413" s="21" t="s">
        <v>169</v>
      </c>
      <c r="H413" s="20" t="s">
        <v>163</v>
      </c>
      <c r="I413" s="21" t="s">
        <v>164</v>
      </c>
      <c r="J413" s="21" t="s">
        <v>238</v>
      </c>
      <c r="K413" s="22">
        <v>46052</v>
      </c>
      <c r="L413" s="21" t="s">
        <v>12</v>
      </c>
      <c r="M413" s="20">
        <v>5</v>
      </c>
      <c r="N413" s="21" t="s">
        <v>358</v>
      </c>
      <c r="O413" s="18">
        <v>190245</v>
      </c>
      <c r="P413" t="str">
        <f>VLOOKUP(VALUE(C413),Class20251!D:G,4,0)</f>
        <v>Dương Quang Huy</v>
      </c>
    </row>
    <row r="414" spans="1:16" ht="16.5">
      <c r="A414" s="126" t="s">
        <v>362</v>
      </c>
      <c r="B414" s="18">
        <v>190244</v>
      </c>
      <c r="C414" s="18">
        <v>161469</v>
      </c>
      <c r="D414" s="18" t="s">
        <v>524</v>
      </c>
      <c r="E414" s="19" t="s">
        <v>525</v>
      </c>
      <c r="F414" s="19" t="s">
        <v>526</v>
      </c>
      <c r="G414" s="21" t="s">
        <v>522</v>
      </c>
      <c r="H414" s="20" t="s">
        <v>163</v>
      </c>
      <c r="I414" s="21" t="s">
        <v>164</v>
      </c>
      <c r="J414" s="21" t="s">
        <v>238</v>
      </c>
      <c r="K414" s="22">
        <v>46052</v>
      </c>
      <c r="L414" s="21" t="s">
        <v>12</v>
      </c>
      <c r="M414" s="20">
        <v>65</v>
      </c>
      <c r="N414" s="21" t="s">
        <v>358</v>
      </c>
      <c r="O414" s="18">
        <v>190244</v>
      </c>
      <c r="P414" t="str">
        <f>VLOOKUP(VALUE(C414),Class20251!D:G,4,0)</f>
        <v>Dương Quang Huy</v>
      </c>
    </row>
    <row r="415" spans="1:16" ht="16.5">
      <c r="A415" s="126" t="s">
        <v>362</v>
      </c>
      <c r="B415" s="18">
        <v>190246</v>
      </c>
      <c r="C415" s="18">
        <v>161470</v>
      </c>
      <c r="D415" s="18" t="s">
        <v>527</v>
      </c>
      <c r="E415" s="19" t="s">
        <v>528</v>
      </c>
      <c r="F415" s="19" t="s">
        <v>529</v>
      </c>
      <c r="G415" s="21" t="s">
        <v>169</v>
      </c>
      <c r="H415" s="20" t="s">
        <v>163</v>
      </c>
      <c r="I415" s="21" t="s">
        <v>228</v>
      </c>
      <c r="J415" s="21" t="s">
        <v>530</v>
      </c>
      <c r="K415" s="22">
        <v>46045</v>
      </c>
      <c r="L415" s="21" t="s">
        <v>371</v>
      </c>
      <c r="M415" s="20">
        <v>35</v>
      </c>
      <c r="N415" s="20" t="s">
        <v>24</v>
      </c>
      <c r="O415" s="18">
        <v>190246</v>
      </c>
      <c r="P415" t="str">
        <f>VLOOKUP(VALUE(C415),Class20251!D:G,4,0)</f>
        <v>Đỗ Quốc Huy</v>
      </c>
    </row>
    <row r="416" spans="1:16" ht="16.5">
      <c r="A416" s="126" t="s">
        <v>362</v>
      </c>
      <c r="B416" s="18">
        <v>190247</v>
      </c>
      <c r="C416" s="18">
        <v>161471</v>
      </c>
      <c r="D416" s="18" t="s">
        <v>527</v>
      </c>
      <c r="E416" s="19" t="s">
        <v>528</v>
      </c>
      <c r="F416" s="19" t="s">
        <v>532</v>
      </c>
      <c r="G416" s="21" t="s">
        <v>169</v>
      </c>
      <c r="H416" s="20" t="s">
        <v>163</v>
      </c>
      <c r="I416" s="21" t="s">
        <v>228</v>
      </c>
      <c r="J416" s="21" t="s">
        <v>530</v>
      </c>
      <c r="K416" s="22">
        <v>46045</v>
      </c>
      <c r="L416" s="21" t="s">
        <v>371</v>
      </c>
      <c r="M416" s="20">
        <v>34</v>
      </c>
      <c r="N416" s="20" t="s">
        <v>25</v>
      </c>
      <c r="O416" s="18">
        <v>190247</v>
      </c>
      <c r="P416" t="str">
        <f>VLOOKUP(VALUE(C416),Class20251!D:G,4,0)</f>
        <v>Đoàn Phong Tùng</v>
      </c>
    </row>
    <row r="417" spans="1:16" ht="16.5">
      <c r="A417" s="126" t="s">
        <v>362</v>
      </c>
      <c r="B417" s="18">
        <v>190248</v>
      </c>
      <c r="C417" s="18">
        <v>161472</v>
      </c>
      <c r="D417" s="18" t="s">
        <v>527</v>
      </c>
      <c r="E417" s="19" t="s">
        <v>528</v>
      </c>
      <c r="F417" s="19" t="s">
        <v>533</v>
      </c>
      <c r="G417" s="21" t="s">
        <v>169</v>
      </c>
      <c r="H417" s="20" t="s">
        <v>163</v>
      </c>
      <c r="I417" s="21" t="s">
        <v>228</v>
      </c>
      <c r="J417" s="21" t="s">
        <v>530</v>
      </c>
      <c r="K417" s="22">
        <v>46045</v>
      </c>
      <c r="L417" s="21" t="s">
        <v>371</v>
      </c>
      <c r="M417" s="20">
        <v>35</v>
      </c>
      <c r="N417" s="20" t="s">
        <v>23</v>
      </c>
      <c r="O417" s="18">
        <v>190248</v>
      </c>
      <c r="P417" t="str">
        <f>VLOOKUP(VALUE(C417),Class20251!D:G,4,0)</f>
        <v>Cao Tuấn Dũng (0.8) - Nguyễn Tiến Thành (0.2)</v>
      </c>
    </row>
    <row r="418" spans="1:16" ht="16.5">
      <c r="A418" s="126" t="s">
        <v>362</v>
      </c>
      <c r="B418" s="18">
        <v>190249</v>
      </c>
      <c r="C418" s="18">
        <v>161473</v>
      </c>
      <c r="D418" s="18" t="s">
        <v>527</v>
      </c>
      <c r="E418" s="19" t="s">
        <v>528</v>
      </c>
      <c r="F418" s="19" t="s">
        <v>535</v>
      </c>
      <c r="G418" s="21" t="s">
        <v>169</v>
      </c>
      <c r="H418" s="20" t="s">
        <v>163</v>
      </c>
      <c r="I418" s="21" t="s">
        <v>228</v>
      </c>
      <c r="J418" s="21" t="s">
        <v>530</v>
      </c>
      <c r="K418" s="22">
        <v>46045</v>
      </c>
      <c r="L418" s="21" t="s">
        <v>371</v>
      </c>
      <c r="M418" s="20">
        <v>38</v>
      </c>
      <c r="N418" s="20" t="s">
        <v>26</v>
      </c>
      <c r="O418" s="18">
        <v>190249</v>
      </c>
      <c r="P418" t="str">
        <f>VLOOKUP(VALUE(C418),Class20251!D:G,4,0)</f>
        <v>Nguyễn Duy Hiệp</v>
      </c>
    </row>
    <row r="419" spans="1:16" ht="16.5">
      <c r="A419" s="126" t="s">
        <v>362</v>
      </c>
      <c r="B419" s="18">
        <v>190449</v>
      </c>
      <c r="C419" s="18">
        <v>161474</v>
      </c>
      <c r="D419" s="18" t="s">
        <v>309</v>
      </c>
      <c r="E419" s="19" t="s">
        <v>310</v>
      </c>
      <c r="F419" s="19" t="s">
        <v>537</v>
      </c>
      <c r="G419" s="21" t="s">
        <v>193</v>
      </c>
      <c r="H419" s="20" t="s">
        <v>163</v>
      </c>
      <c r="I419" s="21" t="s">
        <v>194</v>
      </c>
      <c r="J419" s="21" t="s">
        <v>283</v>
      </c>
      <c r="K419" s="22">
        <v>46058</v>
      </c>
      <c r="L419" s="21" t="s">
        <v>440</v>
      </c>
      <c r="M419" s="20">
        <v>60</v>
      </c>
      <c r="N419" s="21" t="s">
        <v>358</v>
      </c>
      <c r="O419" s="18">
        <v>190449</v>
      </c>
      <c r="P419" t="str">
        <f>VLOOKUP(VALUE(C419),Class20251!D:G,4,0)</f>
        <v>Trịnh Văn Chiến</v>
      </c>
    </row>
    <row r="420" spans="1:16" ht="16.5">
      <c r="A420" s="126" t="s">
        <v>362</v>
      </c>
      <c r="B420" s="18">
        <v>190450</v>
      </c>
      <c r="C420" s="18">
        <v>161474</v>
      </c>
      <c r="D420" s="18" t="s">
        <v>309</v>
      </c>
      <c r="E420" s="19" t="s">
        <v>310</v>
      </c>
      <c r="F420" s="19" t="s">
        <v>537</v>
      </c>
      <c r="G420" s="21" t="s">
        <v>196</v>
      </c>
      <c r="H420" s="20" t="s">
        <v>163</v>
      </c>
      <c r="I420" s="21" t="s">
        <v>194</v>
      </c>
      <c r="J420" s="21" t="s">
        <v>283</v>
      </c>
      <c r="K420" s="22">
        <v>46058</v>
      </c>
      <c r="L420" s="21" t="s">
        <v>440</v>
      </c>
      <c r="M420" s="20">
        <v>60</v>
      </c>
      <c r="N420" s="21" t="s">
        <v>358</v>
      </c>
      <c r="O420" s="18">
        <v>190450</v>
      </c>
      <c r="P420" t="str">
        <f>VLOOKUP(VALUE(C420),Class20251!D:G,4,0)</f>
        <v>Trịnh Văn Chiến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9E8C-73A2-8A40-A39D-F1FD39C1F2E3}">
  <dimension ref="A1:I26"/>
  <sheetViews>
    <sheetView topLeftCell="A2" zoomScale="186" workbookViewId="0">
      <selection activeCell="A5" sqref="A5"/>
    </sheetView>
  </sheetViews>
  <sheetFormatPr defaultColWidth="11.42578125" defaultRowHeight="12.75"/>
  <cols>
    <col min="1" max="1" width="16.7109375" bestFit="1" customWidth="1"/>
    <col min="2" max="2" width="15.85546875" bestFit="1" customWidth="1"/>
    <col min="3" max="3" width="6.7109375" bestFit="1" customWidth="1"/>
    <col min="4" max="5" width="5.140625" bestFit="1" customWidth="1"/>
    <col min="6" max="6" width="6.7109375" bestFit="1" customWidth="1"/>
    <col min="7" max="8" width="5.140625" bestFit="1" customWidth="1"/>
    <col min="9" max="9" width="10.7109375" bestFit="1" customWidth="1"/>
    <col min="10" max="10" width="6" bestFit="1" customWidth="1"/>
    <col min="11" max="12" width="5.140625" bestFit="1" customWidth="1"/>
    <col min="13" max="13" width="6.7109375" bestFit="1" customWidth="1"/>
    <col min="14" max="15" width="5.140625" bestFit="1" customWidth="1"/>
    <col min="16" max="16" width="8.7109375" bestFit="1" customWidth="1"/>
    <col min="17" max="17" width="6" bestFit="1" customWidth="1"/>
    <col min="18" max="18" width="6.7109375" bestFit="1" customWidth="1"/>
    <col min="19" max="20" width="5.140625" bestFit="1" customWidth="1"/>
    <col min="21" max="22" width="6.7109375" bestFit="1" customWidth="1"/>
    <col min="23" max="23" width="5.140625" bestFit="1" customWidth="1"/>
    <col min="24" max="24" width="6.7109375" bestFit="1" customWidth="1"/>
    <col min="25" max="25" width="5.140625" bestFit="1" customWidth="1"/>
    <col min="26" max="26" width="8.7109375" bestFit="1" customWidth="1"/>
    <col min="27" max="27" width="10.7109375" bestFit="1" customWidth="1"/>
  </cols>
  <sheetData>
    <row r="1" spans="1:9">
      <c r="A1" s="127" t="s">
        <v>151</v>
      </c>
      <c r="B1" t="s">
        <v>228</v>
      </c>
    </row>
    <row r="3" spans="1:9">
      <c r="A3" s="127" t="s">
        <v>883</v>
      </c>
      <c r="B3" s="127" t="s">
        <v>884</v>
      </c>
    </row>
    <row r="4" spans="1:9">
      <c r="A4" s="127" t="s">
        <v>885</v>
      </c>
      <c r="B4" t="s">
        <v>11</v>
      </c>
      <c r="C4" t="s">
        <v>475</v>
      </c>
      <c r="D4" t="s">
        <v>12</v>
      </c>
      <c r="E4" t="s">
        <v>13</v>
      </c>
      <c r="F4" t="s">
        <v>371</v>
      </c>
      <c r="G4" t="s">
        <v>14</v>
      </c>
      <c r="H4" t="s">
        <v>15</v>
      </c>
      <c r="I4" t="s">
        <v>886</v>
      </c>
    </row>
    <row r="5" spans="1:9">
      <c r="A5" s="128" t="s">
        <v>225</v>
      </c>
      <c r="B5">
        <v>1</v>
      </c>
      <c r="E5">
        <v>2</v>
      </c>
      <c r="G5">
        <v>2</v>
      </c>
      <c r="H5">
        <v>8</v>
      </c>
      <c r="I5">
        <v>13</v>
      </c>
    </row>
    <row r="6" spans="1:9">
      <c r="A6" s="128" t="s">
        <v>230</v>
      </c>
      <c r="B6">
        <v>2</v>
      </c>
      <c r="D6">
        <v>2</v>
      </c>
      <c r="I6">
        <v>4</v>
      </c>
    </row>
    <row r="7" spans="1:9">
      <c r="A7" s="128" t="s">
        <v>233</v>
      </c>
      <c r="D7">
        <v>1</v>
      </c>
      <c r="I7">
        <v>1</v>
      </c>
    </row>
    <row r="8" spans="1:9">
      <c r="A8" s="128" t="s">
        <v>70</v>
      </c>
      <c r="B8">
        <v>2</v>
      </c>
      <c r="D8">
        <v>2</v>
      </c>
      <c r="I8">
        <v>4</v>
      </c>
    </row>
    <row r="9" spans="1:9">
      <c r="A9" s="128" t="s">
        <v>266</v>
      </c>
      <c r="G9">
        <v>3</v>
      </c>
      <c r="H9">
        <v>7</v>
      </c>
      <c r="I9">
        <v>10</v>
      </c>
    </row>
    <row r="10" spans="1:9">
      <c r="A10" s="128" t="s">
        <v>527</v>
      </c>
      <c r="F10">
        <v>4</v>
      </c>
      <c r="I10">
        <v>4</v>
      </c>
    </row>
    <row r="11" spans="1:9">
      <c r="A11" s="128" t="s">
        <v>63</v>
      </c>
      <c r="C11">
        <v>10</v>
      </c>
      <c r="I11">
        <v>10</v>
      </c>
    </row>
    <row r="12" spans="1:9">
      <c r="A12" s="128" t="s">
        <v>501</v>
      </c>
      <c r="G12">
        <v>4</v>
      </c>
      <c r="I12">
        <v>4</v>
      </c>
    </row>
    <row r="13" spans="1:9">
      <c r="A13" s="128" t="s">
        <v>69</v>
      </c>
      <c r="G13">
        <v>2</v>
      </c>
      <c r="I13">
        <v>2</v>
      </c>
    </row>
    <row r="14" spans="1:9">
      <c r="A14" s="128" t="s">
        <v>88</v>
      </c>
      <c r="G14">
        <v>4</v>
      </c>
      <c r="I14">
        <v>4</v>
      </c>
    </row>
    <row r="15" spans="1:9">
      <c r="A15" s="128" t="s">
        <v>114</v>
      </c>
      <c r="G15">
        <v>2</v>
      </c>
      <c r="I15">
        <v>2</v>
      </c>
    </row>
    <row r="16" spans="1:9">
      <c r="A16" s="128" t="s">
        <v>68</v>
      </c>
      <c r="E16">
        <v>6</v>
      </c>
      <c r="H16">
        <v>5</v>
      </c>
      <c r="I16">
        <v>11</v>
      </c>
    </row>
    <row r="17" spans="1:9">
      <c r="A17" s="128" t="s">
        <v>92</v>
      </c>
      <c r="B17">
        <v>3</v>
      </c>
      <c r="C17">
        <v>6</v>
      </c>
      <c r="D17">
        <v>3</v>
      </c>
      <c r="I17">
        <v>12</v>
      </c>
    </row>
    <row r="18" spans="1:9">
      <c r="A18" s="128" t="s">
        <v>94</v>
      </c>
      <c r="H18">
        <v>1</v>
      </c>
      <c r="I18">
        <v>1</v>
      </c>
    </row>
    <row r="19" spans="1:9">
      <c r="A19" s="128" t="s">
        <v>118</v>
      </c>
      <c r="H19">
        <v>2</v>
      </c>
      <c r="I19">
        <v>2</v>
      </c>
    </row>
    <row r="20" spans="1:9">
      <c r="A20" s="128" t="s">
        <v>136</v>
      </c>
      <c r="G20">
        <v>1</v>
      </c>
      <c r="I20">
        <v>1</v>
      </c>
    </row>
    <row r="21" spans="1:9">
      <c r="A21" s="128" t="s">
        <v>71</v>
      </c>
      <c r="H21">
        <v>7</v>
      </c>
      <c r="I21">
        <v>7</v>
      </c>
    </row>
    <row r="22" spans="1:9">
      <c r="A22" s="128" t="s">
        <v>137</v>
      </c>
      <c r="H22">
        <v>1</v>
      </c>
      <c r="I22">
        <v>1</v>
      </c>
    </row>
    <row r="23" spans="1:9">
      <c r="A23" s="128" t="s">
        <v>328</v>
      </c>
      <c r="B23">
        <v>1</v>
      </c>
      <c r="I23">
        <v>1</v>
      </c>
    </row>
    <row r="24" spans="1:9">
      <c r="A24" s="128" t="s">
        <v>103</v>
      </c>
      <c r="D24">
        <v>3</v>
      </c>
      <c r="I24">
        <v>3</v>
      </c>
    </row>
    <row r="25" spans="1:9">
      <c r="A25" s="128" t="s">
        <v>135</v>
      </c>
      <c r="E25">
        <v>1</v>
      </c>
      <c r="I25">
        <v>1</v>
      </c>
    </row>
    <row r="26" spans="1:9">
      <c r="A26" s="128" t="s">
        <v>886</v>
      </c>
      <c r="B26">
        <v>9</v>
      </c>
      <c r="C26">
        <v>16</v>
      </c>
      <c r="D26">
        <v>11</v>
      </c>
      <c r="E26">
        <v>9</v>
      </c>
      <c r="F26">
        <v>4</v>
      </c>
      <c r="G26">
        <v>18</v>
      </c>
      <c r="H26">
        <v>31</v>
      </c>
      <c r="I26">
        <v>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AF3A-CAE8-4AAB-B55D-35F4780B0F7B}">
  <sheetPr filterMode="1"/>
  <dimension ref="A1:AN742"/>
  <sheetViews>
    <sheetView topLeftCell="I1" workbookViewId="0">
      <selection activeCell="C232" sqref="C232"/>
    </sheetView>
  </sheetViews>
  <sheetFormatPr defaultColWidth="8.85546875" defaultRowHeight="12.75"/>
  <cols>
    <col min="3" max="4" width="13.42578125" customWidth="1"/>
    <col min="6" max="6" width="26.140625" customWidth="1"/>
    <col min="7" max="7" width="33.85546875" customWidth="1"/>
    <col min="11" max="16" width="11.28515625" customWidth="1"/>
    <col min="18" max="18" width="5" customWidth="1"/>
    <col min="19" max="19" width="52" customWidth="1"/>
    <col min="24" max="24" width="29.140625" customWidth="1"/>
    <col min="28" max="28" width="33.28515625" customWidth="1"/>
  </cols>
  <sheetData>
    <row r="1" spans="1:40" ht="94.5">
      <c r="A1" s="107" t="s">
        <v>887</v>
      </c>
      <c r="B1" s="107" t="s">
        <v>888</v>
      </c>
      <c r="C1" s="107" t="s">
        <v>825</v>
      </c>
      <c r="D1" s="107"/>
      <c r="E1" s="107" t="s">
        <v>146</v>
      </c>
      <c r="F1" s="107" t="s">
        <v>889</v>
      </c>
      <c r="G1" s="107" t="s">
        <v>890</v>
      </c>
      <c r="H1" s="107" t="s">
        <v>891</v>
      </c>
      <c r="I1" s="107" t="s">
        <v>148</v>
      </c>
      <c r="J1" s="107" t="s">
        <v>892</v>
      </c>
      <c r="K1" s="107" t="s">
        <v>893</v>
      </c>
      <c r="L1" s="107" t="s">
        <v>894</v>
      </c>
      <c r="M1" s="107" t="s">
        <v>895</v>
      </c>
      <c r="N1" s="107" t="s">
        <v>896</v>
      </c>
      <c r="O1" s="107" t="s">
        <v>897</v>
      </c>
      <c r="P1" s="107" t="s">
        <v>898</v>
      </c>
      <c r="Q1" s="107" t="s">
        <v>544</v>
      </c>
      <c r="R1" s="107" t="s">
        <v>899</v>
      </c>
      <c r="S1" s="107" t="s">
        <v>544</v>
      </c>
      <c r="T1" s="107" t="s">
        <v>900</v>
      </c>
      <c r="U1" s="107" t="s">
        <v>901</v>
      </c>
      <c r="V1" s="107" t="s">
        <v>902</v>
      </c>
      <c r="W1" s="107" t="s">
        <v>903</v>
      </c>
      <c r="X1" s="107" t="s">
        <v>904</v>
      </c>
      <c r="Y1" s="107" t="s">
        <v>890</v>
      </c>
      <c r="Z1" s="107" t="s">
        <v>905</v>
      </c>
      <c r="AA1" s="107" t="s">
        <v>906</v>
      </c>
      <c r="AB1" s="107" t="s">
        <v>907</v>
      </c>
      <c r="AC1" s="107" t="s">
        <v>908</v>
      </c>
      <c r="AD1" s="107" t="s">
        <v>909</v>
      </c>
      <c r="AE1" s="107" t="s">
        <v>910</v>
      </c>
      <c r="AF1" s="107" t="s">
        <v>911</v>
      </c>
      <c r="AG1" s="107" t="s">
        <v>912</v>
      </c>
      <c r="AH1" s="107" t="s">
        <v>913</v>
      </c>
      <c r="AI1" s="107" t="s">
        <v>148</v>
      </c>
      <c r="AJ1" s="107" t="s">
        <v>914</v>
      </c>
      <c r="AK1" s="107" t="s">
        <v>915</v>
      </c>
      <c r="AL1" s="107" t="s">
        <v>916</v>
      </c>
      <c r="AM1" s="107" t="s">
        <v>917</v>
      </c>
      <c r="AN1" s="37"/>
    </row>
    <row r="2" spans="1:40" hidden="1">
      <c r="A2" s="47" t="s">
        <v>918</v>
      </c>
      <c r="B2" s="47" t="s">
        <v>919</v>
      </c>
      <c r="C2" s="47" t="s">
        <v>920</v>
      </c>
      <c r="D2" s="47" t="e">
        <f>VALUE(C2)</f>
        <v>#VALUE!</v>
      </c>
      <c r="E2" s="47" t="s">
        <v>921</v>
      </c>
      <c r="F2" s="47" t="s">
        <v>922</v>
      </c>
      <c r="G2" s="47" t="s">
        <v>923</v>
      </c>
      <c r="H2" s="47" t="s">
        <v>924</v>
      </c>
      <c r="I2" s="47" t="s">
        <v>925</v>
      </c>
      <c r="J2" s="47" t="s">
        <v>926</v>
      </c>
      <c r="K2" s="47" t="s">
        <v>163</v>
      </c>
      <c r="L2" s="47" t="s">
        <v>927</v>
      </c>
      <c r="M2" s="47" t="s">
        <v>928</v>
      </c>
      <c r="N2" s="47" t="s">
        <v>929</v>
      </c>
      <c r="O2" s="47" t="s">
        <v>930</v>
      </c>
      <c r="P2" s="47" t="s">
        <v>930</v>
      </c>
      <c r="Q2" s="47"/>
      <c r="R2" s="47"/>
      <c r="S2" s="47"/>
      <c r="T2" s="47" t="s">
        <v>931</v>
      </c>
      <c r="U2" s="47" t="s">
        <v>931</v>
      </c>
      <c r="V2" s="47" t="s">
        <v>931</v>
      </c>
      <c r="W2" s="47" t="s">
        <v>931</v>
      </c>
      <c r="X2" s="47" t="s">
        <v>932</v>
      </c>
      <c r="Y2" s="47" t="s">
        <v>923</v>
      </c>
      <c r="Z2" s="47" t="s">
        <v>933</v>
      </c>
      <c r="AA2" s="47" t="s">
        <v>934</v>
      </c>
      <c r="AB2" s="47" t="s">
        <v>931</v>
      </c>
      <c r="AC2" s="47" t="s">
        <v>935</v>
      </c>
      <c r="AD2" s="47" t="s">
        <v>936</v>
      </c>
      <c r="AE2" s="47" t="s">
        <v>937</v>
      </c>
      <c r="AF2" s="47" t="s">
        <v>931</v>
      </c>
      <c r="AG2" s="47" t="s">
        <v>931</v>
      </c>
      <c r="AH2" s="47" t="s">
        <v>931</v>
      </c>
      <c r="AI2" s="47" t="s">
        <v>931</v>
      </c>
      <c r="AJ2" s="47" t="s">
        <v>931</v>
      </c>
      <c r="AK2" s="47" t="s">
        <v>930</v>
      </c>
      <c r="AL2" s="47" t="s">
        <v>931</v>
      </c>
      <c r="AM2" s="47" t="s">
        <v>931</v>
      </c>
      <c r="AN2" s="37"/>
    </row>
    <row r="3" spans="1:40" ht="15" hidden="1" customHeight="1">
      <c r="A3" s="47" t="s">
        <v>938</v>
      </c>
      <c r="B3" s="47" t="s">
        <v>919</v>
      </c>
      <c r="C3" s="47" t="s">
        <v>939</v>
      </c>
      <c r="D3" s="47">
        <f t="shared" ref="D3:D66" si="0">VALUE(C3)</f>
        <v>161853</v>
      </c>
      <c r="E3" s="47" t="s">
        <v>940</v>
      </c>
      <c r="F3" s="47" t="s">
        <v>611</v>
      </c>
      <c r="G3" s="47" t="s">
        <v>941</v>
      </c>
      <c r="H3" s="47" t="s">
        <v>942</v>
      </c>
      <c r="I3" s="47" t="s">
        <v>943</v>
      </c>
      <c r="J3" s="47" t="s">
        <v>944</v>
      </c>
      <c r="K3" s="47" t="s">
        <v>163</v>
      </c>
      <c r="L3" s="47" t="s">
        <v>945</v>
      </c>
      <c r="M3" s="47" t="s">
        <v>945</v>
      </c>
      <c r="N3" s="47" t="s">
        <v>946</v>
      </c>
      <c r="O3" s="47" t="s">
        <v>930</v>
      </c>
      <c r="P3" s="47" t="s">
        <v>930</v>
      </c>
      <c r="Q3" s="47" t="str">
        <f>LEFT(T3,9)</f>
        <v xml:space="preserve"> Sáng T2:</v>
      </c>
      <c r="R3" s="47" t="s">
        <v>947</v>
      </c>
      <c r="S3" s="47"/>
      <c r="T3" s="47" t="s">
        <v>948</v>
      </c>
      <c r="U3" s="47" t="s">
        <v>949</v>
      </c>
      <c r="V3" s="47" t="s">
        <v>950</v>
      </c>
      <c r="W3" s="47" t="s">
        <v>931</v>
      </c>
      <c r="X3" s="47" t="s">
        <v>951</v>
      </c>
      <c r="Y3" s="47" t="s">
        <v>941</v>
      </c>
      <c r="Z3" s="47" t="s">
        <v>952</v>
      </c>
      <c r="AA3" s="47" t="s">
        <v>931</v>
      </c>
      <c r="AB3" s="47" t="s">
        <v>931</v>
      </c>
      <c r="AC3" s="47" t="s">
        <v>931</v>
      </c>
      <c r="AD3" s="47" t="s">
        <v>953</v>
      </c>
      <c r="AE3" s="47" t="s">
        <v>937</v>
      </c>
      <c r="AF3" s="47" t="s">
        <v>931</v>
      </c>
      <c r="AG3" s="47" t="s">
        <v>931</v>
      </c>
      <c r="AH3" s="47" t="s">
        <v>931</v>
      </c>
      <c r="AI3" s="47" t="s">
        <v>931</v>
      </c>
      <c r="AJ3" s="47" t="s">
        <v>931</v>
      </c>
      <c r="AK3" s="47" t="s">
        <v>930</v>
      </c>
      <c r="AL3" s="47" t="s">
        <v>931</v>
      </c>
      <c r="AM3" s="47" t="s">
        <v>931</v>
      </c>
      <c r="AN3" s="37"/>
    </row>
    <row r="4" spans="1:40" hidden="1">
      <c r="A4" s="47" t="s">
        <v>938</v>
      </c>
      <c r="B4" s="47" t="s">
        <v>919</v>
      </c>
      <c r="C4" s="47" t="s">
        <v>954</v>
      </c>
      <c r="D4" s="47">
        <f t="shared" si="0"/>
        <v>161852</v>
      </c>
      <c r="E4" s="47" t="s">
        <v>940</v>
      </c>
      <c r="F4" s="47" t="s">
        <v>611</v>
      </c>
      <c r="G4" s="47" t="s">
        <v>941</v>
      </c>
      <c r="H4" s="47" t="s">
        <v>942</v>
      </c>
      <c r="I4" s="47" t="s">
        <v>955</v>
      </c>
      <c r="J4" s="47" t="s">
        <v>944</v>
      </c>
      <c r="K4" s="47" t="s">
        <v>163</v>
      </c>
      <c r="L4" s="47" t="s">
        <v>956</v>
      </c>
      <c r="M4" s="47" t="s">
        <v>945</v>
      </c>
      <c r="N4" s="47" t="s">
        <v>946</v>
      </c>
      <c r="O4" s="47" t="s">
        <v>930</v>
      </c>
      <c r="P4" s="47" t="s">
        <v>930</v>
      </c>
      <c r="Q4" s="47" t="str">
        <f t="shared" ref="Q4:Q67" si="1">LEFT(T4,9)</f>
        <v xml:space="preserve"> Sáng T2:</v>
      </c>
      <c r="R4" s="47" t="s">
        <v>947</v>
      </c>
      <c r="S4" s="47"/>
      <c r="T4" s="47" t="s">
        <v>957</v>
      </c>
      <c r="U4" s="47" t="s">
        <v>958</v>
      </c>
      <c r="V4" s="47" t="s">
        <v>950</v>
      </c>
      <c r="W4" s="47" t="s">
        <v>931</v>
      </c>
      <c r="X4" s="47" t="s">
        <v>951</v>
      </c>
      <c r="Y4" s="47" t="s">
        <v>941</v>
      </c>
      <c r="Z4" s="47" t="s">
        <v>952</v>
      </c>
      <c r="AA4" s="47" t="s">
        <v>931</v>
      </c>
      <c r="AB4" s="47" t="s">
        <v>931</v>
      </c>
      <c r="AC4" s="47" t="s">
        <v>931</v>
      </c>
      <c r="AD4" s="47" t="s">
        <v>959</v>
      </c>
      <c r="AE4" s="47" t="s">
        <v>937</v>
      </c>
      <c r="AF4" s="47" t="s">
        <v>931</v>
      </c>
      <c r="AG4" s="47" t="s">
        <v>931</v>
      </c>
      <c r="AH4" s="47" t="s">
        <v>931</v>
      </c>
      <c r="AI4" s="47" t="s">
        <v>931</v>
      </c>
      <c r="AJ4" s="47" t="s">
        <v>931</v>
      </c>
      <c r="AK4" s="47" t="s">
        <v>930</v>
      </c>
      <c r="AL4" s="47" t="s">
        <v>931</v>
      </c>
      <c r="AM4" s="47" t="s">
        <v>931</v>
      </c>
      <c r="AN4" s="37"/>
    </row>
    <row r="5" spans="1:40" ht="15.75" hidden="1" customHeight="1">
      <c r="A5" s="47" t="s">
        <v>938</v>
      </c>
      <c r="B5" s="47" t="s">
        <v>919</v>
      </c>
      <c r="C5" s="47" t="s">
        <v>960</v>
      </c>
      <c r="D5" s="47">
        <f t="shared" si="0"/>
        <v>161854</v>
      </c>
      <c r="E5" s="47" t="s">
        <v>940</v>
      </c>
      <c r="F5" s="47" t="s">
        <v>611</v>
      </c>
      <c r="G5" s="47" t="s">
        <v>941</v>
      </c>
      <c r="H5" s="47" t="s">
        <v>942</v>
      </c>
      <c r="I5" s="47" t="s">
        <v>961</v>
      </c>
      <c r="J5" s="47" t="s">
        <v>944</v>
      </c>
      <c r="K5" s="47" t="s">
        <v>163</v>
      </c>
      <c r="L5" s="47" t="s">
        <v>956</v>
      </c>
      <c r="M5" s="47" t="s">
        <v>945</v>
      </c>
      <c r="N5" s="47" t="s">
        <v>946</v>
      </c>
      <c r="O5" s="47" t="s">
        <v>930</v>
      </c>
      <c r="P5" s="47" t="s">
        <v>930</v>
      </c>
      <c r="Q5" s="47" t="str">
        <f t="shared" si="1"/>
        <v xml:space="preserve"> Sáng T2:</v>
      </c>
      <c r="R5" s="47" t="s">
        <v>947</v>
      </c>
      <c r="S5" s="47"/>
      <c r="T5" s="47" t="s">
        <v>962</v>
      </c>
      <c r="U5" s="47" t="s">
        <v>963</v>
      </c>
      <c r="V5" s="47" t="s">
        <v>950</v>
      </c>
      <c r="W5" s="47" t="s">
        <v>931</v>
      </c>
      <c r="X5" s="47" t="s">
        <v>951</v>
      </c>
      <c r="Y5" s="47" t="s">
        <v>941</v>
      </c>
      <c r="Z5" s="47" t="s">
        <v>952</v>
      </c>
      <c r="AA5" s="47" t="s">
        <v>931</v>
      </c>
      <c r="AB5" s="47" t="s">
        <v>931</v>
      </c>
      <c r="AC5" s="47" t="s">
        <v>931</v>
      </c>
      <c r="AD5" s="47" t="s">
        <v>964</v>
      </c>
      <c r="AE5" s="47" t="s">
        <v>937</v>
      </c>
      <c r="AF5" s="47" t="s">
        <v>931</v>
      </c>
      <c r="AG5" s="47" t="s">
        <v>931</v>
      </c>
      <c r="AH5" s="47" t="s">
        <v>931</v>
      </c>
      <c r="AI5" s="47" t="s">
        <v>931</v>
      </c>
      <c r="AJ5" s="47" t="s">
        <v>931</v>
      </c>
      <c r="AK5" s="47" t="s">
        <v>930</v>
      </c>
      <c r="AL5" s="47" t="s">
        <v>931</v>
      </c>
      <c r="AM5" s="47" t="s">
        <v>931</v>
      </c>
      <c r="AN5" s="37"/>
    </row>
    <row r="6" spans="1:40" hidden="1">
      <c r="A6" s="47" t="s">
        <v>938</v>
      </c>
      <c r="B6" s="47" t="s">
        <v>919</v>
      </c>
      <c r="C6" s="47" t="s">
        <v>965</v>
      </c>
      <c r="D6" s="47">
        <f t="shared" si="0"/>
        <v>161662</v>
      </c>
      <c r="E6" s="47" t="s">
        <v>966</v>
      </c>
      <c r="F6" s="47" t="s">
        <v>967</v>
      </c>
      <c r="G6" s="47" t="s">
        <v>968</v>
      </c>
      <c r="H6" s="47" t="s">
        <v>969</v>
      </c>
      <c r="I6" s="47" t="s">
        <v>970</v>
      </c>
      <c r="J6" s="47" t="s">
        <v>944</v>
      </c>
      <c r="K6" s="47" t="s">
        <v>163</v>
      </c>
      <c r="L6" s="47" t="s">
        <v>971</v>
      </c>
      <c r="M6" s="47" t="s">
        <v>972</v>
      </c>
      <c r="N6" s="47" t="s">
        <v>946</v>
      </c>
      <c r="O6" s="47" t="s">
        <v>930</v>
      </c>
      <c r="P6" s="47" t="s">
        <v>930</v>
      </c>
      <c r="Q6" s="47" t="str">
        <f t="shared" si="1"/>
        <v xml:space="preserve"> Chiều T5</v>
      </c>
      <c r="R6" s="47" t="s">
        <v>973</v>
      </c>
      <c r="S6" s="47"/>
      <c r="T6" s="47" t="s">
        <v>974</v>
      </c>
      <c r="U6" s="47" t="s">
        <v>975</v>
      </c>
      <c r="V6" s="47" t="s">
        <v>976</v>
      </c>
      <c r="W6" s="47" t="s">
        <v>931</v>
      </c>
      <c r="X6" s="47" t="s">
        <v>932</v>
      </c>
      <c r="Y6" s="47" t="s">
        <v>968</v>
      </c>
      <c r="Z6" s="47" t="s">
        <v>977</v>
      </c>
      <c r="AA6" s="47" t="s">
        <v>978</v>
      </c>
      <c r="AB6" s="47" t="s">
        <v>931</v>
      </c>
      <c r="AC6" s="47" t="s">
        <v>979</v>
      </c>
      <c r="AD6" s="47" t="s">
        <v>980</v>
      </c>
      <c r="AE6" s="47" t="s">
        <v>937</v>
      </c>
      <c r="AF6" s="47" t="s">
        <v>981</v>
      </c>
      <c r="AG6" s="47" t="s">
        <v>931</v>
      </c>
      <c r="AH6" s="47" t="s">
        <v>931</v>
      </c>
      <c r="AI6" s="47" t="s">
        <v>931</v>
      </c>
      <c r="AJ6" s="47" t="s">
        <v>931</v>
      </c>
      <c r="AK6" s="47" t="s">
        <v>930</v>
      </c>
      <c r="AL6" s="47" t="s">
        <v>931</v>
      </c>
      <c r="AM6" s="47" t="s">
        <v>931</v>
      </c>
      <c r="AN6" s="37"/>
    </row>
    <row r="7" spans="1:40" hidden="1">
      <c r="A7" s="47" t="s">
        <v>982</v>
      </c>
      <c r="B7" s="47" t="s">
        <v>919</v>
      </c>
      <c r="C7" s="47" t="s">
        <v>983</v>
      </c>
      <c r="D7" s="47" t="e">
        <f t="shared" si="0"/>
        <v>#VALUE!</v>
      </c>
      <c r="E7" s="47" t="s">
        <v>69</v>
      </c>
      <c r="F7" s="47" t="s">
        <v>984</v>
      </c>
      <c r="G7" s="47" t="s">
        <v>985</v>
      </c>
      <c r="H7" s="47" t="s">
        <v>969</v>
      </c>
      <c r="I7" s="47" t="s">
        <v>986</v>
      </c>
      <c r="J7" s="47" t="s">
        <v>926</v>
      </c>
      <c r="K7" s="47" t="s">
        <v>163</v>
      </c>
      <c r="L7" s="47" t="s">
        <v>987</v>
      </c>
      <c r="M7" s="47" t="s">
        <v>931</v>
      </c>
      <c r="N7" s="47" t="s">
        <v>929</v>
      </c>
      <c r="O7" s="47" t="s">
        <v>930</v>
      </c>
      <c r="P7" s="47" t="s">
        <v>930</v>
      </c>
      <c r="Q7" s="47" t="str">
        <f t="shared" si="1"/>
        <v/>
      </c>
      <c r="R7" s="47" t="str">
        <f>LEFT(Q7,5)</f>
        <v/>
      </c>
      <c r="S7" s="47"/>
      <c r="T7" s="47" t="s">
        <v>931</v>
      </c>
      <c r="U7" s="47" t="s">
        <v>931</v>
      </c>
      <c r="V7" s="47" t="s">
        <v>931</v>
      </c>
      <c r="W7" s="47" t="s">
        <v>931</v>
      </c>
      <c r="X7" s="47" t="s">
        <v>932</v>
      </c>
      <c r="Y7" s="47" t="s">
        <v>985</v>
      </c>
      <c r="Z7" s="47" t="s">
        <v>988</v>
      </c>
      <c r="AA7" s="47" t="s">
        <v>989</v>
      </c>
      <c r="AB7" s="47" t="s">
        <v>931</v>
      </c>
      <c r="AC7" s="47" t="s">
        <v>990</v>
      </c>
      <c r="AD7" s="47" t="s">
        <v>991</v>
      </c>
      <c r="AE7" s="47" t="s">
        <v>937</v>
      </c>
      <c r="AF7" s="47" t="s">
        <v>931</v>
      </c>
      <c r="AG7" s="47" t="s">
        <v>931</v>
      </c>
      <c r="AH7" s="47" t="s">
        <v>931</v>
      </c>
      <c r="AI7" s="47" t="s">
        <v>931</v>
      </c>
      <c r="AJ7" s="47" t="s">
        <v>931</v>
      </c>
      <c r="AK7" s="47" t="s">
        <v>930</v>
      </c>
      <c r="AL7" s="47" t="s">
        <v>931</v>
      </c>
      <c r="AM7" s="47" t="s">
        <v>931</v>
      </c>
      <c r="AN7" s="37"/>
    </row>
    <row r="8" spans="1:40" hidden="1">
      <c r="A8" s="47" t="s">
        <v>982</v>
      </c>
      <c r="B8" s="47" t="s">
        <v>919</v>
      </c>
      <c r="C8" s="47" t="s">
        <v>992</v>
      </c>
      <c r="D8" s="47" t="e">
        <f t="shared" si="0"/>
        <v>#VALUE!</v>
      </c>
      <c r="E8" s="47" t="s">
        <v>71</v>
      </c>
      <c r="F8" s="47" t="s">
        <v>326</v>
      </c>
      <c r="G8" s="47" t="s">
        <v>993</v>
      </c>
      <c r="H8" s="47" t="s">
        <v>924</v>
      </c>
      <c r="I8" s="47" t="s">
        <v>986</v>
      </c>
      <c r="J8" s="47" t="s">
        <v>926</v>
      </c>
      <c r="K8" s="47" t="s">
        <v>163</v>
      </c>
      <c r="L8" s="47" t="s">
        <v>994</v>
      </c>
      <c r="M8" s="47" t="s">
        <v>931</v>
      </c>
      <c r="N8" s="47" t="s">
        <v>929</v>
      </c>
      <c r="O8" s="47" t="s">
        <v>930</v>
      </c>
      <c r="P8" s="47" t="s">
        <v>930</v>
      </c>
      <c r="Q8" s="47" t="str">
        <f t="shared" si="1"/>
        <v/>
      </c>
      <c r="R8" s="47" t="str">
        <f>LEFT(Q8,5)</f>
        <v/>
      </c>
      <c r="S8" s="47"/>
      <c r="T8" s="47" t="s">
        <v>931</v>
      </c>
      <c r="U8" s="47" t="s">
        <v>931</v>
      </c>
      <c r="V8" s="47" t="s">
        <v>931</v>
      </c>
      <c r="W8" s="47" t="s">
        <v>931</v>
      </c>
      <c r="X8" s="47" t="s">
        <v>995</v>
      </c>
      <c r="Y8" s="47" t="s">
        <v>993</v>
      </c>
      <c r="Z8" s="47" t="s">
        <v>996</v>
      </c>
      <c r="AA8" s="47" t="s">
        <v>997</v>
      </c>
      <c r="AB8" s="47" t="s">
        <v>931</v>
      </c>
      <c r="AC8" s="47" t="s">
        <v>402</v>
      </c>
      <c r="AD8" s="47" t="s">
        <v>991</v>
      </c>
      <c r="AE8" s="47" t="s">
        <v>937</v>
      </c>
      <c r="AF8" s="47" t="s">
        <v>931</v>
      </c>
      <c r="AG8" s="47" t="s">
        <v>931</v>
      </c>
      <c r="AH8" s="47" t="s">
        <v>998</v>
      </c>
      <c r="AI8" s="47" t="s">
        <v>931</v>
      </c>
      <c r="AJ8" s="47" t="s">
        <v>931</v>
      </c>
      <c r="AK8" s="47" t="s">
        <v>930</v>
      </c>
      <c r="AL8" s="47" t="s">
        <v>931</v>
      </c>
      <c r="AM8" s="47" t="s">
        <v>931</v>
      </c>
      <c r="AN8" s="37"/>
    </row>
    <row r="9" spans="1:40" hidden="1">
      <c r="A9" s="47" t="s">
        <v>982</v>
      </c>
      <c r="B9" s="47" t="s">
        <v>919</v>
      </c>
      <c r="C9" s="47" t="s">
        <v>999</v>
      </c>
      <c r="D9" s="47" t="e">
        <f t="shared" si="0"/>
        <v>#VALUE!</v>
      </c>
      <c r="E9" s="47" t="s">
        <v>1000</v>
      </c>
      <c r="F9" s="47" t="s">
        <v>1001</v>
      </c>
      <c r="G9" s="47" t="s">
        <v>1002</v>
      </c>
      <c r="H9" s="47" t="s">
        <v>924</v>
      </c>
      <c r="I9" s="47" t="s">
        <v>925</v>
      </c>
      <c r="J9" s="47" t="s">
        <v>926</v>
      </c>
      <c r="K9" s="47" t="s">
        <v>163</v>
      </c>
      <c r="L9" s="47" t="s">
        <v>1003</v>
      </c>
      <c r="M9" s="47" t="s">
        <v>1004</v>
      </c>
      <c r="N9" s="47" t="s">
        <v>946</v>
      </c>
      <c r="O9" s="47" t="s">
        <v>930</v>
      </c>
      <c r="P9" s="47" t="s">
        <v>930</v>
      </c>
      <c r="Q9" s="47" t="str">
        <f t="shared" si="1"/>
        <v xml:space="preserve"> Chiều T2</v>
      </c>
      <c r="R9" s="47" t="s">
        <v>973</v>
      </c>
      <c r="S9" s="47"/>
      <c r="T9" s="47" t="s">
        <v>1005</v>
      </c>
      <c r="U9" s="47" t="s">
        <v>931</v>
      </c>
      <c r="V9" s="47" t="s">
        <v>1006</v>
      </c>
      <c r="W9" s="47" t="s">
        <v>931</v>
      </c>
      <c r="X9" s="47" t="s">
        <v>932</v>
      </c>
      <c r="Y9" s="47" t="s">
        <v>1002</v>
      </c>
      <c r="Z9" s="47" t="s">
        <v>1007</v>
      </c>
      <c r="AA9" s="47" t="s">
        <v>1008</v>
      </c>
      <c r="AB9" s="47" t="s">
        <v>931</v>
      </c>
      <c r="AC9" s="47" t="s">
        <v>931</v>
      </c>
      <c r="AD9" s="47" t="s">
        <v>936</v>
      </c>
      <c r="AE9" s="47" t="s">
        <v>937</v>
      </c>
      <c r="AF9" s="47" t="s">
        <v>931</v>
      </c>
      <c r="AG9" s="47" t="s">
        <v>1009</v>
      </c>
      <c r="AH9" s="47" t="s">
        <v>931</v>
      </c>
      <c r="AI9" s="47" t="s">
        <v>931</v>
      </c>
      <c r="AJ9" s="47" t="s">
        <v>931</v>
      </c>
      <c r="AK9" s="47" t="s">
        <v>930</v>
      </c>
      <c r="AL9" s="47" t="s">
        <v>931</v>
      </c>
      <c r="AM9" s="47" t="s">
        <v>931</v>
      </c>
      <c r="AN9" s="37"/>
    </row>
    <row r="10" spans="1:40" hidden="1">
      <c r="A10" s="47" t="s">
        <v>982</v>
      </c>
      <c r="B10" s="47" t="s">
        <v>919</v>
      </c>
      <c r="C10" s="47" t="s">
        <v>1010</v>
      </c>
      <c r="D10" s="47">
        <f t="shared" si="0"/>
        <v>755079</v>
      </c>
      <c r="E10" s="47" t="s">
        <v>235</v>
      </c>
      <c r="F10" s="47" t="s">
        <v>1011</v>
      </c>
      <c r="G10" s="47" t="s">
        <v>472</v>
      </c>
      <c r="H10" s="47" t="s">
        <v>969</v>
      </c>
      <c r="I10" s="47" t="s">
        <v>1012</v>
      </c>
      <c r="J10" s="47" t="s">
        <v>1013</v>
      </c>
      <c r="K10" s="47" t="s">
        <v>163</v>
      </c>
      <c r="L10" s="47" t="s">
        <v>1014</v>
      </c>
      <c r="M10" s="47" t="s">
        <v>1015</v>
      </c>
      <c r="N10" s="47" t="s">
        <v>946</v>
      </c>
      <c r="O10" s="47" t="s">
        <v>930</v>
      </c>
      <c r="P10" s="47" t="s">
        <v>930</v>
      </c>
      <c r="Q10" s="47" t="str">
        <f t="shared" si="1"/>
        <v xml:space="preserve"> Tối T2: </v>
      </c>
      <c r="R10" s="47" t="str">
        <f>LEFT(Q10,5)</f>
        <v xml:space="preserve"> Tối </v>
      </c>
      <c r="S10" s="47"/>
      <c r="T10" s="47" t="s">
        <v>1016</v>
      </c>
      <c r="U10" s="47" t="s">
        <v>931</v>
      </c>
      <c r="V10" s="47" t="s">
        <v>1017</v>
      </c>
      <c r="W10" s="47" t="s">
        <v>931</v>
      </c>
      <c r="X10" s="47" t="s">
        <v>931</v>
      </c>
      <c r="Y10" s="47" t="s">
        <v>472</v>
      </c>
      <c r="Z10" s="47" t="s">
        <v>1018</v>
      </c>
      <c r="AA10" s="47" t="s">
        <v>1019</v>
      </c>
      <c r="AB10" s="47" t="s">
        <v>931</v>
      </c>
      <c r="AC10" s="47" t="s">
        <v>387</v>
      </c>
      <c r="AD10" s="47" t="s">
        <v>1020</v>
      </c>
      <c r="AE10" s="47" t="s">
        <v>1021</v>
      </c>
      <c r="AF10" s="47" t="s">
        <v>931</v>
      </c>
      <c r="AG10" s="47" t="s">
        <v>931</v>
      </c>
      <c r="AH10" s="47" t="s">
        <v>931</v>
      </c>
      <c r="AI10" s="47" t="s">
        <v>931</v>
      </c>
      <c r="AJ10" s="47" t="s">
        <v>931</v>
      </c>
      <c r="AK10" s="47" t="s">
        <v>930</v>
      </c>
      <c r="AL10" s="47" t="s">
        <v>931</v>
      </c>
      <c r="AM10" s="47" t="s">
        <v>931</v>
      </c>
      <c r="AN10" s="37"/>
    </row>
    <row r="11" spans="1:40">
      <c r="A11" s="47" t="s">
        <v>982</v>
      </c>
      <c r="B11" s="47" t="s">
        <v>919</v>
      </c>
      <c r="C11" s="47" t="s">
        <v>1022</v>
      </c>
      <c r="D11" s="47">
        <f t="shared" si="0"/>
        <v>756990</v>
      </c>
      <c r="E11" s="47" t="s">
        <v>200</v>
      </c>
      <c r="F11" s="47" t="s">
        <v>191</v>
      </c>
      <c r="G11" s="47" t="s">
        <v>39</v>
      </c>
      <c r="H11" s="47" t="s">
        <v>931</v>
      </c>
      <c r="I11" s="47" t="s">
        <v>1023</v>
      </c>
      <c r="J11" s="47" t="s">
        <v>1024</v>
      </c>
      <c r="K11" s="47" t="s">
        <v>163</v>
      </c>
      <c r="L11" s="47" t="s">
        <v>1003</v>
      </c>
      <c r="M11" s="47" t="s">
        <v>1025</v>
      </c>
      <c r="N11" s="47" t="s">
        <v>1026</v>
      </c>
      <c r="O11" s="47" t="s">
        <v>930</v>
      </c>
      <c r="P11" s="47" t="s">
        <v>930</v>
      </c>
      <c r="Q11" s="47" t="str">
        <f t="shared" si="1"/>
        <v xml:space="preserve"> Sáng T5:</v>
      </c>
      <c r="R11" s="47" t="s">
        <v>947</v>
      </c>
      <c r="S11" s="47" t="s">
        <v>1027</v>
      </c>
      <c r="T11" s="47" t="s">
        <v>1028</v>
      </c>
      <c r="U11" s="47" t="s">
        <v>1029</v>
      </c>
      <c r="V11" s="47" t="s">
        <v>18</v>
      </c>
      <c r="W11" s="47" t="s">
        <v>931</v>
      </c>
      <c r="X11" s="47" t="s">
        <v>1030</v>
      </c>
      <c r="Y11" s="47" t="s">
        <v>39</v>
      </c>
      <c r="Z11" s="47" t="s">
        <v>1031</v>
      </c>
      <c r="AA11" s="47" t="s">
        <v>1032</v>
      </c>
      <c r="AB11" s="47" t="s">
        <v>1033</v>
      </c>
      <c r="AC11" s="47" t="s">
        <v>447</v>
      </c>
      <c r="AD11" s="47" t="s">
        <v>991</v>
      </c>
      <c r="AE11" s="47" t="s">
        <v>937</v>
      </c>
      <c r="AF11" s="47" t="s">
        <v>931</v>
      </c>
      <c r="AG11" s="47" t="s">
        <v>931</v>
      </c>
      <c r="AH11" s="47" t="s">
        <v>931</v>
      </c>
      <c r="AI11" s="47" t="s">
        <v>931</v>
      </c>
      <c r="AJ11" s="47" t="s">
        <v>931</v>
      </c>
      <c r="AK11" s="47" t="s">
        <v>930</v>
      </c>
      <c r="AL11" s="47" t="s">
        <v>931</v>
      </c>
      <c r="AM11" s="47" t="s">
        <v>931</v>
      </c>
      <c r="AN11" s="37"/>
    </row>
    <row r="12" spans="1:40" hidden="1">
      <c r="A12" s="47" t="s">
        <v>982</v>
      </c>
      <c r="B12" s="47" t="s">
        <v>919</v>
      </c>
      <c r="C12" s="47" t="s">
        <v>1034</v>
      </c>
      <c r="D12" s="47" t="e">
        <f t="shared" si="0"/>
        <v>#VALUE!</v>
      </c>
      <c r="E12" s="47" t="s">
        <v>1035</v>
      </c>
      <c r="F12" s="47" t="s">
        <v>1036</v>
      </c>
      <c r="G12" s="47" t="s">
        <v>398</v>
      </c>
      <c r="H12" s="47" t="s">
        <v>969</v>
      </c>
      <c r="I12" s="47" t="s">
        <v>925</v>
      </c>
      <c r="J12" s="47" t="s">
        <v>926</v>
      </c>
      <c r="K12" s="47" t="s">
        <v>163</v>
      </c>
      <c r="L12" s="47" t="s">
        <v>1015</v>
      </c>
      <c r="M12" s="47" t="s">
        <v>1004</v>
      </c>
      <c r="N12" s="47" t="s">
        <v>946</v>
      </c>
      <c r="O12" s="47" t="s">
        <v>930</v>
      </c>
      <c r="P12" s="47" t="s">
        <v>930</v>
      </c>
      <c r="Q12" s="47" t="str">
        <f t="shared" si="1"/>
        <v xml:space="preserve"> Sáng T7:</v>
      </c>
      <c r="R12" s="47" t="s">
        <v>947</v>
      </c>
      <c r="S12" s="47"/>
      <c r="T12" s="47" t="s">
        <v>1037</v>
      </c>
      <c r="U12" s="47" t="s">
        <v>931</v>
      </c>
      <c r="V12" s="47" t="s">
        <v>1038</v>
      </c>
      <c r="W12" s="47" t="s">
        <v>931</v>
      </c>
      <c r="X12" s="47" t="s">
        <v>932</v>
      </c>
      <c r="Y12" s="47" t="s">
        <v>398</v>
      </c>
      <c r="Z12" s="47" t="s">
        <v>1039</v>
      </c>
      <c r="AA12" s="47" t="s">
        <v>1040</v>
      </c>
      <c r="AB12" s="47" t="s">
        <v>931</v>
      </c>
      <c r="AC12" s="47" t="s">
        <v>515</v>
      </c>
      <c r="AD12" s="47" t="s">
        <v>936</v>
      </c>
      <c r="AE12" s="47" t="s">
        <v>937</v>
      </c>
      <c r="AF12" s="47" t="s">
        <v>931</v>
      </c>
      <c r="AG12" s="47" t="s">
        <v>1041</v>
      </c>
      <c r="AH12" s="47" t="s">
        <v>931</v>
      </c>
      <c r="AI12" s="47" t="s">
        <v>931</v>
      </c>
      <c r="AJ12" s="47" t="s">
        <v>931</v>
      </c>
      <c r="AK12" s="47" t="s">
        <v>930</v>
      </c>
      <c r="AL12" s="47" t="s">
        <v>931</v>
      </c>
      <c r="AM12" s="47" t="s">
        <v>931</v>
      </c>
      <c r="AN12" s="37"/>
    </row>
    <row r="13" spans="1:40" ht="20.25" hidden="1" customHeight="1">
      <c r="A13" s="47" t="s">
        <v>982</v>
      </c>
      <c r="B13" s="47" t="s">
        <v>919</v>
      </c>
      <c r="C13" s="47" t="s">
        <v>1042</v>
      </c>
      <c r="D13" s="47" t="e">
        <f t="shared" si="0"/>
        <v>#VALUE!</v>
      </c>
      <c r="E13" s="47" t="s">
        <v>1043</v>
      </c>
      <c r="F13" s="47" t="s">
        <v>1044</v>
      </c>
      <c r="G13" s="47" t="s">
        <v>386</v>
      </c>
      <c r="H13" s="47" t="s">
        <v>924</v>
      </c>
      <c r="I13" s="47" t="s">
        <v>925</v>
      </c>
      <c r="J13" s="47" t="s">
        <v>926</v>
      </c>
      <c r="K13" s="47" t="s">
        <v>163</v>
      </c>
      <c r="L13" s="47" t="s">
        <v>945</v>
      </c>
      <c r="M13" s="47" t="s">
        <v>1004</v>
      </c>
      <c r="N13" s="47" t="s">
        <v>946</v>
      </c>
      <c r="O13" s="47" t="s">
        <v>930</v>
      </c>
      <c r="P13" s="47" t="s">
        <v>930</v>
      </c>
      <c r="Q13" s="47" t="str">
        <f t="shared" si="1"/>
        <v xml:space="preserve"> Sáng T7:</v>
      </c>
      <c r="R13" s="47" t="s">
        <v>947</v>
      </c>
      <c r="S13" s="47"/>
      <c r="T13" s="47" t="s">
        <v>1045</v>
      </c>
      <c r="U13" s="47" t="s">
        <v>931</v>
      </c>
      <c r="V13" s="47" t="s">
        <v>1046</v>
      </c>
      <c r="W13" s="47" t="s">
        <v>931</v>
      </c>
      <c r="X13" s="47" t="s">
        <v>932</v>
      </c>
      <c r="Y13" s="47" t="s">
        <v>386</v>
      </c>
      <c r="Z13" s="47" t="s">
        <v>1047</v>
      </c>
      <c r="AA13" s="47" t="s">
        <v>1048</v>
      </c>
      <c r="AB13" s="47" t="s">
        <v>931</v>
      </c>
      <c r="AC13" s="47" t="s">
        <v>1049</v>
      </c>
      <c r="AD13" s="47" t="s">
        <v>936</v>
      </c>
      <c r="AE13" s="47" t="s">
        <v>937</v>
      </c>
      <c r="AF13" s="47" t="s">
        <v>931</v>
      </c>
      <c r="AG13" s="47" t="s">
        <v>1050</v>
      </c>
      <c r="AH13" s="47" t="s">
        <v>931</v>
      </c>
      <c r="AI13" s="47" t="s">
        <v>931</v>
      </c>
      <c r="AJ13" s="47" t="s">
        <v>931</v>
      </c>
      <c r="AK13" s="47" t="s">
        <v>930</v>
      </c>
      <c r="AL13" s="47" t="s">
        <v>931</v>
      </c>
      <c r="AM13" s="47" t="s">
        <v>931</v>
      </c>
      <c r="AN13" s="37"/>
    </row>
    <row r="14" spans="1:40" hidden="1">
      <c r="A14" s="47" t="s">
        <v>982</v>
      </c>
      <c r="B14" s="47" t="s">
        <v>919</v>
      </c>
      <c r="C14" s="47" t="s">
        <v>1051</v>
      </c>
      <c r="D14" s="47">
        <f t="shared" si="0"/>
        <v>161332</v>
      </c>
      <c r="E14" s="47" t="s">
        <v>603</v>
      </c>
      <c r="F14" s="47" t="s">
        <v>604</v>
      </c>
      <c r="G14" s="47" t="s">
        <v>1052</v>
      </c>
      <c r="H14" s="47" t="s">
        <v>1053</v>
      </c>
      <c r="I14" s="47" t="s">
        <v>1054</v>
      </c>
      <c r="J14" s="47" t="s">
        <v>1055</v>
      </c>
      <c r="K14" s="47" t="s">
        <v>163</v>
      </c>
      <c r="L14" s="47" t="s">
        <v>1056</v>
      </c>
      <c r="M14" s="47" t="s">
        <v>1057</v>
      </c>
      <c r="N14" s="47" t="s">
        <v>1058</v>
      </c>
      <c r="O14" s="47" t="s">
        <v>930</v>
      </c>
      <c r="P14" s="47" t="s">
        <v>930</v>
      </c>
      <c r="Q14" s="47" t="str">
        <f t="shared" si="1"/>
        <v xml:space="preserve"> Sáng T4:</v>
      </c>
      <c r="R14" s="47" t="s">
        <v>947</v>
      </c>
      <c r="S14" s="47" t="s">
        <v>1059</v>
      </c>
      <c r="T14" s="47" t="s">
        <v>1060</v>
      </c>
      <c r="U14" s="47" t="s">
        <v>1061</v>
      </c>
      <c r="V14" s="47" t="s">
        <v>1062</v>
      </c>
      <c r="W14" s="47" t="s">
        <v>931</v>
      </c>
      <c r="X14" s="47" t="s">
        <v>1063</v>
      </c>
      <c r="Y14" s="47" t="s">
        <v>1052</v>
      </c>
      <c r="Z14" s="47" t="s">
        <v>1064</v>
      </c>
      <c r="AA14" s="47" t="s">
        <v>931</v>
      </c>
      <c r="AB14" s="47" t="s">
        <v>931</v>
      </c>
      <c r="AC14" s="47" t="s">
        <v>1065</v>
      </c>
      <c r="AD14" s="47" t="s">
        <v>1066</v>
      </c>
      <c r="AE14" s="47" t="s">
        <v>937</v>
      </c>
      <c r="AF14" s="47" t="s">
        <v>931</v>
      </c>
      <c r="AG14" s="47" t="s">
        <v>931</v>
      </c>
      <c r="AH14" s="47" t="s">
        <v>1067</v>
      </c>
      <c r="AI14" s="47" t="s">
        <v>931</v>
      </c>
      <c r="AJ14" s="47" t="s">
        <v>365</v>
      </c>
      <c r="AK14" s="47" t="s">
        <v>930</v>
      </c>
      <c r="AL14" s="47" t="s">
        <v>931</v>
      </c>
      <c r="AM14" s="47" t="s">
        <v>931</v>
      </c>
      <c r="AN14" s="37"/>
    </row>
    <row r="15" spans="1:40" hidden="1">
      <c r="A15" s="47" t="s">
        <v>982</v>
      </c>
      <c r="B15" s="47" t="s">
        <v>919</v>
      </c>
      <c r="C15" s="47" t="s">
        <v>1068</v>
      </c>
      <c r="D15" s="47">
        <f t="shared" si="0"/>
        <v>161331</v>
      </c>
      <c r="E15" s="47" t="s">
        <v>603</v>
      </c>
      <c r="F15" s="47" t="s">
        <v>604</v>
      </c>
      <c r="G15" s="47" t="s">
        <v>1052</v>
      </c>
      <c r="H15" s="47" t="s">
        <v>1053</v>
      </c>
      <c r="I15" s="47" t="s">
        <v>1069</v>
      </c>
      <c r="J15" s="47" t="s">
        <v>1055</v>
      </c>
      <c r="K15" s="47" t="s">
        <v>163</v>
      </c>
      <c r="L15" s="47" t="s">
        <v>1056</v>
      </c>
      <c r="M15" s="47" t="s">
        <v>1057</v>
      </c>
      <c r="N15" s="47" t="s">
        <v>1058</v>
      </c>
      <c r="O15" s="47" t="s">
        <v>930</v>
      </c>
      <c r="P15" s="47" t="s">
        <v>930</v>
      </c>
      <c r="Q15" s="47" t="str">
        <f t="shared" si="1"/>
        <v xml:space="preserve"> Chiều T3</v>
      </c>
      <c r="R15" s="47" t="s">
        <v>973</v>
      </c>
      <c r="S15" s="47" t="s">
        <v>1070</v>
      </c>
      <c r="T15" s="47" t="s">
        <v>1071</v>
      </c>
      <c r="U15" s="47" t="s">
        <v>1072</v>
      </c>
      <c r="V15" s="47" t="s">
        <v>21</v>
      </c>
      <c r="W15" s="47" t="s">
        <v>931</v>
      </c>
      <c r="X15" s="47" t="s">
        <v>1063</v>
      </c>
      <c r="Y15" s="47" t="s">
        <v>1052</v>
      </c>
      <c r="Z15" s="47" t="s">
        <v>1064</v>
      </c>
      <c r="AA15" s="47" t="s">
        <v>931</v>
      </c>
      <c r="AB15" s="47" t="s">
        <v>931</v>
      </c>
      <c r="AC15" s="47" t="s">
        <v>1065</v>
      </c>
      <c r="AD15" s="47" t="s">
        <v>1073</v>
      </c>
      <c r="AE15" s="47" t="s">
        <v>937</v>
      </c>
      <c r="AF15" s="47" t="s">
        <v>931</v>
      </c>
      <c r="AG15" s="47" t="s">
        <v>931</v>
      </c>
      <c r="AH15" s="47" t="s">
        <v>1067</v>
      </c>
      <c r="AI15" s="47" t="s">
        <v>931</v>
      </c>
      <c r="AJ15" s="47" t="s">
        <v>365</v>
      </c>
      <c r="AK15" s="47" t="s">
        <v>930</v>
      </c>
      <c r="AL15" s="47" t="s">
        <v>931</v>
      </c>
      <c r="AM15" s="47" t="s">
        <v>931</v>
      </c>
      <c r="AN15" s="37"/>
    </row>
    <row r="16" spans="1:40" hidden="1">
      <c r="A16" s="47" t="s">
        <v>982</v>
      </c>
      <c r="B16" s="47" t="s">
        <v>919</v>
      </c>
      <c r="C16" s="47" t="s">
        <v>1074</v>
      </c>
      <c r="D16" s="47">
        <f t="shared" si="0"/>
        <v>161328</v>
      </c>
      <c r="E16" s="47" t="s">
        <v>603</v>
      </c>
      <c r="F16" s="47" t="s">
        <v>604</v>
      </c>
      <c r="G16" s="47" t="s">
        <v>1052</v>
      </c>
      <c r="H16" s="47" t="s">
        <v>1053</v>
      </c>
      <c r="I16" s="47" t="s">
        <v>1075</v>
      </c>
      <c r="J16" s="47" t="s">
        <v>1055</v>
      </c>
      <c r="K16" s="47" t="s">
        <v>163</v>
      </c>
      <c r="L16" s="47" t="s">
        <v>1056</v>
      </c>
      <c r="M16" s="47" t="s">
        <v>1057</v>
      </c>
      <c r="N16" s="47" t="s">
        <v>1058</v>
      </c>
      <c r="O16" s="47" t="s">
        <v>930</v>
      </c>
      <c r="P16" s="47" t="s">
        <v>930</v>
      </c>
      <c r="Q16" s="47" t="str">
        <f t="shared" si="1"/>
        <v xml:space="preserve"> Sáng T3:</v>
      </c>
      <c r="R16" s="47" t="s">
        <v>947</v>
      </c>
      <c r="S16" s="47" t="s">
        <v>1070</v>
      </c>
      <c r="T16" s="47" t="s">
        <v>1076</v>
      </c>
      <c r="U16" s="47" t="s">
        <v>1077</v>
      </c>
      <c r="V16" s="47" t="s">
        <v>1062</v>
      </c>
      <c r="W16" s="47" t="s">
        <v>931</v>
      </c>
      <c r="X16" s="47" t="s">
        <v>1063</v>
      </c>
      <c r="Y16" s="47" t="s">
        <v>1052</v>
      </c>
      <c r="Z16" s="47" t="s">
        <v>1064</v>
      </c>
      <c r="AA16" s="47" t="s">
        <v>931</v>
      </c>
      <c r="AB16" s="47" t="s">
        <v>931</v>
      </c>
      <c r="AC16" s="47" t="s">
        <v>1065</v>
      </c>
      <c r="AD16" s="47" t="s">
        <v>991</v>
      </c>
      <c r="AE16" s="47" t="s">
        <v>937</v>
      </c>
      <c r="AF16" s="47" t="s">
        <v>931</v>
      </c>
      <c r="AG16" s="47" t="s">
        <v>931</v>
      </c>
      <c r="AH16" s="47" t="s">
        <v>1067</v>
      </c>
      <c r="AI16" s="47" t="s">
        <v>931</v>
      </c>
      <c r="AJ16" s="47" t="s">
        <v>365</v>
      </c>
      <c r="AK16" s="47" t="s">
        <v>930</v>
      </c>
      <c r="AL16" s="47" t="s">
        <v>931</v>
      </c>
      <c r="AM16" s="47" t="s">
        <v>931</v>
      </c>
      <c r="AN16" s="37"/>
    </row>
    <row r="17" spans="1:40" hidden="1">
      <c r="A17" s="47" t="s">
        <v>982</v>
      </c>
      <c r="B17" s="47" t="s">
        <v>919</v>
      </c>
      <c r="C17" s="47" t="s">
        <v>1078</v>
      </c>
      <c r="D17" s="47">
        <f t="shared" si="0"/>
        <v>761441</v>
      </c>
      <c r="E17" s="47" t="s">
        <v>1079</v>
      </c>
      <c r="F17" s="47" t="s">
        <v>1080</v>
      </c>
      <c r="G17" s="47" t="s">
        <v>931</v>
      </c>
      <c r="H17" s="47" t="s">
        <v>1081</v>
      </c>
      <c r="I17" s="47" t="s">
        <v>1082</v>
      </c>
      <c r="J17" s="47" t="s">
        <v>944</v>
      </c>
      <c r="K17" s="47" t="s">
        <v>163</v>
      </c>
      <c r="L17" s="47" t="s">
        <v>987</v>
      </c>
      <c r="M17" s="47" t="s">
        <v>1083</v>
      </c>
      <c r="N17" s="47" t="s">
        <v>929</v>
      </c>
      <c r="O17" s="47" t="s">
        <v>930</v>
      </c>
      <c r="P17" s="47" t="s">
        <v>930</v>
      </c>
      <c r="Q17" s="47" t="str">
        <f t="shared" si="1"/>
        <v/>
      </c>
      <c r="R17" s="47" t="str">
        <f>LEFT(Q17,5)</f>
        <v/>
      </c>
      <c r="S17" s="47"/>
      <c r="T17" s="47" t="s">
        <v>931</v>
      </c>
      <c r="U17" s="47" t="s">
        <v>931</v>
      </c>
      <c r="V17" s="47" t="s">
        <v>931</v>
      </c>
      <c r="W17" s="47" t="s">
        <v>931</v>
      </c>
      <c r="X17" s="47" t="s">
        <v>982</v>
      </c>
      <c r="Y17" s="47" t="s">
        <v>931</v>
      </c>
      <c r="Z17" s="47" t="s">
        <v>931</v>
      </c>
      <c r="AA17" s="47" t="s">
        <v>931</v>
      </c>
      <c r="AB17" s="47" t="s">
        <v>931</v>
      </c>
      <c r="AC17" s="47" t="s">
        <v>931</v>
      </c>
      <c r="AD17" s="47" t="s">
        <v>1084</v>
      </c>
      <c r="AE17" s="47" t="s">
        <v>937</v>
      </c>
      <c r="AF17" s="47" t="s">
        <v>931</v>
      </c>
      <c r="AG17" s="47" t="s">
        <v>931</v>
      </c>
      <c r="AH17" s="47" t="s">
        <v>931</v>
      </c>
      <c r="AI17" s="47" t="s">
        <v>931</v>
      </c>
      <c r="AJ17" s="47" t="s">
        <v>931</v>
      </c>
      <c r="AK17" s="47" t="s">
        <v>930</v>
      </c>
      <c r="AL17" s="47" t="s">
        <v>931</v>
      </c>
      <c r="AM17" s="47" t="s">
        <v>931</v>
      </c>
      <c r="AN17" s="37"/>
    </row>
    <row r="18" spans="1:40" hidden="1">
      <c r="A18" s="47" t="s">
        <v>982</v>
      </c>
      <c r="B18" s="47" t="s">
        <v>919</v>
      </c>
      <c r="C18" s="47" t="s">
        <v>1085</v>
      </c>
      <c r="D18" s="47">
        <f t="shared" si="0"/>
        <v>761447</v>
      </c>
      <c r="E18" s="47" t="s">
        <v>1086</v>
      </c>
      <c r="F18" s="47" t="s">
        <v>1087</v>
      </c>
      <c r="G18" s="47" t="s">
        <v>931</v>
      </c>
      <c r="H18" s="47" t="s">
        <v>1088</v>
      </c>
      <c r="I18" s="47" t="s">
        <v>1089</v>
      </c>
      <c r="J18" s="47" t="s">
        <v>1090</v>
      </c>
      <c r="K18" s="47" t="s">
        <v>163</v>
      </c>
      <c r="L18" s="47" t="s">
        <v>987</v>
      </c>
      <c r="M18" s="47" t="s">
        <v>987</v>
      </c>
      <c r="N18" s="47" t="s">
        <v>929</v>
      </c>
      <c r="O18" s="47" t="s">
        <v>930</v>
      </c>
      <c r="P18" s="47" t="s">
        <v>930</v>
      </c>
      <c r="Q18" s="47" t="str">
        <f t="shared" si="1"/>
        <v/>
      </c>
      <c r="R18" s="47" t="str">
        <f>LEFT(Q18,5)</f>
        <v/>
      </c>
      <c r="S18" s="47"/>
      <c r="T18" s="47" t="s">
        <v>931</v>
      </c>
      <c r="U18" s="47" t="s">
        <v>931</v>
      </c>
      <c r="V18" s="47" t="s">
        <v>931</v>
      </c>
      <c r="W18" s="47" t="s">
        <v>931</v>
      </c>
      <c r="X18" s="47" t="s">
        <v>982</v>
      </c>
      <c r="Y18" s="47" t="s">
        <v>931</v>
      </c>
      <c r="Z18" s="47" t="s">
        <v>931</v>
      </c>
      <c r="AA18" s="47" t="s">
        <v>931</v>
      </c>
      <c r="AB18" s="47" t="s">
        <v>931</v>
      </c>
      <c r="AC18" s="47" t="s">
        <v>931</v>
      </c>
      <c r="AD18" s="47" t="s">
        <v>1091</v>
      </c>
      <c r="AE18" s="47" t="s">
        <v>937</v>
      </c>
      <c r="AF18" s="47" t="s">
        <v>931</v>
      </c>
      <c r="AG18" s="47" t="s">
        <v>931</v>
      </c>
      <c r="AH18" s="47" t="s">
        <v>931</v>
      </c>
      <c r="AI18" s="47" t="s">
        <v>931</v>
      </c>
      <c r="AJ18" s="47" t="s">
        <v>931</v>
      </c>
      <c r="AK18" s="47" t="s">
        <v>930</v>
      </c>
      <c r="AL18" s="47" t="s">
        <v>931</v>
      </c>
      <c r="AM18" s="47" t="s">
        <v>931</v>
      </c>
      <c r="AN18" s="37"/>
    </row>
    <row r="19" spans="1:40" hidden="1">
      <c r="A19" s="47" t="s">
        <v>982</v>
      </c>
      <c r="B19" s="47" t="s">
        <v>919</v>
      </c>
      <c r="C19" s="47" t="s">
        <v>1092</v>
      </c>
      <c r="D19" s="47">
        <f t="shared" si="0"/>
        <v>761314</v>
      </c>
      <c r="E19" s="47" t="s">
        <v>1093</v>
      </c>
      <c r="F19" s="47" t="s">
        <v>1094</v>
      </c>
      <c r="G19" s="47" t="s">
        <v>931</v>
      </c>
      <c r="H19" s="47" t="s">
        <v>1095</v>
      </c>
      <c r="I19" s="47" t="s">
        <v>1096</v>
      </c>
      <c r="J19" s="47" t="s">
        <v>1097</v>
      </c>
      <c r="K19" s="47" t="s">
        <v>163</v>
      </c>
      <c r="L19" s="47" t="s">
        <v>987</v>
      </c>
      <c r="M19" s="47" t="s">
        <v>987</v>
      </c>
      <c r="N19" s="47" t="s">
        <v>8</v>
      </c>
      <c r="O19" s="47" t="s">
        <v>930</v>
      </c>
      <c r="P19" s="47" t="s">
        <v>930</v>
      </c>
      <c r="Q19" s="47" t="str">
        <f t="shared" si="1"/>
        <v/>
      </c>
      <c r="R19" s="47" t="str">
        <f>LEFT(Q19,5)</f>
        <v/>
      </c>
      <c r="S19" s="47"/>
      <c r="T19" s="47" t="s">
        <v>931</v>
      </c>
      <c r="U19" s="47" t="s">
        <v>931</v>
      </c>
      <c r="V19" s="47" t="s">
        <v>931</v>
      </c>
      <c r="W19" s="47" t="s">
        <v>931</v>
      </c>
      <c r="X19" s="47" t="s">
        <v>982</v>
      </c>
      <c r="Y19" s="47" t="s">
        <v>931</v>
      </c>
      <c r="Z19" s="47" t="s">
        <v>931</v>
      </c>
      <c r="AA19" s="47" t="s">
        <v>931</v>
      </c>
      <c r="AB19" s="47" t="s">
        <v>931</v>
      </c>
      <c r="AC19" s="47" t="s">
        <v>931</v>
      </c>
      <c r="AD19" s="47" t="s">
        <v>1098</v>
      </c>
      <c r="AE19" s="47" t="s">
        <v>937</v>
      </c>
      <c r="AF19" s="47" t="s">
        <v>931</v>
      </c>
      <c r="AG19" s="47" t="s">
        <v>931</v>
      </c>
      <c r="AH19" s="47" t="s">
        <v>931</v>
      </c>
      <c r="AI19" s="47" t="s">
        <v>931</v>
      </c>
      <c r="AJ19" s="47" t="s">
        <v>931</v>
      </c>
      <c r="AK19" s="47" t="s">
        <v>930</v>
      </c>
      <c r="AL19" s="47" t="s">
        <v>931</v>
      </c>
      <c r="AM19" s="47" t="s">
        <v>931</v>
      </c>
      <c r="AN19" s="37"/>
    </row>
    <row r="20" spans="1:40" hidden="1">
      <c r="A20" s="47" t="s">
        <v>982</v>
      </c>
      <c r="B20" s="47" t="s">
        <v>919</v>
      </c>
      <c r="C20" s="47" t="s">
        <v>1099</v>
      </c>
      <c r="D20" s="47">
        <f t="shared" si="0"/>
        <v>761346</v>
      </c>
      <c r="E20" s="47" t="s">
        <v>212</v>
      </c>
      <c r="F20" s="47" t="s">
        <v>213</v>
      </c>
      <c r="G20" s="47" t="s">
        <v>39</v>
      </c>
      <c r="H20" s="47" t="s">
        <v>1100</v>
      </c>
      <c r="I20" s="47" t="s">
        <v>1101</v>
      </c>
      <c r="J20" s="47" t="s">
        <v>944</v>
      </c>
      <c r="K20" s="47" t="s">
        <v>163</v>
      </c>
      <c r="L20" s="47" t="s">
        <v>1102</v>
      </c>
      <c r="M20" s="47" t="s">
        <v>1025</v>
      </c>
      <c r="N20" s="47" t="s">
        <v>1026</v>
      </c>
      <c r="O20" s="47" t="s">
        <v>930</v>
      </c>
      <c r="P20" s="47" t="s">
        <v>930</v>
      </c>
      <c r="Q20" s="47" t="str">
        <f t="shared" si="1"/>
        <v xml:space="preserve"> Sáng T2:</v>
      </c>
      <c r="R20" s="47" t="s">
        <v>947</v>
      </c>
      <c r="S20" s="47" t="s">
        <v>1103</v>
      </c>
      <c r="T20" s="47" t="s">
        <v>1104</v>
      </c>
      <c r="U20" s="47" t="s">
        <v>931</v>
      </c>
      <c r="V20" s="47" t="s">
        <v>18</v>
      </c>
      <c r="W20" s="47" t="s">
        <v>931</v>
      </c>
      <c r="X20" s="47" t="s">
        <v>1030</v>
      </c>
      <c r="Y20" s="47" t="s">
        <v>39</v>
      </c>
      <c r="Z20" s="47" t="s">
        <v>1031</v>
      </c>
      <c r="AA20" s="47" t="s">
        <v>1032</v>
      </c>
      <c r="AB20" s="47" t="s">
        <v>1105</v>
      </c>
      <c r="AC20" s="47" t="s">
        <v>515</v>
      </c>
      <c r="AD20" s="47" t="s">
        <v>1106</v>
      </c>
      <c r="AE20" s="47" t="s">
        <v>937</v>
      </c>
      <c r="AF20" s="47" t="s">
        <v>931</v>
      </c>
      <c r="AG20" s="47" t="s">
        <v>931</v>
      </c>
      <c r="AH20" s="47" t="s">
        <v>364</v>
      </c>
      <c r="AI20" s="47" t="s">
        <v>931</v>
      </c>
      <c r="AJ20" s="47" t="s">
        <v>365</v>
      </c>
      <c r="AK20" s="47" t="s">
        <v>930</v>
      </c>
      <c r="AL20" s="47" t="s">
        <v>931</v>
      </c>
      <c r="AM20" s="47" t="s">
        <v>931</v>
      </c>
      <c r="AN20" s="37"/>
    </row>
    <row r="21" spans="1:40" hidden="1">
      <c r="A21" s="47" t="s">
        <v>982</v>
      </c>
      <c r="B21" s="47" t="s">
        <v>919</v>
      </c>
      <c r="C21" s="47" t="s">
        <v>1107</v>
      </c>
      <c r="D21" s="47">
        <f t="shared" si="0"/>
        <v>761347</v>
      </c>
      <c r="E21" s="47" t="s">
        <v>212</v>
      </c>
      <c r="F21" s="47" t="s">
        <v>213</v>
      </c>
      <c r="G21" s="47" t="s">
        <v>41</v>
      </c>
      <c r="H21" s="47" t="s">
        <v>1100</v>
      </c>
      <c r="I21" s="47" t="s">
        <v>1108</v>
      </c>
      <c r="J21" s="47" t="s">
        <v>944</v>
      </c>
      <c r="K21" s="47" t="s">
        <v>163</v>
      </c>
      <c r="L21" s="47" t="s">
        <v>1109</v>
      </c>
      <c r="M21" s="47" t="s">
        <v>1025</v>
      </c>
      <c r="N21" s="47" t="s">
        <v>1026</v>
      </c>
      <c r="O21" s="47" t="s">
        <v>930</v>
      </c>
      <c r="P21" s="47" t="s">
        <v>930</v>
      </c>
      <c r="Q21" s="47" t="str">
        <f t="shared" si="1"/>
        <v xml:space="preserve"> Sáng T4:</v>
      </c>
      <c r="R21" s="47" t="s">
        <v>947</v>
      </c>
      <c r="S21" s="47" t="s">
        <v>1059</v>
      </c>
      <c r="T21" s="47" t="s">
        <v>1110</v>
      </c>
      <c r="U21" s="47" t="s">
        <v>931</v>
      </c>
      <c r="V21" s="47" t="s">
        <v>18</v>
      </c>
      <c r="W21" s="47" t="s">
        <v>931</v>
      </c>
      <c r="X21" s="47" t="s">
        <v>1030</v>
      </c>
      <c r="Y21" s="47" t="s">
        <v>41</v>
      </c>
      <c r="Z21" s="47" t="s">
        <v>1111</v>
      </c>
      <c r="AA21" s="47" t="s">
        <v>1112</v>
      </c>
      <c r="AB21" s="47" t="s">
        <v>1113</v>
      </c>
      <c r="AC21" s="47" t="s">
        <v>515</v>
      </c>
      <c r="AD21" s="47" t="s">
        <v>1114</v>
      </c>
      <c r="AE21" s="47" t="s">
        <v>937</v>
      </c>
      <c r="AF21" s="47" t="s">
        <v>931</v>
      </c>
      <c r="AG21" s="47" t="s">
        <v>1115</v>
      </c>
      <c r="AH21" s="47" t="s">
        <v>364</v>
      </c>
      <c r="AI21" s="47" t="s">
        <v>931</v>
      </c>
      <c r="AJ21" s="47" t="s">
        <v>365</v>
      </c>
      <c r="AK21" s="47" t="s">
        <v>930</v>
      </c>
      <c r="AL21" s="47" t="s">
        <v>931</v>
      </c>
      <c r="AM21" s="47" t="s">
        <v>931</v>
      </c>
      <c r="AN21" s="37"/>
    </row>
    <row r="22" spans="1:40" hidden="1">
      <c r="A22" s="47" t="s">
        <v>982</v>
      </c>
      <c r="B22" s="47" t="s">
        <v>919</v>
      </c>
      <c r="C22" s="47" t="s">
        <v>1116</v>
      </c>
      <c r="D22" s="47">
        <f t="shared" si="0"/>
        <v>761345</v>
      </c>
      <c r="E22" s="47" t="s">
        <v>212</v>
      </c>
      <c r="F22" s="47" t="s">
        <v>213</v>
      </c>
      <c r="G22" s="47" t="s">
        <v>931</v>
      </c>
      <c r="H22" s="47" t="s">
        <v>931</v>
      </c>
      <c r="I22" s="47" t="s">
        <v>1117</v>
      </c>
      <c r="J22" s="47" t="s">
        <v>944</v>
      </c>
      <c r="K22" s="47" t="s">
        <v>163</v>
      </c>
      <c r="L22" s="47" t="s">
        <v>1118</v>
      </c>
      <c r="M22" s="47" t="s">
        <v>1025</v>
      </c>
      <c r="N22" s="47" t="s">
        <v>1026</v>
      </c>
      <c r="O22" s="47" t="s">
        <v>930</v>
      </c>
      <c r="P22" s="47" t="s">
        <v>930</v>
      </c>
      <c r="Q22" s="47" t="str">
        <f t="shared" si="1"/>
        <v xml:space="preserve"> Sáng T3:</v>
      </c>
      <c r="R22" s="47" t="s">
        <v>947</v>
      </c>
      <c r="S22" s="47" t="s">
        <v>1070</v>
      </c>
      <c r="T22" s="47" t="s">
        <v>1119</v>
      </c>
      <c r="U22" s="47" t="s">
        <v>931</v>
      </c>
      <c r="V22" s="47" t="s">
        <v>16</v>
      </c>
      <c r="W22" s="47" t="s">
        <v>931</v>
      </c>
      <c r="X22" s="47" t="s">
        <v>1030</v>
      </c>
      <c r="Y22" s="47" t="s">
        <v>931</v>
      </c>
      <c r="Z22" s="47" t="s">
        <v>931</v>
      </c>
      <c r="AA22" s="47" t="s">
        <v>931</v>
      </c>
      <c r="AB22" s="47" t="s">
        <v>1120</v>
      </c>
      <c r="AC22" s="47" t="s">
        <v>515</v>
      </c>
      <c r="AD22" s="47" t="s">
        <v>1121</v>
      </c>
      <c r="AE22" s="47" t="s">
        <v>937</v>
      </c>
      <c r="AF22" s="47" t="s">
        <v>931</v>
      </c>
      <c r="AG22" s="47" t="s">
        <v>931</v>
      </c>
      <c r="AH22" s="47" t="s">
        <v>364</v>
      </c>
      <c r="AI22" s="47" t="s">
        <v>931</v>
      </c>
      <c r="AJ22" s="47" t="s">
        <v>365</v>
      </c>
      <c r="AK22" s="47" t="s">
        <v>930</v>
      </c>
      <c r="AL22" s="47" t="s">
        <v>931</v>
      </c>
      <c r="AM22" s="47" t="s">
        <v>931</v>
      </c>
      <c r="AN22" s="37"/>
    </row>
    <row r="23" spans="1:40" hidden="1">
      <c r="A23" s="47" t="s">
        <v>982</v>
      </c>
      <c r="B23" s="47" t="s">
        <v>919</v>
      </c>
      <c r="C23" s="47" t="s">
        <v>1122</v>
      </c>
      <c r="D23" s="47">
        <f t="shared" si="0"/>
        <v>761344</v>
      </c>
      <c r="E23" s="47" t="s">
        <v>212</v>
      </c>
      <c r="F23" s="47" t="s">
        <v>213</v>
      </c>
      <c r="G23" s="47" t="s">
        <v>36</v>
      </c>
      <c r="H23" s="47" t="s">
        <v>1100</v>
      </c>
      <c r="I23" s="47" t="s">
        <v>1123</v>
      </c>
      <c r="J23" s="47" t="s">
        <v>944</v>
      </c>
      <c r="K23" s="47" t="s">
        <v>163</v>
      </c>
      <c r="L23" s="47" t="s">
        <v>1124</v>
      </c>
      <c r="M23" s="47" t="s">
        <v>1025</v>
      </c>
      <c r="N23" s="47" t="s">
        <v>1026</v>
      </c>
      <c r="O23" s="47" t="s">
        <v>930</v>
      </c>
      <c r="P23" s="47" t="s">
        <v>930</v>
      </c>
      <c r="Q23" s="47" t="str">
        <f t="shared" si="1"/>
        <v xml:space="preserve"> Sáng T4:</v>
      </c>
      <c r="R23" s="47" t="s">
        <v>947</v>
      </c>
      <c r="S23" s="47" t="s">
        <v>1059</v>
      </c>
      <c r="T23" s="47" t="s">
        <v>1125</v>
      </c>
      <c r="U23" s="47" t="s">
        <v>931</v>
      </c>
      <c r="V23" s="47" t="s">
        <v>16</v>
      </c>
      <c r="W23" s="47" t="s">
        <v>931</v>
      </c>
      <c r="X23" s="47" t="s">
        <v>1030</v>
      </c>
      <c r="Y23" s="47" t="s">
        <v>36</v>
      </c>
      <c r="Z23" s="47" t="s">
        <v>1126</v>
      </c>
      <c r="AA23" s="47" t="s">
        <v>1127</v>
      </c>
      <c r="AB23" s="47" t="s">
        <v>1128</v>
      </c>
      <c r="AC23" s="47" t="s">
        <v>515</v>
      </c>
      <c r="AD23" s="47" t="s">
        <v>1129</v>
      </c>
      <c r="AE23" s="47" t="s">
        <v>937</v>
      </c>
      <c r="AF23" s="47" t="s">
        <v>931</v>
      </c>
      <c r="AG23" s="47" t="s">
        <v>931</v>
      </c>
      <c r="AH23" s="47" t="s">
        <v>364</v>
      </c>
      <c r="AI23" s="47" t="s">
        <v>931</v>
      </c>
      <c r="AJ23" s="47" t="s">
        <v>365</v>
      </c>
      <c r="AK23" s="47" t="s">
        <v>930</v>
      </c>
      <c r="AL23" s="47" t="s">
        <v>931</v>
      </c>
      <c r="AM23" s="47" t="s">
        <v>931</v>
      </c>
      <c r="AN23" s="37"/>
    </row>
    <row r="24" spans="1:40" hidden="1">
      <c r="A24" s="47" t="s">
        <v>982</v>
      </c>
      <c r="B24" s="47" t="s">
        <v>919</v>
      </c>
      <c r="C24" s="47" t="s">
        <v>1130</v>
      </c>
      <c r="D24" s="47">
        <f t="shared" si="0"/>
        <v>761348</v>
      </c>
      <c r="E24" s="47" t="s">
        <v>212</v>
      </c>
      <c r="F24" s="47" t="s">
        <v>213</v>
      </c>
      <c r="G24" s="47" t="s">
        <v>35</v>
      </c>
      <c r="H24" s="47" t="s">
        <v>1100</v>
      </c>
      <c r="I24" s="47" t="s">
        <v>1131</v>
      </c>
      <c r="J24" s="47" t="s">
        <v>944</v>
      </c>
      <c r="K24" s="47" t="s">
        <v>163</v>
      </c>
      <c r="L24" s="47" t="s">
        <v>1109</v>
      </c>
      <c r="M24" s="47" t="s">
        <v>1025</v>
      </c>
      <c r="N24" s="47" t="s">
        <v>1026</v>
      </c>
      <c r="O24" s="47" t="s">
        <v>930</v>
      </c>
      <c r="P24" s="47" t="s">
        <v>930</v>
      </c>
      <c r="Q24" s="47" t="str">
        <f t="shared" si="1"/>
        <v xml:space="preserve"> Sáng T4:</v>
      </c>
      <c r="R24" s="47" t="s">
        <v>947</v>
      </c>
      <c r="S24" s="47" t="s">
        <v>1059</v>
      </c>
      <c r="T24" s="47" t="s">
        <v>1132</v>
      </c>
      <c r="U24" s="47" t="s">
        <v>931</v>
      </c>
      <c r="V24" s="47" t="s">
        <v>19</v>
      </c>
      <c r="W24" s="47" t="s">
        <v>931</v>
      </c>
      <c r="X24" s="47" t="s">
        <v>1030</v>
      </c>
      <c r="Y24" s="47" t="s">
        <v>35</v>
      </c>
      <c r="Z24" s="47" t="s">
        <v>1133</v>
      </c>
      <c r="AA24" s="47" t="s">
        <v>1134</v>
      </c>
      <c r="AB24" s="47" t="s">
        <v>1135</v>
      </c>
      <c r="AC24" s="47" t="s">
        <v>515</v>
      </c>
      <c r="AD24" s="47" t="s">
        <v>1136</v>
      </c>
      <c r="AE24" s="47" t="s">
        <v>937</v>
      </c>
      <c r="AF24" s="47" t="s">
        <v>931</v>
      </c>
      <c r="AG24" s="47" t="s">
        <v>1137</v>
      </c>
      <c r="AH24" s="47" t="s">
        <v>364</v>
      </c>
      <c r="AI24" s="47" t="s">
        <v>931</v>
      </c>
      <c r="AJ24" s="47" t="s">
        <v>365</v>
      </c>
      <c r="AK24" s="47" t="s">
        <v>930</v>
      </c>
      <c r="AL24" s="47" t="s">
        <v>931</v>
      </c>
      <c r="AM24" s="47" t="s">
        <v>931</v>
      </c>
      <c r="AN24" s="37"/>
    </row>
    <row r="25" spans="1:40" hidden="1">
      <c r="A25" s="47" t="s">
        <v>982</v>
      </c>
      <c r="B25" s="47" t="s">
        <v>919</v>
      </c>
      <c r="C25" s="47" t="s">
        <v>1138</v>
      </c>
      <c r="D25" s="47">
        <f t="shared" si="0"/>
        <v>761485</v>
      </c>
      <c r="E25" s="47" t="s">
        <v>159</v>
      </c>
      <c r="F25" s="47" t="s">
        <v>160</v>
      </c>
      <c r="G25" s="47" t="s">
        <v>931</v>
      </c>
      <c r="H25" s="47" t="s">
        <v>931</v>
      </c>
      <c r="I25" s="47" t="s">
        <v>1139</v>
      </c>
      <c r="J25" s="47" t="s">
        <v>1024</v>
      </c>
      <c r="K25" s="47" t="s">
        <v>163</v>
      </c>
      <c r="L25" s="47" t="s">
        <v>1118</v>
      </c>
      <c r="M25" s="47" t="s">
        <v>1057</v>
      </c>
      <c r="N25" s="47" t="s">
        <v>1026</v>
      </c>
      <c r="O25" s="47" t="s">
        <v>930</v>
      </c>
      <c r="P25" s="47" t="s">
        <v>930</v>
      </c>
      <c r="Q25" s="47" t="str">
        <f t="shared" si="1"/>
        <v xml:space="preserve"> Sáng T6:</v>
      </c>
      <c r="R25" s="47" t="s">
        <v>947</v>
      </c>
      <c r="S25" s="47" t="s">
        <v>1140</v>
      </c>
      <c r="T25" s="47" t="s">
        <v>1141</v>
      </c>
      <c r="U25" s="47" t="s">
        <v>931</v>
      </c>
      <c r="V25" s="47" t="s">
        <v>19</v>
      </c>
      <c r="W25" s="47" t="s">
        <v>931</v>
      </c>
      <c r="X25" s="47" t="s">
        <v>931</v>
      </c>
      <c r="Y25" s="47" t="s">
        <v>931</v>
      </c>
      <c r="Z25" s="47" t="s">
        <v>931</v>
      </c>
      <c r="AA25" s="47" t="s">
        <v>931</v>
      </c>
      <c r="AB25" s="47" t="s">
        <v>931</v>
      </c>
      <c r="AC25" s="47" t="s">
        <v>447</v>
      </c>
      <c r="AD25" s="47" t="s">
        <v>1142</v>
      </c>
      <c r="AE25" s="47" t="s">
        <v>937</v>
      </c>
      <c r="AF25" s="47" t="s">
        <v>931</v>
      </c>
      <c r="AG25" s="47" t="s">
        <v>931</v>
      </c>
      <c r="AH25" s="47" t="s">
        <v>931</v>
      </c>
      <c r="AI25" s="47" t="s">
        <v>931</v>
      </c>
      <c r="AJ25" s="47" t="s">
        <v>931</v>
      </c>
      <c r="AK25" s="47" t="s">
        <v>930</v>
      </c>
      <c r="AL25" s="47" t="s">
        <v>931</v>
      </c>
      <c r="AM25" s="47" t="s">
        <v>931</v>
      </c>
      <c r="AN25" s="37"/>
    </row>
    <row r="26" spans="1:40" hidden="1">
      <c r="A26" s="47" t="s">
        <v>982</v>
      </c>
      <c r="B26" s="47" t="s">
        <v>919</v>
      </c>
      <c r="C26" s="47" t="s">
        <v>1143</v>
      </c>
      <c r="D26" s="47">
        <f t="shared" si="0"/>
        <v>761387</v>
      </c>
      <c r="E26" s="47" t="s">
        <v>1144</v>
      </c>
      <c r="F26" s="47" t="s">
        <v>1145</v>
      </c>
      <c r="G26" s="47" t="s">
        <v>387</v>
      </c>
      <c r="H26" s="47" t="s">
        <v>1146</v>
      </c>
      <c r="I26" s="47" t="s">
        <v>1147</v>
      </c>
      <c r="J26" s="47" t="s">
        <v>944</v>
      </c>
      <c r="K26" s="47" t="s">
        <v>163</v>
      </c>
      <c r="L26" s="47" t="s">
        <v>987</v>
      </c>
      <c r="M26" s="47" t="s">
        <v>987</v>
      </c>
      <c r="N26" s="47" t="s">
        <v>929</v>
      </c>
      <c r="O26" s="47" t="s">
        <v>930</v>
      </c>
      <c r="P26" s="47" t="s">
        <v>930</v>
      </c>
      <c r="Q26" s="47" t="str">
        <f t="shared" si="1"/>
        <v/>
      </c>
      <c r="R26" s="47" t="str">
        <f t="shared" ref="R26:R31" si="2">LEFT(Q26,5)</f>
        <v/>
      </c>
      <c r="S26" s="47"/>
      <c r="T26" s="47" t="s">
        <v>931</v>
      </c>
      <c r="U26" s="47" t="s">
        <v>931</v>
      </c>
      <c r="V26" s="47" t="s">
        <v>931</v>
      </c>
      <c r="W26" s="47" t="s">
        <v>931</v>
      </c>
      <c r="X26" s="47" t="s">
        <v>932</v>
      </c>
      <c r="Y26" s="47" t="s">
        <v>387</v>
      </c>
      <c r="Z26" s="47" t="s">
        <v>1148</v>
      </c>
      <c r="AA26" s="47" t="s">
        <v>1149</v>
      </c>
      <c r="AB26" s="47" t="s">
        <v>931</v>
      </c>
      <c r="AC26" s="47" t="s">
        <v>931</v>
      </c>
      <c r="AD26" s="47" t="s">
        <v>1150</v>
      </c>
      <c r="AE26" s="47" t="s">
        <v>937</v>
      </c>
      <c r="AF26" s="47" t="s">
        <v>931</v>
      </c>
      <c r="AG26" s="47" t="s">
        <v>931</v>
      </c>
      <c r="AH26" s="47" t="s">
        <v>931</v>
      </c>
      <c r="AI26" s="47" t="s">
        <v>931</v>
      </c>
      <c r="AJ26" s="47" t="s">
        <v>931</v>
      </c>
      <c r="AK26" s="47" t="s">
        <v>930</v>
      </c>
      <c r="AL26" s="47" t="s">
        <v>931</v>
      </c>
      <c r="AM26" s="47" t="s">
        <v>931</v>
      </c>
      <c r="AN26" s="37"/>
    </row>
    <row r="27" spans="1:40" hidden="1">
      <c r="A27" s="47" t="s">
        <v>982</v>
      </c>
      <c r="B27" s="47" t="s">
        <v>919</v>
      </c>
      <c r="C27" s="47" t="s">
        <v>1151</v>
      </c>
      <c r="D27" s="47">
        <f t="shared" si="0"/>
        <v>761386</v>
      </c>
      <c r="E27" s="47" t="s">
        <v>1152</v>
      </c>
      <c r="F27" s="47" t="s">
        <v>1153</v>
      </c>
      <c r="G27" s="47" t="s">
        <v>1154</v>
      </c>
      <c r="H27" s="47" t="s">
        <v>969</v>
      </c>
      <c r="I27" s="47" t="s">
        <v>1147</v>
      </c>
      <c r="J27" s="47" t="s">
        <v>944</v>
      </c>
      <c r="K27" s="47" t="s">
        <v>163</v>
      </c>
      <c r="L27" s="47" t="s">
        <v>987</v>
      </c>
      <c r="M27" s="47" t="s">
        <v>987</v>
      </c>
      <c r="N27" s="47" t="s">
        <v>929</v>
      </c>
      <c r="O27" s="47" t="s">
        <v>930</v>
      </c>
      <c r="P27" s="47" t="s">
        <v>930</v>
      </c>
      <c r="Q27" s="47" t="str">
        <f t="shared" si="1"/>
        <v/>
      </c>
      <c r="R27" s="47" t="str">
        <f t="shared" si="2"/>
        <v/>
      </c>
      <c r="S27" s="47"/>
      <c r="T27" s="47" t="s">
        <v>931</v>
      </c>
      <c r="U27" s="47" t="s">
        <v>931</v>
      </c>
      <c r="V27" s="47" t="s">
        <v>931</v>
      </c>
      <c r="W27" s="47" t="s">
        <v>931</v>
      </c>
      <c r="X27" s="47" t="s">
        <v>932</v>
      </c>
      <c r="Y27" s="47" t="s">
        <v>1154</v>
      </c>
      <c r="Z27" s="47" t="s">
        <v>1155</v>
      </c>
      <c r="AA27" s="47" t="s">
        <v>1156</v>
      </c>
      <c r="AB27" s="47" t="s">
        <v>931</v>
      </c>
      <c r="AC27" s="47" t="s">
        <v>1154</v>
      </c>
      <c r="AD27" s="47" t="s">
        <v>1150</v>
      </c>
      <c r="AE27" s="47" t="s">
        <v>937</v>
      </c>
      <c r="AF27" s="47" t="s">
        <v>931</v>
      </c>
      <c r="AG27" s="47" t="s">
        <v>931</v>
      </c>
      <c r="AH27" s="47" t="s">
        <v>931</v>
      </c>
      <c r="AI27" s="47" t="s">
        <v>931</v>
      </c>
      <c r="AJ27" s="47" t="s">
        <v>931</v>
      </c>
      <c r="AK27" s="47" t="s">
        <v>930</v>
      </c>
      <c r="AL27" s="47" t="s">
        <v>931</v>
      </c>
      <c r="AM27" s="47" t="s">
        <v>931</v>
      </c>
      <c r="AN27" s="37"/>
    </row>
    <row r="28" spans="1:40" hidden="1">
      <c r="A28" s="47" t="s">
        <v>982</v>
      </c>
      <c r="B28" s="47" t="s">
        <v>919</v>
      </c>
      <c r="C28" s="47" t="s">
        <v>1157</v>
      </c>
      <c r="D28" s="47">
        <f t="shared" si="0"/>
        <v>761388</v>
      </c>
      <c r="E28" s="47" t="s">
        <v>1158</v>
      </c>
      <c r="F28" s="47" t="s">
        <v>1159</v>
      </c>
      <c r="G28" s="47" t="s">
        <v>1160</v>
      </c>
      <c r="H28" s="47" t="s">
        <v>969</v>
      </c>
      <c r="I28" s="47" t="s">
        <v>1147</v>
      </c>
      <c r="J28" s="47" t="s">
        <v>944</v>
      </c>
      <c r="K28" s="47" t="s">
        <v>163</v>
      </c>
      <c r="L28" s="47" t="s">
        <v>987</v>
      </c>
      <c r="M28" s="47" t="s">
        <v>987</v>
      </c>
      <c r="N28" s="47" t="s">
        <v>929</v>
      </c>
      <c r="O28" s="47" t="s">
        <v>930</v>
      </c>
      <c r="P28" s="47" t="s">
        <v>930</v>
      </c>
      <c r="Q28" s="47" t="str">
        <f t="shared" si="1"/>
        <v/>
      </c>
      <c r="R28" s="47" t="str">
        <f t="shared" si="2"/>
        <v/>
      </c>
      <c r="S28" s="47"/>
      <c r="T28" s="47" t="s">
        <v>931</v>
      </c>
      <c r="U28" s="47" t="s">
        <v>931</v>
      </c>
      <c r="V28" s="47" t="s">
        <v>931</v>
      </c>
      <c r="W28" s="47" t="s">
        <v>931</v>
      </c>
      <c r="X28" s="47" t="s">
        <v>932</v>
      </c>
      <c r="Y28" s="47" t="s">
        <v>1160</v>
      </c>
      <c r="Z28" s="47" t="s">
        <v>1161</v>
      </c>
      <c r="AA28" s="47" t="s">
        <v>1162</v>
      </c>
      <c r="AB28" s="47" t="s">
        <v>931</v>
      </c>
      <c r="AC28" s="47" t="s">
        <v>1160</v>
      </c>
      <c r="AD28" s="47" t="s">
        <v>1150</v>
      </c>
      <c r="AE28" s="47" t="s">
        <v>1021</v>
      </c>
      <c r="AF28" s="47" t="s">
        <v>931</v>
      </c>
      <c r="AG28" s="47" t="s">
        <v>931</v>
      </c>
      <c r="AH28" s="47" t="s">
        <v>364</v>
      </c>
      <c r="AI28" s="47" t="s">
        <v>931</v>
      </c>
      <c r="AJ28" s="47" t="s">
        <v>365</v>
      </c>
      <c r="AK28" s="47" t="s">
        <v>930</v>
      </c>
      <c r="AL28" s="47" t="s">
        <v>931</v>
      </c>
      <c r="AM28" s="47" t="s">
        <v>931</v>
      </c>
      <c r="AN28" s="37"/>
    </row>
    <row r="29" spans="1:40" hidden="1">
      <c r="A29" s="47" t="s">
        <v>982</v>
      </c>
      <c r="B29" s="47" t="s">
        <v>919</v>
      </c>
      <c r="C29" s="47" t="s">
        <v>1163</v>
      </c>
      <c r="D29" s="47">
        <f t="shared" si="0"/>
        <v>761385</v>
      </c>
      <c r="E29" s="47" t="s">
        <v>1035</v>
      </c>
      <c r="F29" s="47" t="s">
        <v>1036</v>
      </c>
      <c r="G29" s="47" t="s">
        <v>1164</v>
      </c>
      <c r="H29" s="47" t="s">
        <v>969</v>
      </c>
      <c r="I29" s="47" t="s">
        <v>1147</v>
      </c>
      <c r="J29" s="47" t="s">
        <v>944</v>
      </c>
      <c r="K29" s="47" t="s">
        <v>163</v>
      </c>
      <c r="L29" s="47" t="s">
        <v>987</v>
      </c>
      <c r="M29" s="47" t="s">
        <v>987</v>
      </c>
      <c r="N29" s="47" t="s">
        <v>929</v>
      </c>
      <c r="O29" s="47" t="s">
        <v>930</v>
      </c>
      <c r="P29" s="47" t="s">
        <v>930</v>
      </c>
      <c r="Q29" s="47" t="str">
        <f t="shared" si="1"/>
        <v/>
      </c>
      <c r="R29" s="47" t="str">
        <f t="shared" si="2"/>
        <v/>
      </c>
      <c r="S29" s="47"/>
      <c r="T29" s="47" t="s">
        <v>931</v>
      </c>
      <c r="U29" s="47" t="s">
        <v>931</v>
      </c>
      <c r="V29" s="47" t="s">
        <v>931</v>
      </c>
      <c r="W29" s="47" t="s">
        <v>931</v>
      </c>
      <c r="X29" s="47" t="s">
        <v>932</v>
      </c>
      <c r="Y29" s="47" t="s">
        <v>1164</v>
      </c>
      <c r="Z29" s="47" t="s">
        <v>1165</v>
      </c>
      <c r="AA29" s="47" t="s">
        <v>1166</v>
      </c>
      <c r="AB29" s="47" t="s">
        <v>931</v>
      </c>
      <c r="AC29" s="47" t="s">
        <v>515</v>
      </c>
      <c r="AD29" s="47" t="s">
        <v>1150</v>
      </c>
      <c r="AE29" s="47" t="s">
        <v>937</v>
      </c>
      <c r="AF29" s="47" t="s">
        <v>931</v>
      </c>
      <c r="AG29" s="47" t="s">
        <v>931</v>
      </c>
      <c r="AH29" s="47" t="s">
        <v>931</v>
      </c>
      <c r="AI29" s="47" t="s">
        <v>931</v>
      </c>
      <c r="AJ29" s="47" t="s">
        <v>931</v>
      </c>
      <c r="AK29" s="47" t="s">
        <v>930</v>
      </c>
      <c r="AL29" s="47" t="s">
        <v>931</v>
      </c>
      <c r="AM29" s="47" t="s">
        <v>931</v>
      </c>
      <c r="AN29" s="37"/>
    </row>
    <row r="30" spans="1:40" hidden="1">
      <c r="A30" s="47" t="s">
        <v>982</v>
      </c>
      <c r="B30" s="47" t="s">
        <v>919</v>
      </c>
      <c r="C30" s="47" t="s">
        <v>1167</v>
      </c>
      <c r="D30" s="47">
        <f t="shared" si="0"/>
        <v>761268</v>
      </c>
      <c r="E30" s="47" t="s">
        <v>1168</v>
      </c>
      <c r="F30" s="47" t="s">
        <v>1169</v>
      </c>
      <c r="G30" s="47" t="s">
        <v>931</v>
      </c>
      <c r="H30" s="47" t="s">
        <v>1170</v>
      </c>
      <c r="I30" s="47" t="s">
        <v>1171</v>
      </c>
      <c r="J30" s="47" t="s">
        <v>1172</v>
      </c>
      <c r="K30" s="47" t="s">
        <v>163</v>
      </c>
      <c r="L30" s="47" t="s">
        <v>1102</v>
      </c>
      <c r="M30" s="47" t="s">
        <v>1173</v>
      </c>
      <c r="N30" s="47" t="s">
        <v>929</v>
      </c>
      <c r="O30" s="47" t="s">
        <v>930</v>
      </c>
      <c r="P30" s="47" t="s">
        <v>930</v>
      </c>
      <c r="Q30" s="47" t="str">
        <f t="shared" si="1"/>
        <v/>
      </c>
      <c r="R30" s="47" t="str">
        <f t="shared" si="2"/>
        <v/>
      </c>
      <c r="S30" s="47"/>
      <c r="T30" s="47" t="s">
        <v>931</v>
      </c>
      <c r="U30" s="47" t="s">
        <v>931</v>
      </c>
      <c r="V30" s="47" t="s">
        <v>931</v>
      </c>
      <c r="W30" s="47" t="s">
        <v>931</v>
      </c>
      <c r="X30" s="47" t="s">
        <v>995</v>
      </c>
      <c r="Y30" s="47" t="s">
        <v>931</v>
      </c>
      <c r="Z30" s="47" t="s">
        <v>931</v>
      </c>
      <c r="AA30" s="47" t="s">
        <v>931</v>
      </c>
      <c r="AB30" s="47" t="s">
        <v>931</v>
      </c>
      <c r="AC30" s="47" t="s">
        <v>931</v>
      </c>
      <c r="AD30" s="47" t="s">
        <v>1174</v>
      </c>
      <c r="AE30" s="47" t="s">
        <v>937</v>
      </c>
      <c r="AF30" s="47" t="s">
        <v>931</v>
      </c>
      <c r="AG30" s="47" t="s">
        <v>931</v>
      </c>
      <c r="AH30" s="47" t="s">
        <v>931</v>
      </c>
      <c r="AI30" s="47" t="s">
        <v>931</v>
      </c>
      <c r="AJ30" s="47" t="s">
        <v>931</v>
      </c>
      <c r="AK30" s="47" t="s">
        <v>930</v>
      </c>
      <c r="AL30" s="47" t="s">
        <v>931</v>
      </c>
      <c r="AM30" s="47" t="s">
        <v>931</v>
      </c>
      <c r="AN30" s="37"/>
    </row>
    <row r="31" spans="1:40" hidden="1">
      <c r="A31" s="47" t="s">
        <v>982</v>
      </c>
      <c r="B31" s="47" t="s">
        <v>919</v>
      </c>
      <c r="C31" s="47" t="s">
        <v>1175</v>
      </c>
      <c r="D31" s="47">
        <f t="shared" si="0"/>
        <v>761245</v>
      </c>
      <c r="E31" s="47" t="s">
        <v>1176</v>
      </c>
      <c r="F31" s="47" t="s">
        <v>1177</v>
      </c>
      <c r="G31" s="47" t="s">
        <v>931</v>
      </c>
      <c r="H31" s="47" t="s">
        <v>1088</v>
      </c>
      <c r="I31" s="47" t="s">
        <v>1178</v>
      </c>
      <c r="J31" s="47" t="s">
        <v>1179</v>
      </c>
      <c r="K31" s="47" t="s">
        <v>163</v>
      </c>
      <c r="L31" s="47" t="s">
        <v>987</v>
      </c>
      <c r="M31" s="47" t="s">
        <v>987</v>
      </c>
      <c r="N31" s="47" t="s">
        <v>8</v>
      </c>
      <c r="O31" s="47" t="s">
        <v>930</v>
      </c>
      <c r="P31" s="47" t="s">
        <v>930</v>
      </c>
      <c r="Q31" s="47" t="str">
        <f t="shared" si="1"/>
        <v/>
      </c>
      <c r="R31" s="47" t="str">
        <f t="shared" si="2"/>
        <v/>
      </c>
      <c r="S31" s="47"/>
      <c r="T31" s="47" t="s">
        <v>931</v>
      </c>
      <c r="U31" s="47" t="s">
        <v>931</v>
      </c>
      <c r="V31" s="47" t="s">
        <v>931</v>
      </c>
      <c r="W31" s="47" t="s">
        <v>931</v>
      </c>
      <c r="X31" s="47" t="s">
        <v>931</v>
      </c>
      <c r="Y31" s="47" t="s">
        <v>931</v>
      </c>
      <c r="Z31" s="47" t="s">
        <v>931</v>
      </c>
      <c r="AA31" s="47" t="s">
        <v>931</v>
      </c>
      <c r="AB31" s="47" t="s">
        <v>931</v>
      </c>
      <c r="AC31" s="47" t="s">
        <v>931</v>
      </c>
      <c r="AD31" s="47" t="s">
        <v>1180</v>
      </c>
      <c r="AE31" s="47" t="s">
        <v>937</v>
      </c>
      <c r="AF31" s="47" t="s">
        <v>931</v>
      </c>
      <c r="AG31" s="47" t="s">
        <v>931</v>
      </c>
      <c r="AH31" s="47" t="s">
        <v>931</v>
      </c>
      <c r="AI31" s="47" t="s">
        <v>931</v>
      </c>
      <c r="AJ31" s="47" t="s">
        <v>931</v>
      </c>
      <c r="AK31" s="47" t="s">
        <v>930</v>
      </c>
      <c r="AL31" s="47" t="s">
        <v>931</v>
      </c>
      <c r="AM31" s="47" t="s">
        <v>931</v>
      </c>
      <c r="AN31" s="37"/>
    </row>
    <row r="32" spans="1:40" hidden="1">
      <c r="A32" s="47" t="s">
        <v>982</v>
      </c>
      <c r="B32" s="47" t="s">
        <v>919</v>
      </c>
      <c r="C32" s="47" t="s">
        <v>1181</v>
      </c>
      <c r="D32" s="47">
        <f t="shared" si="0"/>
        <v>761398</v>
      </c>
      <c r="E32" s="47" t="s">
        <v>261</v>
      </c>
      <c r="F32" s="47" t="s">
        <v>262</v>
      </c>
      <c r="G32" s="47" t="s">
        <v>931</v>
      </c>
      <c r="H32" s="47" t="s">
        <v>931</v>
      </c>
      <c r="I32" s="47" t="s">
        <v>1182</v>
      </c>
      <c r="J32" s="47" t="s">
        <v>1024</v>
      </c>
      <c r="K32" s="47" t="s">
        <v>163</v>
      </c>
      <c r="L32" s="47" t="s">
        <v>1118</v>
      </c>
      <c r="M32" s="47" t="s">
        <v>1025</v>
      </c>
      <c r="N32" s="47" t="s">
        <v>1026</v>
      </c>
      <c r="O32" s="47" t="s">
        <v>930</v>
      </c>
      <c r="P32" s="47" t="s">
        <v>930</v>
      </c>
      <c r="Q32" s="47" t="str">
        <f t="shared" si="1"/>
        <v xml:space="preserve"> Sáng T2:</v>
      </c>
      <c r="R32" s="47" t="s">
        <v>947</v>
      </c>
      <c r="S32" s="47" t="s">
        <v>1103</v>
      </c>
      <c r="T32" s="47" t="s">
        <v>1183</v>
      </c>
      <c r="U32" s="47" t="s">
        <v>931</v>
      </c>
      <c r="V32" s="47" t="s">
        <v>18</v>
      </c>
      <c r="W32" s="47" t="s">
        <v>931</v>
      </c>
      <c r="X32" s="47" t="s">
        <v>982</v>
      </c>
      <c r="Y32" s="47" t="s">
        <v>931</v>
      </c>
      <c r="Z32" s="47" t="s">
        <v>931</v>
      </c>
      <c r="AA32" s="47" t="s">
        <v>931</v>
      </c>
      <c r="AB32" s="47" t="s">
        <v>931</v>
      </c>
      <c r="AC32" s="47" t="s">
        <v>438</v>
      </c>
      <c r="AD32" s="47" t="s">
        <v>1184</v>
      </c>
      <c r="AE32" s="47" t="s">
        <v>937</v>
      </c>
      <c r="AF32" s="47" t="s">
        <v>931</v>
      </c>
      <c r="AG32" s="47" t="s">
        <v>931</v>
      </c>
      <c r="AH32" s="47" t="s">
        <v>364</v>
      </c>
      <c r="AI32" s="47" t="s">
        <v>931</v>
      </c>
      <c r="AJ32" s="47" t="s">
        <v>365</v>
      </c>
      <c r="AK32" s="47" t="s">
        <v>930</v>
      </c>
      <c r="AL32" s="47" t="s">
        <v>931</v>
      </c>
      <c r="AM32" s="47" t="s">
        <v>931</v>
      </c>
      <c r="AN32" s="37"/>
    </row>
    <row r="33" spans="1:40" hidden="1">
      <c r="A33" s="47" t="s">
        <v>982</v>
      </c>
      <c r="B33" s="47" t="s">
        <v>919</v>
      </c>
      <c r="C33" s="47" t="s">
        <v>1185</v>
      </c>
      <c r="D33" s="47">
        <f t="shared" si="0"/>
        <v>761084</v>
      </c>
      <c r="E33" s="47" t="s">
        <v>1186</v>
      </c>
      <c r="F33" s="47" t="s">
        <v>1187</v>
      </c>
      <c r="G33" s="47" t="s">
        <v>931</v>
      </c>
      <c r="H33" s="47" t="s">
        <v>1188</v>
      </c>
      <c r="I33" s="47" t="s">
        <v>1189</v>
      </c>
      <c r="J33" s="47" t="s">
        <v>944</v>
      </c>
      <c r="K33" s="47" t="s">
        <v>163</v>
      </c>
      <c r="L33" s="47" t="s">
        <v>971</v>
      </c>
      <c r="M33" s="47" t="s">
        <v>1124</v>
      </c>
      <c r="N33" s="47" t="s">
        <v>1190</v>
      </c>
      <c r="O33" s="47" t="s">
        <v>930</v>
      </c>
      <c r="P33" s="47" t="s">
        <v>930</v>
      </c>
      <c r="Q33" s="47" t="str">
        <f t="shared" si="1"/>
        <v/>
      </c>
      <c r="R33" s="47" t="str">
        <f>LEFT(Q33,5)</f>
        <v/>
      </c>
      <c r="S33" s="47"/>
      <c r="T33" s="47" t="s">
        <v>931</v>
      </c>
      <c r="U33" s="47" t="s">
        <v>931</v>
      </c>
      <c r="V33" s="47" t="s">
        <v>931</v>
      </c>
      <c r="W33" s="47" t="s">
        <v>931</v>
      </c>
      <c r="X33" s="47" t="s">
        <v>982</v>
      </c>
      <c r="Y33" s="47" t="s">
        <v>931</v>
      </c>
      <c r="Z33" s="47" t="s">
        <v>931</v>
      </c>
      <c r="AA33" s="47" t="s">
        <v>931</v>
      </c>
      <c r="AB33" s="47" t="s">
        <v>931</v>
      </c>
      <c r="AC33" s="47" t="s">
        <v>414</v>
      </c>
      <c r="AD33" s="47" t="s">
        <v>1191</v>
      </c>
      <c r="AE33" s="47" t="s">
        <v>937</v>
      </c>
      <c r="AF33" s="47" t="s">
        <v>931</v>
      </c>
      <c r="AG33" s="47" t="s">
        <v>931</v>
      </c>
      <c r="AH33" s="47" t="s">
        <v>931</v>
      </c>
      <c r="AI33" s="47" t="s">
        <v>931</v>
      </c>
      <c r="AJ33" s="47" t="s">
        <v>931</v>
      </c>
      <c r="AK33" s="47" t="s">
        <v>930</v>
      </c>
      <c r="AL33" s="47" t="s">
        <v>931</v>
      </c>
      <c r="AM33" s="47" t="s">
        <v>931</v>
      </c>
      <c r="AN33" s="37"/>
    </row>
    <row r="34" spans="1:40" hidden="1">
      <c r="A34" s="47" t="s">
        <v>982</v>
      </c>
      <c r="B34" s="47" t="s">
        <v>919</v>
      </c>
      <c r="C34" s="47" t="s">
        <v>1192</v>
      </c>
      <c r="D34" s="47">
        <f t="shared" si="0"/>
        <v>755074</v>
      </c>
      <c r="E34" s="47" t="s">
        <v>431</v>
      </c>
      <c r="F34" s="47" t="s">
        <v>432</v>
      </c>
      <c r="G34" s="47" t="s">
        <v>1193</v>
      </c>
      <c r="H34" s="47" t="s">
        <v>1194</v>
      </c>
      <c r="I34" s="47" t="s">
        <v>1195</v>
      </c>
      <c r="J34" s="47" t="s">
        <v>1013</v>
      </c>
      <c r="K34" s="47" t="s">
        <v>163</v>
      </c>
      <c r="L34" s="47" t="s">
        <v>1196</v>
      </c>
      <c r="M34" s="47" t="s">
        <v>1197</v>
      </c>
      <c r="N34" s="47" t="s">
        <v>946</v>
      </c>
      <c r="O34" s="47" t="s">
        <v>930</v>
      </c>
      <c r="P34" s="47" t="s">
        <v>930</v>
      </c>
      <c r="Q34" s="47" t="str">
        <f t="shared" si="1"/>
        <v xml:space="preserve"> Tối T2: </v>
      </c>
      <c r="R34" s="47" t="str">
        <f>LEFT(Q34,5)</f>
        <v xml:space="preserve"> Tối </v>
      </c>
      <c r="S34" s="47"/>
      <c r="T34" s="47" t="s">
        <v>1198</v>
      </c>
      <c r="U34" s="47" t="s">
        <v>931</v>
      </c>
      <c r="V34" s="47" t="s">
        <v>1199</v>
      </c>
      <c r="W34" s="47" t="s">
        <v>931</v>
      </c>
      <c r="X34" s="47" t="s">
        <v>931</v>
      </c>
      <c r="Y34" s="47" t="s">
        <v>1193</v>
      </c>
      <c r="Z34" s="47" t="s">
        <v>1200</v>
      </c>
      <c r="AA34" s="47" t="s">
        <v>1201</v>
      </c>
      <c r="AB34" s="47" t="s">
        <v>931</v>
      </c>
      <c r="AC34" s="47" t="s">
        <v>1202</v>
      </c>
      <c r="AD34" s="47" t="s">
        <v>1203</v>
      </c>
      <c r="AE34" s="47" t="s">
        <v>937</v>
      </c>
      <c r="AF34" s="47" t="s">
        <v>931</v>
      </c>
      <c r="AG34" s="47" t="s">
        <v>931</v>
      </c>
      <c r="AH34" s="47" t="s">
        <v>931</v>
      </c>
      <c r="AI34" s="47" t="s">
        <v>931</v>
      </c>
      <c r="AJ34" s="47" t="s">
        <v>931</v>
      </c>
      <c r="AK34" s="47" t="s">
        <v>930</v>
      </c>
      <c r="AL34" s="47" t="s">
        <v>931</v>
      </c>
      <c r="AM34" s="47" t="s">
        <v>931</v>
      </c>
      <c r="AN34" s="37"/>
    </row>
    <row r="35" spans="1:40" hidden="1">
      <c r="A35" s="47" t="s">
        <v>982</v>
      </c>
      <c r="B35" s="47" t="s">
        <v>919</v>
      </c>
      <c r="C35" s="47" t="s">
        <v>1204</v>
      </c>
      <c r="D35" s="47">
        <f t="shared" si="0"/>
        <v>755073</v>
      </c>
      <c r="E35" s="47" t="s">
        <v>1205</v>
      </c>
      <c r="F35" s="47" t="s">
        <v>1206</v>
      </c>
      <c r="G35" s="47" t="s">
        <v>44</v>
      </c>
      <c r="H35" s="47" t="s">
        <v>924</v>
      </c>
      <c r="I35" s="47" t="s">
        <v>1195</v>
      </c>
      <c r="J35" s="47" t="s">
        <v>1013</v>
      </c>
      <c r="K35" s="47" t="s">
        <v>163</v>
      </c>
      <c r="L35" s="47" t="s">
        <v>1207</v>
      </c>
      <c r="M35" s="47" t="s">
        <v>1197</v>
      </c>
      <c r="N35" s="47" t="s">
        <v>946</v>
      </c>
      <c r="O35" s="47" t="s">
        <v>930</v>
      </c>
      <c r="P35" s="47" t="s">
        <v>930</v>
      </c>
      <c r="Q35" s="47" t="str">
        <f t="shared" si="1"/>
        <v xml:space="preserve"> Tối T3: </v>
      </c>
      <c r="R35" s="47" t="str">
        <f>LEFT(Q35,5)</f>
        <v xml:space="preserve"> Tối </v>
      </c>
      <c r="S35" s="47"/>
      <c r="T35" s="47" t="s">
        <v>1208</v>
      </c>
      <c r="U35" s="47" t="s">
        <v>931</v>
      </c>
      <c r="V35" s="47" t="s">
        <v>1199</v>
      </c>
      <c r="W35" s="47" t="s">
        <v>931</v>
      </c>
      <c r="X35" s="47" t="s">
        <v>931</v>
      </c>
      <c r="Y35" s="47" t="s">
        <v>44</v>
      </c>
      <c r="Z35" s="47" t="s">
        <v>1209</v>
      </c>
      <c r="AA35" s="47" t="s">
        <v>1210</v>
      </c>
      <c r="AB35" s="47" t="s">
        <v>931</v>
      </c>
      <c r="AC35" s="47" t="s">
        <v>837</v>
      </c>
      <c r="AD35" s="47" t="s">
        <v>1203</v>
      </c>
      <c r="AE35" s="47" t="s">
        <v>937</v>
      </c>
      <c r="AF35" s="47" t="s">
        <v>931</v>
      </c>
      <c r="AG35" s="47" t="s">
        <v>931</v>
      </c>
      <c r="AH35" s="47" t="s">
        <v>931</v>
      </c>
      <c r="AI35" s="47" t="s">
        <v>931</v>
      </c>
      <c r="AJ35" s="47" t="s">
        <v>931</v>
      </c>
      <c r="AK35" s="47" t="s">
        <v>930</v>
      </c>
      <c r="AL35" s="47" t="s">
        <v>931</v>
      </c>
      <c r="AM35" s="47" t="s">
        <v>931</v>
      </c>
      <c r="AN35" s="37"/>
    </row>
    <row r="36" spans="1:40" hidden="1">
      <c r="A36" s="47" t="s">
        <v>982</v>
      </c>
      <c r="B36" s="47" t="s">
        <v>919</v>
      </c>
      <c r="C36" s="47" t="s">
        <v>1211</v>
      </c>
      <c r="D36" s="47" t="e">
        <f t="shared" si="0"/>
        <v>#VALUE!</v>
      </c>
      <c r="E36" s="47" t="s">
        <v>1212</v>
      </c>
      <c r="F36" s="47" t="s">
        <v>1213</v>
      </c>
      <c r="G36" s="47" t="s">
        <v>451</v>
      </c>
      <c r="H36" s="47" t="s">
        <v>969</v>
      </c>
      <c r="I36" s="47" t="s">
        <v>925</v>
      </c>
      <c r="J36" s="47" t="s">
        <v>926</v>
      </c>
      <c r="K36" s="47" t="s">
        <v>163</v>
      </c>
      <c r="L36" s="47" t="s">
        <v>1109</v>
      </c>
      <c r="M36" s="47" t="s">
        <v>1004</v>
      </c>
      <c r="N36" s="47" t="s">
        <v>946</v>
      </c>
      <c r="O36" s="47" t="s">
        <v>930</v>
      </c>
      <c r="P36" s="47" t="s">
        <v>930</v>
      </c>
      <c r="Q36" s="47" t="str">
        <f t="shared" si="1"/>
        <v xml:space="preserve"> Tối T2: </v>
      </c>
      <c r="R36" s="47" t="str">
        <f>LEFT(Q36,5)</f>
        <v xml:space="preserve"> Tối </v>
      </c>
      <c r="S36" s="47"/>
      <c r="T36" s="47" t="s">
        <v>1214</v>
      </c>
      <c r="U36" s="47" t="s">
        <v>931</v>
      </c>
      <c r="V36" s="47" t="s">
        <v>1006</v>
      </c>
      <c r="W36" s="47" t="s">
        <v>931</v>
      </c>
      <c r="X36" s="47" t="s">
        <v>932</v>
      </c>
      <c r="Y36" s="47" t="s">
        <v>451</v>
      </c>
      <c r="Z36" s="47" t="s">
        <v>1215</v>
      </c>
      <c r="AA36" s="47" t="s">
        <v>1216</v>
      </c>
      <c r="AB36" s="47" t="s">
        <v>931</v>
      </c>
      <c r="AC36" s="47" t="s">
        <v>931</v>
      </c>
      <c r="AD36" s="47" t="s">
        <v>936</v>
      </c>
      <c r="AE36" s="47" t="s">
        <v>937</v>
      </c>
      <c r="AF36" s="47" t="s">
        <v>931</v>
      </c>
      <c r="AG36" s="47" t="s">
        <v>1217</v>
      </c>
      <c r="AH36" s="47" t="s">
        <v>931</v>
      </c>
      <c r="AI36" s="47" t="s">
        <v>931</v>
      </c>
      <c r="AJ36" s="47" t="s">
        <v>931</v>
      </c>
      <c r="AK36" s="47" t="s">
        <v>930</v>
      </c>
      <c r="AL36" s="47" t="s">
        <v>931</v>
      </c>
      <c r="AM36" s="47" t="s">
        <v>931</v>
      </c>
      <c r="AN36" s="37"/>
    </row>
    <row r="37" spans="1:40" hidden="1">
      <c r="A37" s="47" t="s">
        <v>982</v>
      </c>
      <c r="B37" s="47" t="s">
        <v>919</v>
      </c>
      <c r="C37" s="47" t="s">
        <v>1218</v>
      </c>
      <c r="D37" s="47" t="e">
        <f t="shared" si="0"/>
        <v>#VALUE!</v>
      </c>
      <c r="E37" s="47" t="s">
        <v>69</v>
      </c>
      <c r="F37" s="47" t="s">
        <v>281</v>
      </c>
      <c r="G37" s="47" t="s">
        <v>491</v>
      </c>
      <c r="H37" s="47" t="s">
        <v>969</v>
      </c>
      <c r="I37" s="47" t="s">
        <v>925</v>
      </c>
      <c r="J37" s="47" t="s">
        <v>926</v>
      </c>
      <c r="K37" s="47" t="s">
        <v>163</v>
      </c>
      <c r="L37" s="47" t="s">
        <v>1173</v>
      </c>
      <c r="M37" s="47" t="s">
        <v>1004</v>
      </c>
      <c r="N37" s="47" t="s">
        <v>946</v>
      </c>
      <c r="O37" s="47" t="s">
        <v>930</v>
      </c>
      <c r="P37" s="47" t="s">
        <v>930</v>
      </c>
      <c r="Q37" s="47" t="str">
        <f t="shared" si="1"/>
        <v xml:space="preserve"> Sáng T2:</v>
      </c>
      <c r="R37" s="47" t="s">
        <v>947</v>
      </c>
      <c r="S37" s="47"/>
      <c r="T37" s="47" t="s">
        <v>1219</v>
      </c>
      <c r="U37" s="47" t="s">
        <v>931</v>
      </c>
      <c r="V37" s="47" t="s">
        <v>1220</v>
      </c>
      <c r="W37" s="47" t="s">
        <v>931</v>
      </c>
      <c r="X37" s="47" t="s">
        <v>932</v>
      </c>
      <c r="Y37" s="47" t="s">
        <v>491</v>
      </c>
      <c r="Z37" s="47" t="s">
        <v>1221</v>
      </c>
      <c r="AA37" s="47" t="s">
        <v>1222</v>
      </c>
      <c r="AB37" s="47" t="s">
        <v>931</v>
      </c>
      <c r="AC37" s="47" t="s">
        <v>990</v>
      </c>
      <c r="AD37" s="47" t="s">
        <v>936</v>
      </c>
      <c r="AE37" s="47" t="s">
        <v>937</v>
      </c>
      <c r="AF37" s="47" t="s">
        <v>931</v>
      </c>
      <c r="AG37" s="47" t="s">
        <v>1223</v>
      </c>
      <c r="AH37" s="47" t="s">
        <v>931</v>
      </c>
      <c r="AI37" s="47" t="s">
        <v>931</v>
      </c>
      <c r="AJ37" s="47" t="s">
        <v>931</v>
      </c>
      <c r="AK37" s="47" t="s">
        <v>930</v>
      </c>
      <c r="AL37" s="47" t="s">
        <v>931</v>
      </c>
      <c r="AM37" s="47" t="s">
        <v>931</v>
      </c>
      <c r="AN37" s="37"/>
    </row>
    <row r="38" spans="1:40" hidden="1">
      <c r="A38" s="47" t="s">
        <v>982</v>
      </c>
      <c r="B38" s="47" t="s">
        <v>919</v>
      </c>
      <c r="C38" s="47" t="s">
        <v>1224</v>
      </c>
      <c r="D38" s="47">
        <f t="shared" si="0"/>
        <v>161388</v>
      </c>
      <c r="E38" s="47" t="s">
        <v>63</v>
      </c>
      <c r="F38" s="47" t="s">
        <v>473</v>
      </c>
      <c r="G38" s="47" t="s">
        <v>479</v>
      </c>
      <c r="H38" s="47" t="s">
        <v>1053</v>
      </c>
      <c r="I38" s="47" t="s">
        <v>1225</v>
      </c>
      <c r="J38" s="47" t="s">
        <v>1055</v>
      </c>
      <c r="K38" s="47" t="s">
        <v>163</v>
      </c>
      <c r="L38" s="47" t="s">
        <v>1057</v>
      </c>
      <c r="M38" s="47" t="s">
        <v>1056</v>
      </c>
      <c r="N38" s="47" t="s">
        <v>1058</v>
      </c>
      <c r="O38" s="47" t="s">
        <v>930</v>
      </c>
      <c r="P38" s="47" t="s">
        <v>930</v>
      </c>
      <c r="Q38" s="47" t="str">
        <f t="shared" si="1"/>
        <v xml:space="preserve"> Sáng T2:</v>
      </c>
      <c r="R38" s="47" t="s">
        <v>947</v>
      </c>
      <c r="S38" s="47" t="s">
        <v>1103</v>
      </c>
      <c r="T38" s="47" t="s">
        <v>1226</v>
      </c>
      <c r="U38" s="47" t="s">
        <v>1227</v>
      </c>
      <c r="V38" s="47" t="s">
        <v>480</v>
      </c>
      <c r="W38" s="47" t="s">
        <v>931</v>
      </c>
      <c r="X38" s="47" t="s">
        <v>932</v>
      </c>
      <c r="Y38" s="47" t="s">
        <v>479</v>
      </c>
      <c r="Z38" s="47" t="s">
        <v>1228</v>
      </c>
      <c r="AA38" s="47" t="s">
        <v>1229</v>
      </c>
      <c r="AB38" s="47" t="s">
        <v>931</v>
      </c>
      <c r="AC38" s="47" t="s">
        <v>438</v>
      </c>
      <c r="AD38" s="47" t="s">
        <v>991</v>
      </c>
      <c r="AE38" s="47" t="s">
        <v>937</v>
      </c>
      <c r="AF38" s="47" t="s">
        <v>1230</v>
      </c>
      <c r="AG38" s="47" t="s">
        <v>1231</v>
      </c>
      <c r="AH38" s="47" t="s">
        <v>364</v>
      </c>
      <c r="AI38" s="47" t="s">
        <v>931</v>
      </c>
      <c r="AJ38" s="47" t="s">
        <v>365</v>
      </c>
      <c r="AK38" s="47" t="s">
        <v>930</v>
      </c>
      <c r="AL38" s="47" t="s">
        <v>931</v>
      </c>
      <c r="AM38" s="47" t="s">
        <v>931</v>
      </c>
      <c r="AN38" s="37"/>
    </row>
    <row r="39" spans="1:40" hidden="1">
      <c r="A39" s="47" t="s">
        <v>982</v>
      </c>
      <c r="B39" s="47" t="s">
        <v>919</v>
      </c>
      <c r="C39" s="47" t="s">
        <v>1232</v>
      </c>
      <c r="D39" s="47" t="e">
        <f t="shared" si="0"/>
        <v>#VALUE!</v>
      </c>
      <c r="E39" s="47" t="s">
        <v>1233</v>
      </c>
      <c r="F39" s="47" t="s">
        <v>1234</v>
      </c>
      <c r="G39" s="47" t="s">
        <v>1235</v>
      </c>
      <c r="H39" s="47" t="s">
        <v>969</v>
      </c>
      <c r="I39" s="47" t="s">
        <v>925</v>
      </c>
      <c r="J39" s="47" t="s">
        <v>926</v>
      </c>
      <c r="K39" s="47" t="s">
        <v>163</v>
      </c>
      <c r="L39" s="47" t="s">
        <v>1236</v>
      </c>
      <c r="M39" s="47" t="s">
        <v>1004</v>
      </c>
      <c r="N39" s="47" t="s">
        <v>946</v>
      </c>
      <c r="O39" s="47" t="s">
        <v>930</v>
      </c>
      <c r="P39" s="47" t="s">
        <v>930</v>
      </c>
      <c r="Q39" s="47" t="str">
        <f t="shared" si="1"/>
        <v xml:space="preserve"> Sáng T7:</v>
      </c>
      <c r="R39" s="47" t="s">
        <v>947</v>
      </c>
      <c r="S39" s="47"/>
      <c r="T39" s="47" t="s">
        <v>1237</v>
      </c>
      <c r="U39" s="47" t="s">
        <v>931</v>
      </c>
      <c r="V39" s="47" t="s">
        <v>1238</v>
      </c>
      <c r="W39" s="47" t="s">
        <v>931</v>
      </c>
      <c r="X39" s="47" t="s">
        <v>932</v>
      </c>
      <c r="Y39" s="47" t="s">
        <v>1235</v>
      </c>
      <c r="Z39" s="47" t="s">
        <v>1239</v>
      </c>
      <c r="AA39" s="47" t="s">
        <v>1240</v>
      </c>
      <c r="AB39" s="47" t="s">
        <v>931</v>
      </c>
      <c r="AC39" s="47" t="s">
        <v>931</v>
      </c>
      <c r="AD39" s="47" t="s">
        <v>936</v>
      </c>
      <c r="AE39" s="47" t="s">
        <v>937</v>
      </c>
      <c r="AF39" s="47" t="s">
        <v>931</v>
      </c>
      <c r="AG39" s="47" t="s">
        <v>1241</v>
      </c>
      <c r="AH39" s="47" t="s">
        <v>931</v>
      </c>
      <c r="AI39" s="47" t="s">
        <v>931</v>
      </c>
      <c r="AJ39" s="47" t="s">
        <v>931</v>
      </c>
      <c r="AK39" s="47" t="s">
        <v>930</v>
      </c>
      <c r="AL39" s="47" t="s">
        <v>931</v>
      </c>
      <c r="AM39" s="47" t="s">
        <v>931</v>
      </c>
      <c r="AN39" s="37"/>
    </row>
    <row r="40" spans="1:40" hidden="1">
      <c r="A40" s="47" t="s">
        <v>982</v>
      </c>
      <c r="B40" s="47" t="s">
        <v>919</v>
      </c>
      <c r="C40" s="47" t="s">
        <v>1242</v>
      </c>
      <c r="D40" s="47" t="e">
        <f t="shared" si="0"/>
        <v>#VALUE!</v>
      </c>
      <c r="E40" s="47" t="s">
        <v>1243</v>
      </c>
      <c r="F40" s="47" t="s">
        <v>1244</v>
      </c>
      <c r="G40" s="47" t="s">
        <v>1245</v>
      </c>
      <c r="H40" s="47" t="s">
        <v>924</v>
      </c>
      <c r="I40" s="47" t="s">
        <v>925</v>
      </c>
      <c r="J40" s="47" t="s">
        <v>926</v>
      </c>
      <c r="K40" s="47" t="s">
        <v>163</v>
      </c>
      <c r="L40" s="47" t="s">
        <v>1246</v>
      </c>
      <c r="M40" s="47" t="s">
        <v>1004</v>
      </c>
      <c r="N40" s="47" t="s">
        <v>946</v>
      </c>
      <c r="O40" s="47" t="s">
        <v>930</v>
      </c>
      <c r="P40" s="47" t="s">
        <v>930</v>
      </c>
      <c r="Q40" s="47" t="str">
        <f t="shared" si="1"/>
        <v xml:space="preserve"> Tối T2: </v>
      </c>
      <c r="R40" s="47" t="str">
        <f>LEFT(Q40,5)</f>
        <v xml:space="preserve"> Tối </v>
      </c>
      <c r="S40" s="47"/>
      <c r="T40" s="47" t="s">
        <v>1247</v>
      </c>
      <c r="U40" s="47" t="s">
        <v>931</v>
      </c>
      <c r="V40" s="47" t="s">
        <v>1248</v>
      </c>
      <c r="W40" s="47" t="s">
        <v>931</v>
      </c>
      <c r="X40" s="47" t="s">
        <v>995</v>
      </c>
      <c r="Y40" s="47" t="s">
        <v>1245</v>
      </c>
      <c r="Z40" s="47" t="s">
        <v>1249</v>
      </c>
      <c r="AA40" s="47" t="s">
        <v>1250</v>
      </c>
      <c r="AB40" s="47" t="s">
        <v>931</v>
      </c>
      <c r="AC40" s="47" t="s">
        <v>1251</v>
      </c>
      <c r="AD40" s="47" t="s">
        <v>936</v>
      </c>
      <c r="AE40" s="47" t="s">
        <v>937</v>
      </c>
      <c r="AF40" s="47" t="s">
        <v>1252</v>
      </c>
      <c r="AG40" s="47" t="s">
        <v>1252</v>
      </c>
      <c r="AH40" s="47" t="s">
        <v>931</v>
      </c>
      <c r="AI40" s="47" t="s">
        <v>931</v>
      </c>
      <c r="AJ40" s="47" t="s">
        <v>931</v>
      </c>
      <c r="AK40" s="47" t="s">
        <v>930</v>
      </c>
      <c r="AL40" s="47" t="s">
        <v>931</v>
      </c>
      <c r="AM40" s="47" t="s">
        <v>931</v>
      </c>
      <c r="AN40" s="37"/>
    </row>
    <row r="41" spans="1:40" hidden="1">
      <c r="A41" s="47" t="s">
        <v>982</v>
      </c>
      <c r="B41" s="47" t="s">
        <v>919</v>
      </c>
      <c r="C41" s="47" t="s">
        <v>1253</v>
      </c>
      <c r="D41" s="47" t="e">
        <f t="shared" si="0"/>
        <v>#VALUE!</v>
      </c>
      <c r="E41" s="47" t="s">
        <v>1254</v>
      </c>
      <c r="F41" s="47" t="s">
        <v>1255</v>
      </c>
      <c r="G41" s="47" t="s">
        <v>1256</v>
      </c>
      <c r="H41" s="47" t="s">
        <v>969</v>
      </c>
      <c r="I41" s="47" t="s">
        <v>925</v>
      </c>
      <c r="J41" s="47" t="s">
        <v>1257</v>
      </c>
      <c r="K41" s="47" t="s">
        <v>163</v>
      </c>
      <c r="L41" s="47" t="s">
        <v>1258</v>
      </c>
      <c r="M41" s="47" t="s">
        <v>1004</v>
      </c>
      <c r="N41" s="47" t="s">
        <v>946</v>
      </c>
      <c r="O41" s="47" t="s">
        <v>930</v>
      </c>
      <c r="P41" s="47" t="s">
        <v>930</v>
      </c>
      <c r="Q41" s="47" t="str">
        <f t="shared" si="1"/>
        <v xml:space="preserve"> Sáng T7:</v>
      </c>
      <c r="R41" s="47" t="s">
        <v>947</v>
      </c>
      <c r="S41" s="47"/>
      <c r="T41" s="47" t="s">
        <v>1259</v>
      </c>
      <c r="U41" s="47" t="s">
        <v>931</v>
      </c>
      <c r="V41" s="47" t="s">
        <v>1260</v>
      </c>
      <c r="W41" s="47" t="s">
        <v>931</v>
      </c>
      <c r="X41" s="47" t="s">
        <v>995</v>
      </c>
      <c r="Y41" s="47" t="s">
        <v>1256</v>
      </c>
      <c r="Z41" s="47" t="s">
        <v>1261</v>
      </c>
      <c r="AA41" s="47" t="s">
        <v>1262</v>
      </c>
      <c r="AB41" s="47" t="s">
        <v>931</v>
      </c>
      <c r="AC41" s="47" t="s">
        <v>931</v>
      </c>
      <c r="AD41" s="47" t="s">
        <v>936</v>
      </c>
      <c r="AE41" s="47" t="s">
        <v>931</v>
      </c>
      <c r="AF41" s="47" t="s">
        <v>1263</v>
      </c>
      <c r="AG41" s="47" t="s">
        <v>1264</v>
      </c>
      <c r="AH41" s="47" t="s">
        <v>931</v>
      </c>
      <c r="AI41" s="47" t="s">
        <v>931</v>
      </c>
      <c r="AJ41" s="47" t="s">
        <v>931</v>
      </c>
      <c r="AK41" s="47" t="s">
        <v>930</v>
      </c>
      <c r="AL41" s="47" t="s">
        <v>931</v>
      </c>
      <c r="AM41" s="47" t="s">
        <v>931</v>
      </c>
      <c r="AN41" s="37"/>
    </row>
    <row r="42" spans="1:40" hidden="1">
      <c r="A42" s="47" t="s">
        <v>982</v>
      </c>
      <c r="B42" s="47" t="s">
        <v>919</v>
      </c>
      <c r="C42" s="47" t="s">
        <v>1265</v>
      </c>
      <c r="D42" s="47" t="e">
        <f t="shared" si="0"/>
        <v>#VALUE!</v>
      </c>
      <c r="E42" s="47" t="s">
        <v>1266</v>
      </c>
      <c r="F42" s="47" t="s">
        <v>1267</v>
      </c>
      <c r="G42" s="47" t="s">
        <v>1268</v>
      </c>
      <c r="H42" s="47" t="s">
        <v>924</v>
      </c>
      <c r="I42" s="47" t="s">
        <v>925</v>
      </c>
      <c r="J42" s="47" t="s">
        <v>1257</v>
      </c>
      <c r="K42" s="47" t="s">
        <v>163</v>
      </c>
      <c r="L42" s="47" t="s">
        <v>1269</v>
      </c>
      <c r="M42" s="47" t="s">
        <v>1004</v>
      </c>
      <c r="N42" s="47" t="s">
        <v>946</v>
      </c>
      <c r="O42" s="47" t="s">
        <v>930</v>
      </c>
      <c r="P42" s="47" t="s">
        <v>930</v>
      </c>
      <c r="Q42" s="47" t="str">
        <f t="shared" si="1"/>
        <v xml:space="preserve"> Sáng CN:</v>
      </c>
      <c r="R42" s="47" t="s">
        <v>947</v>
      </c>
      <c r="S42" s="47"/>
      <c r="T42" s="47" t="s">
        <v>1270</v>
      </c>
      <c r="U42" s="47" t="s">
        <v>931</v>
      </c>
      <c r="V42" s="47" t="s">
        <v>1260</v>
      </c>
      <c r="W42" s="47" t="s">
        <v>931</v>
      </c>
      <c r="X42" s="47" t="s">
        <v>932</v>
      </c>
      <c r="Y42" s="47" t="s">
        <v>1268</v>
      </c>
      <c r="Z42" s="47" t="s">
        <v>1271</v>
      </c>
      <c r="AA42" s="47" t="s">
        <v>1272</v>
      </c>
      <c r="AB42" s="47" t="s">
        <v>931</v>
      </c>
      <c r="AC42" s="47" t="s">
        <v>931</v>
      </c>
      <c r="AD42" s="47" t="s">
        <v>936</v>
      </c>
      <c r="AE42" s="47" t="s">
        <v>931</v>
      </c>
      <c r="AF42" s="47" t="s">
        <v>931</v>
      </c>
      <c r="AG42" s="47" t="s">
        <v>931</v>
      </c>
      <c r="AH42" s="47" t="s">
        <v>931</v>
      </c>
      <c r="AI42" s="47" t="s">
        <v>931</v>
      </c>
      <c r="AJ42" s="47" t="s">
        <v>931</v>
      </c>
      <c r="AK42" s="47" t="s">
        <v>930</v>
      </c>
      <c r="AL42" s="47" t="s">
        <v>931</v>
      </c>
      <c r="AM42" s="47" t="s">
        <v>931</v>
      </c>
      <c r="AN42" s="37"/>
    </row>
    <row r="43" spans="1:40" hidden="1">
      <c r="A43" s="47" t="s">
        <v>982</v>
      </c>
      <c r="B43" s="47" t="s">
        <v>919</v>
      </c>
      <c r="C43" s="47" t="s">
        <v>1273</v>
      </c>
      <c r="D43" s="47" t="e">
        <f t="shared" si="0"/>
        <v>#VALUE!</v>
      </c>
      <c r="E43" s="47" t="s">
        <v>71</v>
      </c>
      <c r="F43" s="47" t="s">
        <v>326</v>
      </c>
      <c r="G43" s="47" t="s">
        <v>1274</v>
      </c>
      <c r="H43" s="47" t="s">
        <v>924</v>
      </c>
      <c r="I43" s="47" t="s">
        <v>925</v>
      </c>
      <c r="J43" s="47" t="s">
        <v>926</v>
      </c>
      <c r="K43" s="47" t="s">
        <v>163</v>
      </c>
      <c r="L43" s="47" t="s">
        <v>1275</v>
      </c>
      <c r="M43" s="47" t="s">
        <v>1004</v>
      </c>
      <c r="N43" s="47" t="s">
        <v>946</v>
      </c>
      <c r="O43" s="47" t="s">
        <v>930</v>
      </c>
      <c r="P43" s="47" t="s">
        <v>930</v>
      </c>
      <c r="Q43" s="47" t="str">
        <f t="shared" si="1"/>
        <v xml:space="preserve">  T3: Tiế</v>
      </c>
      <c r="R43" s="47" t="str">
        <f>LEFT(Q43,5)</f>
        <v xml:space="preserve">  T3:</v>
      </c>
      <c r="S43" s="47"/>
      <c r="T43" s="47" t="s">
        <v>1276</v>
      </c>
      <c r="U43" s="47" t="s">
        <v>931</v>
      </c>
      <c r="V43" s="47" t="s">
        <v>1238</v>
      </c>
      <c r="W43" s="47" t="s">
        <v>931</v>
      </c>
      <c r="X43" s="47" t="s">
        <v>995</v>
      </c>
      <c r="Y43" s="47" t="s">
        <v>1274</v>
      </c>
      <c r="Z43" s="47" t="s">
        <v>1277</v>
      </c>
      <c r="AA43" s="47" t="s">
        <v>1278</v>
      </c>
      <c r="AB43" s="47" t="s">
        <v>931</v>
      </c>
      <c r="AC43" s="47" t="s">
        <v>402</v>
      </c>
      <c r="AD43" s="47" t="s">
        <v>936</v>
      </c>
      <c r="AE43" s="47" t="s">
        <v>937</v>
      </c>
      <c r="AF43" s="47" t="s">
        <v>1279</v>
      </c>
      <c r="AG43" s="47" t="s">
        <v>1280</v>
      </c>
      <c r="AH43" s="47" t="s">
        <v>931</v>
      </c>
      <c r="AI43" s="47" t="s">
        <v>931</v>
      </c>
      <c r="AJ43" s="47" t="s">
        <v>931</v>
      </c>
      <c r="AK43" s="47" t="s">
        <v>930</v>
      </c>
      <c r="AL43" s="47" t="s">
        <v>931</v>
      </c>
      <c r="AM43" s="47" t="s">
        <v>931</v>
      </c>
      <c r="AN43" s="37"/>
    </row>
    <row r="44" spans="1:40" hidden="1">
      <c r="A44" s="47" t="s">
        <v>982</v>
      </c>
      <c r="B44" s="47" t="s">
        <v>919</v>
      </c>
      <c r="C44" s="47" t="s">
        <v>1281</v>
      </c>
      <c r="D44" s="47" t="e">
        <f t="shared" si="0"/>
        <v>#VALUE!</v>
      </c>
      <c r="E44" s="47" t="s">
        <v>341</v>
      </c>
      <c r="F44" s="47" t="s">
        <v>342</v>
      </c>
      <c r="G44" s="47" t="s">
        <v>1164</v>
      </c>
      <c r="H44" s="47" t="s">
        <v>969</v>
      </c>
      <c r="I44" s="47" t="s">
        <v>925</v>
      </c>
      <c r="J44" s="47" t="s">
        <v>926</v>
      </c>
      <c r="K44" s="47" t="s">
        <v>163</v>
      </c>
      <c r="L44" s="47" t="s">
        <v>1282</v>
      </c>
      <c r="M44" s="47" t="s">
        <v>1004</v>
      </c>
      <c r="N44" s="47" t="s">
        <v>946</v>
      </c>
      <c r="O44" s="47" t="s">
        <v>930</v>
      </c>
      <c r="P44" s="47" t="s">
        <v>930</v>
      </c>
      <c r="Q44" s="47" t="str">
        <f t="shared" si="1"/>
        <v xml:space="preserve"> Chiều T3</v>
      </c>
      <c r="R44" s="47" t="s">
        <v>973</v>
      </c>
      <c r="S44" s="47"/>
      <c r="T44" s="47" t="s">
        <v>1283</v>
      </c>
      <c r="U44" s="47" t="s">
        <v>931</v>
      </c>
      <c r="V44" s="47" t="s">
        <v>1284</v>
      </c>
      <c r="W44" s="47" t="s">
        <v>931</v>
      </c>
      <c r="X44" s="47" t="s">
        <v>932</v>
      </c>
      <c r="Y44" s="47" t="s">
        <v>1164</v>
      </c>
      <c r="Z44" s="47" t="s">
        <v>1165</v>
      </c>
      <c r="AA44" s="47" t="s">
        <v>1166</v>
      </c>
      <c r="AB44" s="47" t="s">
        <v>931</v>
      </c>
      <c r="AC44" s="47" t="s">
        <v>515</v>
      </c>
      <c r="AD44" s="47" t="s">
        <v>936</v>
      </c>
      <c r="AE44" s="47" t="s">
        <v>937</v>
      </c>
      <c r="AF44" s="47" t="s">
        <v>931</v>
      </c>
      <c r="AG44" s="47" t="s">
        <v>1285</v>
      </c>
      <c r="AH44" s="47" t="s">
        <v>931</v>
      </c>
      <c r="AI44" s="47" t="s">
        <v>931</v>
      </c>
      <c r="AJ44" s="47" t="s">
        <v>931</v>
      </c>
      <c r="AK44" s="47" t="s">
        <v>930</v>
      </c>
      <c r="AL44" s="47" t="s">
        <v>931</v>
      </c>
      <c r="AM44" s="47" t="s">
        <v>931</v>
      </c>
      <c r="AN44" s="37"/>
    </row>
    <row r="45" spans="1:40" hidden="1">
      <c r="A45" s="47" t="s">
        <v>982</v>
      </c>
      <c r="B45" s="47" t="s">
        <v>919</v>
      </c>
      <c r="C45" s="47" t="s">
        <v>1286</v>
      </c>
      <c r="D45" s="47">
        <f t="shared" si="0"/>
        <v>161278</v>
      </c>
      <c r="E45" s="47" t="s">
        <v>383</v>
      </c>
      <c r="F45" s="47" t="s">
        <v>384</v>
      </c>
      <c r="G45" s="47" t="s">
        <v>398</v>
      </c>
      <c r="H45" s="47" t="s">
        <v>1287</v>
      </c>
      <c r="I45" s="47" t="s">
        <v>1288</v>
      </c>
      <c r="J45" s="47" t="s">
        <v>1055</v>
      </c>
      <c r="K45" s="47" t="s">
        <v>163</v>
      </c>
      <c r="L45" s="47" t="s">
        <v>1289</v>
      </c>
      <c r="M45" s="47" t="s">
        <v>1056</v>
      </c>
      <c r="N45" s="47" t="s">
        <v>1058</v>
      </c>
      <c r="O45" s="47" t="s">
        <v>930</v>
      </c>
      <c r="P45" s="47" t="s">
        <v>930</v>
      </c>
      <c r="Q45" s="47" t="str">
        <f t="shared" si="1"/>
        <v xml:space="preserve"> Sáng T4:</v>
      </c>
      <c r="R45" s="47" t="s">
        <v>947</v>
      </c>
      <c r="S45" s="47" t="s">
        <v>1059</v>
      </c>
      <c r="T45" s="47" t="s">
        <v>1290</v>
      </c>
      <c r="U45" s="47" t="s">
        <v>1291</v>
      </c>
      <c r="V45" s="47" t="s">
        <v>21</v>
      </c>
      <c r="W45" s="47" t="s">
        <v>931</v>
      </c>
      <c r="X45" s="47" t="s">
        <v>932</v>
      </c>
      <c r="Y45" s="47" t="s">
        <v>398</v>
      </c>
      <c r="Z45" s="47" t="s">
        <v>1039</v>
      </c>
      <c r="AA45" s="47" t="s">
        <v>1040</v>
      </c>
      <c r="AB45" s="47" t="s">
        <v>931</v>
      </c>
      <c r="AC45" s="47" t="s">
        <v>387</v>
      </c>
      <c r="AD45" s="47" t="s">
        <v>991</v>
      </c>
      <c r="AE45" s="47" t="s">
        <v>1292</v>
      </c>
      <c r="AF45" s="47" t="s">
        <v>931</v>
      </c>
      <c r="AG45" s="47" t="s">
        <v>1293</v>
      </c>
      <c r="AH45" s="47" t="s">
        <v>364</v>
      </c>
      <c r="AI45" s="47" t="s">
        <v>931</v>
      </c>
      <c r="AJ45" s="47" t="s">
        <v>365</v>
      </c>
      <c r="AK45" s="47" t="s">
        <v>930</v>
      </c>
      <c r="AL45" s="47" t="s">
        <v>931</v>
      </c>
      <c r="AM45" s="47" t="s">
        <v>931</v>
      </c>
      <c r="AN45" s="37"/>
    </row>
    <row r="46" spans="1:40" hidden="1">
      <c r="A46" s="47" t="s">
        <v>982</v>
      </c>
      <c r="B46" s="47" t="s">
        <v>919</v>
      </c>
      <c r="C46" s="47" t="s">
        <v>1294</v>
      </c>
      <c r="D46" s="47">
        <f t="shared" si="0"/>
        <v>161277</v>
      </c>
      <c r="E46" s="47" t="s">
        <v>383</v>
      </c>
      <c r="F46" s="47" t="s">
        <v>384</v>
      </c>
      <c r="G46" s="47" t="s">
        <v>398</v>
      </c>
      <c r="H46" s="47" t="s">
        <v>1287</v>
      </c>
      <c r="I46" s="47" t="s">
        <v>1295</v>
      </c>
      <c r="J46" s="47" t="s">
        <v>1055</v>
      </c>
      <c r="K46" s="47" t="s">
        <v>163</v>
      </c>
      <c r="L46" s="47" t="s">
        <v>956</v>
      </c>
      <c r="M46" s="47" t="s">
        <v>1056</v>
      </c>
      <c r="N46" s="47" t="s">
        <v>1058</v>
      </c>
      <c r="O46" s="47" t="s">
        <v>930</v>
      </c>
      <c r="P46" s="47" t="s">
        <v>930</v>
      </c>
      <c r="Q46" s="47" t="str">
        <f t="shared" si="1"/>
        <v xml:space="preserve"> Sáng T3:</v>
      </c>
      <c r="R46" s="47" t="s">
        <v>947</v>
      </c>
      <c r="S46" s="47" t="s">
        <v>1070</v>
      </c>
      <c r="T46" s="47" t="s">
        <v>1296</v>
      </c>
      <c r="U46" s="47" t="s">
        <v>1297</v>
      </c>
      <c r="V46" s="47" t="s">
        <v>27</v>
      </c>
      <c r="W46" s="47" t="s">
        <v>931</v>
      </c>
      <c r="X46" s="47" t="s">
        <v>932</v>
      </c>
      <c r="Y46" s="47" t="s">
        <v>398</v>
      </c>
      <c r="Z46" s="47" t="s">
        <v>1039</v>
      </c>
      <c r="AA46" s="47" t="s">
        <v>1040</v>
      </c>
      <c r="AB46" s="47" t="s">
        <v>1298</v>
      </c>
      <c r="AC46" s="47" t="s">
        <v>387</v>
      </c>
      <c r="AD46" s="47" t="s">
        <v>991</v>
      </c>
      <c r="AE46" s="47" t="s">
        <v>1292</v>
      </c>
      <c r="AF46" s="47" t="s">
        <v>931</v>
      </c>
      <c r="AG46" s="47" t="s">
        <v>1293</v>
      </c>
      <c r="AH46" s="47" t="s">
        <v>364</v>
      </c>
      <c r="AI46" s="47" t="s">
        <v>931</v>
      </c>
      <c r="AJ46" s="47" t="s">
        <v>365</v>
      </c>
      <c r="AK46" s="47" t="s">
        <v>930</v>
      </c>
      <c r="AL46" s="47" t="s">
        <v>931</v>
      </c>
      <c r="AM46" s="47" t="s">
        <v>931</v>
      </c>
      <c r="AN46" s="37"/>
    </row>
    <row r="47" spans="1:40" hidden="1">
      <c r="A47" s="47" t="s">
        <v>982</v>
      </c>
      <c r="B47" s="47" t="s">
        <v>919</v>
      </c>
      <c r="C47" s="47" t="s">
        <v>1299</v>
      </c>
      <c r="D47" s="47">
        <f t="shared" si="0"/>
        <v>161276</v>
      </c>
      <c r="E47" s="47" t="s">
        <v>383</v>
      </c>
      <c r="F47" s="47" t="s">
        <v>384</v>
      </c>
      <c r="G47" s="47" t="s">
        <v>396</v>
      </c>
      <c r="H47" s="47" t="s">
        <v>1287</v>
      </c>
      <c r="I47" s="47" t="s">
        <v>1300</v>
      </c>
      <c r="J47" s="47" t="s">
        <v>1055</v>
      </c>
      <c r="K47" s="47" t="s">
        <v>163</v>
      </c>
      <c r="L47" s="47" t="s">
        <v>1109</v>
      </c>
      <c r="M47" s="47" t="s">
        <v>1056</v>
      </c>
      <c r="N47" s="47" t="s">
        <v>1058</v>
      </c>
      <c r="O47" s="47" t="s">
        <v>930</v>
      </c>
      <c r="P47" s="47" t="s">
        <v>930</v>
      </c>
      <c r="Q47" s="47" t="str">
        <f t="shared" si="1"/>
        <v xml:space="preserve"> Sáng T3:</v>
      </c>
      <c r="R47" s="47" t="s">
        <v>947</v>
      </c>
      <c r="S47" s="47" t="s">
        <v>1070</v>
      </c>
      <c r="T47" s="47" t="s">
        <v>1301</v>
      </c>
      <c r="U47" s="47" t="s">
        <v>1302</v>
      </c>
      <c r="V47" s="47" t="s">
        <v>21</v>
      </c>
      <c r="W47" s="47" t="s">
        <v>931</v>
      </c>
      <c r="X47" s="47" t="s">
        <v>932</v>
      </c>
      <c r="Y47" s="47" t="s">
        <v>396</v>
      </c>
      <c r="Z47" s="47" t="s">
        <v>1303</v>
      </c>
      <c r="AA47" s="47" t="s">
        <v>1304</v>
      </c>
      <c r="AB47" s="47" t="s">
        <v>931</v>
      </c>
      <c r="AC47" s="47" t="s">
        <v>387</v>
      </c>
      <c r="AD47" s="47" t="s">
        <v>991</v>
      </c>
      <c r="AE47" s="47" t="s">
        <v>1292</v>
      </c>
      <c r="AF47" s="47" t="s">
        <v>1305</v>
      </c>
      <c r="AG47" s="47" t="s">
        <v>1306</v>
      </c>
      <c r="AH47" s="47" t="s">
        <v>364</v>
      </c>
      <c r="AI47" s="47" t="s">
        <v>931</v>
      </c>
      <c r="AJ47" s="47" t="s">
        <v>365</v>
      </c>
      <c r="AK47" s="47" t="s">
        <v>930</v>
      </c>
      <c r="AL47" s="47" t="s">
        <v>931</v>
      </c>
      <c r="AM47" s="47" t="s">
        <v>931</v>
      </c>
      <c r="AN47" s="37"/>
    </row>
    <row r="48" spans="1:40" hidden="1">
      <c r="A48" s="47" t="s">
        <v>982</v>
      </c>
      <c r="B48" s="47" t="s">
        <v>919</v>
      </c>
      <c r="C48" s="47" t="s">
        <v>1307</v>
      </c>
      <c r="D48" s="47">
        <f t="shared" si="0"/>
        <v>760921</v>
      </c>
      <c r="E48" s="47" t="s">
        <v>242</v>
      </c>
      <c r="F48" s="47" t="s">
        <v>243</v>
      </c>
      <c r="G48" s="47" t="s">
        <v>850</v>
      </c>
      <c r="H48" s="47" t="s">
        <v>924</v>
      </c>
      <c r="I48" s="47" t="s">
        <v>1308</v>
      </c>
      <c r="J48" s="47" t="s">
        <v>1024</v>
      </c>
      <c r="K48" s="47" t="s">
        <v>163</v>
      </c>
      <c r="L48" s="47" t="s">
        <v>1309</v>
      </c>
      <c r="M48" s="47" t="s">
        <v>1309</v>
      </c>
      <c r="N48" s="47" t="s">
        <v>929</v>
      </c>
      <c r="O48" s="47" t="s">
        <v>930</v>
      </c>
      <c r="P48" s="47" t="s">
        <v>930</v>
      </c>
      <c r="Q48" s="47" t="str">
        <f t="shared" si="1"/>
        <v/>
      </c>
      <c r="R48" s="47" t="str">
        <f t="shared" ref="R48:R53" si="3">LEFT(Q48,5)</f>
        <v/>
      </c>
      <c r="S48" s="47"/>
      <c r="T48" s="47" t="s">
        <v>931</v>
      </c>
      <c r="U48" s="47" t="s">
        <v>931</v>
      </c>
      <c r="V48" s="47" t="s">
        <v>931</v>
      </c>
      <c r="W48" s="47" t="s">
        <v>931</v>
      </c>
      <c r="X48" s="47" t="s">
        <v>932</v>
      </c>
      <c r="Y48" s="47" t="s">
        <v>850</v>
      </c>
      <c r="Z48" s="47" t="s">
        <v>1310</v>
      </c>
      <c r="AA48" s="47" t="s">
        <v>1311</v>
      </c>
      <c r="AB48" s="47" t="s">
        <v>931</v>
      </c>
      <c r="AC48" s="47" t="s">
        <v>382</v>
      </c>
      <c r="AD48" s="47" t="s">
        <v>1312</v>
      </c>
      <c r="AE48" s="47" t="s">
        <v>937</v>
      </c>
      <c r="AF48" s="47" t="s">
        <v>931</v>
      </c>
      <c r="AG48" s="47" t="s">
        <v>931</v>
      </c>
      <c r="AH48" s="47" t="s">
        <v>364</v>
      </c>
      <c r="AI48" s="47" t="s">
        <v>931</v>
      </c>
      <c r="AJ48" s="47" t="s">
        <v>365</v>
      </c>
      <c r="AK48" s="47" t="s">
        <v>930</v>
      </c>
      <c r="AL48" s="47" t="s">
        <v>931</v>
      </c>
      <c r="AM48" s="47" t="s">
        <v>931</v>
      </c>
      <c r="AN48" s="37"/>
    </row>
    <row r="49" spans="1:40" hidden="1">
      <c r="A49" s="47" t="s">
        <v>982</v>
      </c>
      <c r="B49" s="47" t="s">
        <v>919</v>
      </c>
      <c r="C49" s="47" t="s">
        <v>1313</v>
      </c>
      <c r="D49" s="47">
        <f t="shared" si="0"/>
        <v>760919</v>
      </c>
      <c r="E49" s="47" t="s">
        <v>216</v>
      </c>
      <c r="F49" s="47" t="s">
        <v>217</v>
      </c>
      <c r="G49" s="47" t="s">
        <v>536</v>
      </c>
      <c r="H49" s="47" t="s">
        <v>924</v>
      </c>
      <c r="I49" s="47" t="s">
        <v>1308</v>
      </c>
      <c r="J49" s="47" t="s">
        <v>1024</v>
      </c>
      <c r="K49" s="47" t="s">
        <v>163</v>
      </c>
      <c r="L49" s="47" t="s">
        <v>1309</v>
      </c>
      <c r="M49" s="47" t="s">
        <v>1309</v>
      </c>
      <c r="N49" s="47" t="s">
        <v>929</v>
      </c>
      <c r="O49" s="47" t="s">
        <v>930</v>
      </c>
      <c r="P49" s="47" t="s">
        <v>930</v>
      </c>
      <c r="Q49" s="47" t="str">
        <f t="shared" si="1"/>
        <v/>
      </c>
      <c r="R49" s="47" t="str">
        <f t="shared" si="3"/>
        <v/>
      </c>
      <c r="S49" s="47"/>
      <c r="T49" s="47" t="s">
        <v>931</v>
      </c>
      <c r="U49" s="47" t="s">
        <v>931</v>
      </c>
      <c r="V49" s="47" t="s">
        <v>931</v>
      </c>
      <c r="W49" s="47" t="s">
        <v>931</v>
      </c>
      <c r="X49" s="47" t="s">
        <v>932</v>
      </c>
      <c r="Y49" s="47" t="s">
        <v>536</v>
      </c>
      <c r="Z49" s="47" t="s">
        <v>1314</v>
      </c>
      <c r="AA49" s="47" t="s">
        <v>1315</v>
      </c>
      <c r="AB49" s="47" t="s">
        <v>931</v>
      </c>
      <c r="AC49" s="47" t="s">
        <v>438</v>
      </c>
      <c r="AD49" s="47" t="s">
        <v>1312</v>
      </c>
      <c r="AE49" s="47" t="s">
        <v>937</v>
      </c>
      <c r="AF49" s="47" t="s">
        <v>931</v>
      </c>
      <c r="AG49" s="47" t="s">
        <v>931</v>
      </c>
      <c r="AH49" s="47" t="s">
        <v>364</v>
      </c>
      <c r="AI49" s="47" t="s">
        <v>931</v>
      </c>
      <c r="AJ49" s="47" t="s">
        <v>365</v>
      </c>
      <c r="AK49" s="47" t="s">
        <v>930</v>
      </c>
      <c r="AL49" s="47" t="s">
        <v>931</v>
      </c>
      <c r="AM49" s="47" t="s">
        <v>931</v>
      </c>
      <c r="AN49" s="37"/>
    </row>
    <row r="50" spans="1:40" hidden="1">
      <c r="A50" s="47" t="s">
        <v>982</v>
      </c>
      <c r="B50" s="47" t="s">
        <v>919</v>
      </c>
      <c r="C50" s="47" t="s">
        <v>1316</v>
      </c>
      <c r="D50" s="47">
        <f t="shared" si="0"/>
        <v>760922</v>
      </c>
      <c r="E50" s="47" t="s">
        <v>1317</v>
      </c>
      <c r="F50" s="47" t="s">
        <v>1318</v>
      </c>
      <c r="G50" s="47" t="s">
        <v>437</v>
      </c>
      <c r="H50" s="47" t="s">
        <v>969</v>
      </c>
      <c r="I50" s="47" t="s">
        <v>1308</v>
      </c>
      <c r="J50" s="47" t="s">
        <v>1024</v>
      </c>
      <c r="K50" s="47" t="s">
        <v>163</v>
      </c>
      <c r="L50" s="47" t="s">
        <v>1319</v>
      </c>
      <c r="M50" s="47" t="s">
        <v>1319</v>
      </c>
      <c r="N50" s="47" t="s">
        <v>929</v>
      </c>
      <c r="O50" s="47" t="s">
        <v>930</v>
      </c>
      <c r="P50" s="47" t="s">
        <v>930</v>
      </c>
      <c r="Q50" s="47" t="str">
        <f t="shared" si="1"/>
        <v/>
      </c>
      <c r="R50" s="47" t="str">
        <f t="shared" si="3"/>
        <v/>
      </c>
      <c r="S50" s="47"/>
      <c r="T50" s="47" t="s">
        <v>931</v>
      </c>
      <c r="U50" s="47" t="s">
        <v>931</v>
      </c>
      <c r="V50" s="47" t="s">
        <v>931</v>
      </c>
      <c r="W50" s="47" t="s">
        <v>931</v>
      </c>
      <c r="X50" s="47" t="s">
        <v>932</v>
      </c>
      <c r="Y50" s="47" t="s">
        <v>437</v>
      </c>
      <c r="Z50" s="47" t="s">
        <v>1320</v>
      </c>
      <c r="AA50" s="47" t="s">
        <v>1321</v>
      </c>
      <c r="AB50" s="47" t="s">
        <v>931</v>
      </c>
      <c r="AC50" s="47" t="s">
        <v>437</v>
      </c>
      <c r="AD50" s="47" t="s">
        <v>1312</v>
      </c>
      <c r="AE50" s="47" t="s">
        <v>937</v>
      </c>
      <c r="AF50" s="47" t="s">
        <v>931</v>
      </c>
      <c r="AG50" s="47" t="s">
        <v>931</v>
      </c>
      <c r="AH50" s="47" t="s">
        <v>364</v>
      </c>
      <c r="AI50" s="47" t="s">
        <v>931</v>
      </c>
      <c r="AJ50" s="47" t="s">
        <v>365</v>
      </c>
      <c r="AK50" s="47" t="s">
        <v>930</v>
      </c>
      <c r="AL50" s="47" t="s">
        <v>931</v>
      </c>
      <c r="AM50" s="47" t="s">
        <v>931</v>
      </c>
      <c r="AN50" s="37"/>
    </row>
    <row r="51" spans="1:40" hidden="1">
      <c r="A51" s="47" t="s">
        <v>982</v>
      </c>
      <c r="B51" s="47" t="s">
        <v>919</v>
      </c>
      <c r="C51" s="47" t="s">
        <v>1322</v>
      </c>
      <c r="D51" s="47">
        <f t="shared" si="0"/>
        <v>760920</v>
      </c>
      <c r="E51" s="47" t="s">
        <v>1323</v>
      </c>
      <c r="F51" s="47" t="s">
        <v>1324</v>
      </c>
      <c r="G51" s="47" t="s">
        <v>489</v>
      </c>
      <c r="H51" s="47" t="s">
        <v>1325</v>
      </c>
      <c r="I51" s="47" t="s">
        <v>1308</v>
      </c>
      <c r="J51" s="47" t="s">
        <v>1024</v>
      </c>
      <c r="K51" s="47" t="s">
        <v>163</v>
      </c>
      <c r="L51" s="47" t="s">
        <v>1309</v>
      </c>
      <c r="M51" s="47" t="s">
        <v>1309</v>
      </c>
      <c r="N51" s="47" t="s">
        <v>929</v>
      </c>
      <c r="O51" s="47" t="s">
        <v>930</v>
      </c>
      <c r="P51" s="47" t="s">
        <v>930</v>
      </c>
      <c r="Q51" s="47" t="str">
        <f t="shared" si="1"/>
        <v/>
      </c>
      <c r="R51" s="47" t="str">
        <f t="shared" si="3"/>
        <v/>
      </c>
      <c r="S51" s="47"/>
      <c r="T51" s="47" t="s">
        <v>931</v>
      </c>
      <c r="U51" s="47" t="s">
        <v>931</v>
      </c>
      <c r="V51" s="47" t="s">
        <v>931</v>
      </c>
      <c r="W51" s="47" t="s">
        <v>931</v>
      </c>
      <c r="X51" s="47" t="s">
        <v>932</v>
      </c>
      <c r="Y51" s="47" t="s">
        <v>489</v>
      </c>
      <c r="Z51" s="47" t="s">
        <v>1326</v>
      </c>
      <c r="AA51" s="47" t="s">
        <v>1327</v>
      </c>
      <c r="AB51" s="47" t="s">
        <v>931</v>
      </c>
      <c r="AC51" s="47" t="s">
        <v>1328</v>
      </c>
      <c r="AD51" s="47" t="s">
        <v>1312</v>
      </c>
      <c r="AE51" s="47" t="s">
        <v>937</v>
      </c>
      <c r="AF51" s="47" t="s">
        <v>1329</v>
      </c>
      <c r="AG51" s="47" t="s">
        <v>1330</v>
      </c>
      <c r="AH51" s="47" t="s">
        <v>364</v>
      </c>
      <c r="AI51" s="47" t="s">
        <v>931</v>
      </c>
      <c r="AJ51" s="47" t="s">
        <v>365</v>
      </c>
      <c r="AK51" s="47" t="s">
        <v>930</v>
      </c>
      <c r="AL51" s="47" t="s">
        <v>931</v>
      </c>
      <c r="AM51" s="47" t="s">
        <v>931</v>
      </c>
      <c r="AN51" s="37"/>
    </row>
    <row r="52" spans="1:40" hidden="1">
      <c r="A52" s="47" t="s">
        <v>982</v>
      </c>
      <c r="B52" s="47" t="s">
        <v>919</v>
      </c>
      <c r="C52" s="47" t="s">
        <v>1331</v>
      </c>
      <c r="D52" s="47">
        <f t="shared" si="0"/>
        <v>760872</v>
      </c>
      <c r="E52" s="47" t="s">
        <v>1332</v>
      </c>
      <c r="F52" s="47" t="s">
        <v>1333</v>
      </c>
      <c r="G52" s="47" t="s">
        <v>931</v>
      </c>
      <c r="H52" s="47" t="s">
        <v>1146</v>
      </c>
      <c r="I52" s="47" t="s">
        <v>1334</v>
      </c>
      <c r="J52" s="47" t="s">
        <v>944</v>
      </c>
      <c r="K52" s="47" t="s">
        <v>163</v>
      </c>
      <c r="L52" s="47" t="s">
        <v>1335</v>
      </c>
      <c r="M52" s="47" t="s">
        <v>987</v>
      </c>
      <c r="N52" s="47" t="s">
        <v>929</v>
      </c>
      <c r="O52" s="47" t="s">
        <v>930</v>
      </c>
      <c r="P52" s="47" t="s">
        <v>930</v>
      </c>
      <c r="Q52" s="47" t="str">
        <f t="shared" si="1"/>
        <v/>
      </c>
      <c r="R52" s="47" t="str">
        <f t="shared" si="3"/>
        <v/>
      </c>
      <c r="S52" s="47"/>
      <c r="T52" s="47" t="s">
        <v>931</v>
      </c>
      <c r="U52" s="47" t="s">
        <v>931</v>
      </c>
      <c r="V52" s="47" t="s">
        <v>931</v>
      </c>
      <c r="W52" s="47" t="s">
        <v>931</v>
      </c>
      <c r="X52" s="47" t="s">
        <v>982</v>
      </c>
      <c r="Y52" s="47" t="s">
        <v>931</v>
      </c>
      <c r="Z52" s="47" t="s">
        <v>931</v>
      </c>
      <c r="AA52" s="47" t="s">
        <v>931</v>
      </c>
      <c r="AB52" s="47" t="s">
        <v>931</v>
      </c>
      <c r="AC52" s="47" t="s">
        <v>1251</v>
      </c>
      <c r="AD52" s="47" t="s">
        <v>1336</v>
      </c>
      <c r="AE52" s="47" t="s">
        <v>937</v>
      </c>
      <c r="AF52" s="47" t="s">
        <v>931</v>
      </c>
      <c r="AG52" s="47" t="s">
        <v>931</v>
      </c>
      <c r="AH52" s="47" t="s">
        <v>931</v>
      </c>
      <c r="AI52" s="47" t="s">
        <v>931</v>
      </c>
      <c r="AJ52" s="47" t="s">
        <v>931</v>
      </c>
      <c r="AK52" s="47" t="s">
        <v>930</v>
      </c>
      <c r="AL52" s="47" t="s">
        <v>931</v>
      </c>
      <c r="AM52" s="47" t="s">
        <v>931</v>
      </c>
      <c r="AN52" s="37"/>
    </row>
    <row r="53" spans="1:40" hidden="1">
      <c r="A53" s="47" t="s">
        <v>982</v>
      </c>
      <c r="B53" s="47" t="s">
        <v>919</v>
      </c>
      <c r="C53" s="47" t="s">
        <v>1337</v>
      </c>
      <c r="D53" s="47">
        <f t="shared" si="0"/>
        <v>760871</v>
      </c>
      <c r="E53" s="47" t="s">
        <v>1338</v>
      </c>
      <c r="F53" s="47" t="s">
        <v>1339</v>
      </c>
      <c r="G53" s="47" t="s">
        <v>931</v>
      </c>
      <c r="H53" s="47" t="s">
        <v>1146</v>
      </c>
      <c r="I53" s="47" t="s">
        <v>1340</v>
      </c>
      <c r="J53" s="47" t="s">
        <v>1055</v>
      </c>
      <c r="K53" s="47" t="s">
        <v>163</v>
      </c>
      <c r="L53" s="47" t="s">
        <v>945</v>
      </c>
      <c r="M53" s="47" t="s">
        <v>987</v>
      </c>
      <c r="N53" s="47" t="s">
        <v>929</v>
      </c>
      <c r="O53" s="47" t="s">
        <v>930</v>
      </c>
      <c r="P53" s="47" t="s">
        <v>930</v>
      </c>
      <c r="Q53" s="47" t="str">
        <f t="shared" si="1"/>
        <v/>
      </c>
      <c r="R53" s="47" t="str">
        <f t="shared" si="3"/>
        <v/>
      </c>
      <c r="S53" s="47"/>
      <c r="T53" s="47" t="s">
        <v>931</v>
      </c>
      <c r="U53" s="47" t="s">
        <v>931</v>
      </c>
      <c r="V53" s="47" t="s">
        <v>931</v>
      </c>
      <c r="W53" s="47" t="s">
        <v>931</v>
      </c>
      <c r="X53" s="47" t="s">
        <v>982</v>
      </c>
      <c r="Y53" s="47" t="s">
        <v>931</v>
      </c>
      <c r="Z53" s="47" t="s">
        <v>931</v>
      </c>
      <c r="AA53" s="47" t="s">
        <v>931</v>
      </c>
      <c r="AB53" s="47" t="s">
        <v>931</v>
      </c>
      <c r="AC53" s="47" t="s">
        <v>875</v>
      </c>
      <c r="AD53" s="47" t="s">
        <v>1341</v>
      </c>
      <c r="AE53" s="47" t="s">
        <v>937</v>
      </c>
      <c r="AF53" s="47" t="s">
        <v>931</v>
      </c>
      <c r="AG53" s="47" t="s">
        <v>931</v>
      </c>
      <c r="AH53" s="47" t="s">
        <v>931</v>
      </c>
      <c r="AI53" s="47" t="s">
        <v>931</v>
      </c>
      <c r="AJ53" s="47" t="s">
        <v>931</v>
      </c>
      <c r="AK53" s="47" t="s">
        <v>930</v>
      </c>
      <c r="AL53" s="47" t="s">
        <v>931</v>
      </c>
      <c r="AM53" s="47" t="s">
        <v>931</v>
      </c>
      <c r="AN53" s="37"/>
    </row>
    <row r="54" spans="1:40" hidden="1">
      <c r="A54" s="47" t="s">
        <v>982</v>
      </c>
      <c r="B54" s="47" t="s">
        <v>919</v>
      </c>
      <c r="C54" s="47" t="s">
        <v>1342</v>
      </c>
      <c r="D54" s="47">
        <f t="shared" si="0"/>
        <v>756908</v>
      </c>
      <c r="E54" s="47" t="s">
        <v>212</v>
      </c>
      <c r="F54" s="47" t="s">
        <v>213</v>
      </c>
      <c r="G54" s="47" t="s">
        <v>38</v>
      </c>
      <c r="H54" s="47" t="s">
        <v>1100</v>
      </c>
      <c r="I54" s="47" t="s">
        <v>1343</v>
      </c>
      <c r="J54" s="47" t="s">
        <v>944</v>
      </c>
      <c r="K54" s="47" t="s">
        <v>163</v>
      </c>
      <c r="L54" s="47" t="s">
        <v>1344</v>
      </c>
      <c r="M54" s="47" t="s">
        <v>1025</v>
      </c>
      <c r="N54" s="47" t="s">
        <v>1026</v>
      </c>
      <c r="O54" s="47" t="s">
        <v>930</v>
      </c>
      <c r="P54" s="47" t="s">
        <v>930</v>
      </c>
      <c r="Q54" s="47" t="str">
        <f t="shared" si="1"/>
        <v xml:space="preserve"> Chiều T6</v>
      </c>
      <c r="R54" s="47" t="s">
        <v>973</v>
      </c>
      <c r="S54" s="47" t="s">
        <v>1140</v>
      </c>
      <c r="T54" s="47" t="s">
        <v>1345</v>
      </c>
      <c r="U54" s="47" t="s">
        <v>1346</v>
      </c>
      <c r="V54" s="47" t="s">
        <v>20</v>
      </c>
      <c r="W54" s="47" t="s">
        <v>931</v>
      </c>
      <c r="X54" s="47" t="s">
        <v>1030</v>
      </c>
      <c r="Y54" s="47" t="s">
        <v>38</v>
      </c>
      <c r="Z54" s="47" t="s">
        <v>1347</v>
      </c>
      <c r="AA54" s="47" t="s">
        <v>1348</v>
      </c>
      <c r="AB54" s="47" t="s">
        <v>931</v>
      </c>
      <c r="AC54" s="47" t="s">
        <v>515</v>
      </c>
      <c r="AD54" s="47" t="s">
        <v>1349</v>
      </c>
      <c r="AE54" s="47" t="s">
        <v>937</v>
      </c>
      <c r="AF54" s="47" t="s">
        <v>1350</v>
      </c>
      <c r="AG54" s="47" t="s">
        <v>1351</v>
      </c>
      <c r="AH54" s="47" t="s">
        <v>364</v>
      </c>
      <c r="AI54" s="47" t="s">
        <v>931</v>
      </c>
      <c r="AJ54" s="47" t="s">
        <v>365</v>
      </c>
      <c r="AK54" s="47" t="s">
        <v>930</v>
      </c>
      <c r="AL54" s="47" t="s">
        <v>931</v>
      </c>
      <c r="AM54" s="47" t="s">
        <v>931</v>
      </c>
      <c r="AN54" s="37"/>
    </row>
    <row r="55" spans="1:40" hidden="1">
      <c r="A55" s="47" t="s">
        <v>982</v>
      </c>
      <c r="B55" s="47" t="s">
        <v>919</v>
      </c>
      <c r="C55" s="47" t="s">
        <v>1352</v>
      </c>
      <c r="D55" s="47">
        <f t="shared" si="0"/>
        <v>756901</v>
      </c>
      <c r="E55" s="47" t="s">
        <v>212</v>
      </c>
      <c r="F55" s="47" t="s">
        <v>213</v>
      </c>
      <c r="G55" s="47" t="s">
        <v>40</v>
      </c>
      <c r="H55" s="47" t="s">
        <v>931</v>
      </c>
      <c r="I55" s="47" t="s">
        <v>1353</v>
      </c>
      <c r="J55" s="47" t="s">
        <v>1354</v>
      </c>
      <c r="K55" s="47" t="s">
        <v>163</v>
      </c>
      <c r="L55" s="47" t="s">
        <v>1003</v>
      </c>
      <c r="M55" s="47" t="s">
        <v>1025</v>
      </c>
      <c r="N55" s="47" t="s">
        <v>1026</v>
      </c>
      <c r="O55" s="47" t="s">
        <v>930</v>
      </c>
      <c r="P55" s="47" t="s">
        <v>930</v>
      </c>
      <c r="Q55" s="47" t="str">
        <f t="shared" si="1"/>
        <v xml:space="preserve"> Sáng T5:</v>
      </c>
      <c r="R55" s="47" t="s">
        <v>947</v>
      </c>
      <c r="S55" s="47" t="s">
        <v>1027</v>
      </c>
      <c r="T55" s="47" t="s">
        <v>1355</v>
      </c>
      <c r="U55" s="47" t="s">
        <v>1356</v>
      </c>
      <c r="V55" s="47" t="s">
        <v>18</v>
      </c>
      <c r="W55" s="47" t="s">
        <v>931</v>
      </c>
      <c r="X55" s="47" t="s">
        <v>1030</v>
      </c>
      <c r="Y55" s="47" t="s">
        <v>40</v>
      </c>
      <c r="Z55" s="47" t="s">
        <v>1357</v>
      </c>
      <c r="AA55" s="47" t="s">
        <v>1358</v>
      </c>
      <c r="AB55" s="47" t="s">
        <v>1359</v>
      </c>
      <c r="AC55" s="47" t="s">
        <v>515</v>
      </c>
      <c r="AD55" s="47" t="s">
        <v>1360</v>
      </c>
      <c r="AE55" s="47" t="s">
        <v>937</v>
      </c>
      <c r="AF55" s="47" t="s">
        <v>931</v>
      </c>
      <c r="AG55" s="47" t="s">
        <v>931</v>
      </c>
      <c r="AH55" s="47" t="s">
        <v>364</v>
      </c>
      <c r="AI55" s="47" t="s">
        <v>931</v>
      </c>
      <c r="AJ55" s="47" t="s">
        <v>365</v>
      </c>
      <c r="AK55" s="47" t="s">
        <v>930</v>
      </c>
      <c r="AL55" s="47" t="s">
        <v>931</v>
      </c>
      <c r="AM55" s="47" t="s">
        <v>931</v>
      </c>
      <c r="AN55" s="37"/>
    </row>
    <row r="56" spans="1:40" hidden="1">
      <c r="A56" s="47" t="s">
        <v>982</v>
      </c>
      <c r="B56" s="47" t="s">
        <v>919</v>
      </c>
      <c r="C56" s="47" t="s">
        <v>1361</v>
      </c>
      <c r="D56" s="47">
        <f t="shared" si="0"/>
        <v>756909</v>
      </c>
      <c r="E56" s="47" t="s">
        <v>212</v>
      </c>
      <c r="F56" s="47" t="s">
        <v>213</v>
      </c>
      <c r="G56" s="47" t="s">
        <v>40</v>
      </c>
      <c r="H56" s="47" t="s">
        <v>1100</v>
      </c>
      <c r="I56" s="47" t="s">
        <v>1362</v>
      </c>
      <c r="J56" s="47" t="s">
        <v>944</v>
      </c>
      <c r="K56" s="47" t="s">
        <v>163</v>
      </c>
      <c r="L56" s="47" t="s">
        <v>1102</v>
      </c>
      <c r="M56" s="47" t="s">
        <v>1025</v>
      </c>
      <c r="N56" s="47" t="s">
        <v>1026</v>
      </c>
      <c r="O56" s="47" t="s">
        <v>930</v>
      </c>
      <c r="P56" s="47" t="s">
        <v>930</v>
      </c>
      <c r="Q56" s="47" t="str">
        <f t="shared" si="1"/>
        <v xml:space="preserve"> Chiều T3</v>
      </c>
      <c r="R56" s="47" t="s">
        <v>973</v>
      </c>
      <c r="S56" s="47" t="s">
        <v>1070</v>
      </c>
      <c r="T56" s="47" t="s">
        <v>1363</v>
      </c>
      <c r="U56" s="47" t="s">
        <v>1364</v>
      </c>
      <c r="V56" s="47" t="s">
        <v>25</v>
      </c>
      <c r="W56" s="47" t="s">
        <v>931</v>
      </c>
      <c r="X56" s="47" t="s">
        <v>1030</v>
      </c>
      <c r="Y56" s="47" t="s">
        <v>40</v>
      </c>
      <c r="Z56" s="47" t="s">
        <v>1357</v>
      </c>
      <c r="AA56" s="47" t="s">
        <v>1358</v>
      </c>
      <c r="AB56" s="47" t="s">
        <v>1365</v>
      </c>
      <c r="AC56" s="47" t="s">
        <v>515</v>
      </c>
      <c r="AD56" s="47" t="s">
        <v>1366</v>
      </c>
      <c r="AE56" s="47" t="s">
        <v>937</v>
      </c>
      <c r="AF56" s="47" t="s">
        <v>1367</v>
      </c>
      <c r="AG56" s="47" t="s">
        <v>1368</v>
      </c>
      <c r="AH56" s="47" t="s">
        <v>364</v>
      </c>
      <c r="AI56" s="47" t="s">
        <v>931</v>
      </c>
      <c r="AJ56" s="47" t="s">
        <v>365</v>
      </c>
      <c r="AK56" s="47" t="s">
        <v>930</v>
      </c>
      <c r="AL56" s="47" t="s">
        <v>931</v>
      </c>
      <c r="AM56" s="47" t="s">
        <v>931</v>
      </c>
      <c r="AN56" s="37"/>
    </row>
    <row r="57" spans="1:40" hidden="1">
      <c r="A57" s="47" t="s">
        <v>982</v>
      </c>
      <c r="B57" s="47" t="s">
        <v>919</v>
      </c>
      <c r="C57" s="47" t="s">
        <v>1369</v>
      </c>
      <c r="D57" s="47">
        <f t="shared" si="0"/>
        <v>756905</v>
      </c>
      <c r="E57" s="47" t="s">
        <v>212</v>
      </c>
      <c r="F57" s="47" t="s">
        <v>213</v>
      </c>
      <c r="G57" s="47" t="s">
        <v>36</v>
      </c>
      <c r="H57" s="47" t="s">
        <v>931</v>
      </c>
      <c r="I57" s="47" t="s">
        <v>1370</v>
      </c>
      <c r="J57" s="47" t="s">
        <v>1354</v>
      </c>
      <c r="K57" s="47" t="s">
        <v>163</v>
      </c>
      <c r="L57" s="47" t="s">
        <v>1371</v>
      </c>
      <c r="M57" s="47" t="s">
        <v>1025</v>
      </c>
      <c r="N57" s="47" t="s">
        <v>1026</v>
      </c>
      <c r="O57" s="47" t="s">
        <v>930</v>
      </c>
      <c r="P57" s="47" t="s">
        <v>930</v>
      </c>
      <c r="Q57" s="47" t="str">
        <f t="shared" si="1"/>
        <v xml:space="preserve"> Sáng T6:</v>
      </c>
      <c r="R57" s="47" t="s">
        <v>947</v>
      </c>
      <c r="S57" s="47" t="s">
        <v>1140</v>
      </c>
      <c r="T57" s="47" t="s">
        <v>1372</v>
      </c>
      <c r="U57" s="47" t="s">
        <v>1373</v>
      </c>
      <c r="V57" s="47" t="s">
        <v>18</v>
      </c>
      <c r="W57" s="47" t="s">
        <v>931</v>
      </c>
      <c r="X57" s="47" t="s">
        <v>1030</v>
      </c>
      <c r="Y57" s="47" t="s">
        <v>36</v>
      </c>
      <c r="Z57" s="47" t="s">
        <v>1126</v>
      </c>
      <c r="AA57" s="47" t="s">
        <v>1127</v>
      </c>
      <c r="AB57" s="47" t="s">
        <v>1359</v>
      </c>
      <c r="AC57" s="47" t="s">
        <v>515</v>
      </c>
      <c r="AD57" s="47" t="s">
        <v>1374</v>
      </c>
      <c r="AE57" s="47" t="s">
        <v>937</v>
      </c>
      <c r="AF57" s="47" t="s">
        <v>931</v>
      </c>
      <c r="AG57" s="47" t="s">
        <v>931</v>
      </c>
      <c r="AH57" s="47" t="s">
        <v>364</v>
      </c>
      <c r="AI57" s="47" t="s">
        <v>931</v>
      </c>
      <c r="AJ57" s="47" t="s">
        <v>365</v>
      </c>
      <c r="AK57" s="47" t="s">
        <v>930</v>
      </c>
      <c r="AL57" s="47" t="s">
        <v>931</v>
      </c>
      <c r="AM57" s="47" t="s">
        <v>931</v>
      </c>
      <c r="AN57" s="37"/>
    </row>
    <row r="58" spans="1:40" hidden="1">
      <c r="A58" s="47" t="s">
        <v>982</v>
      </c>
      <c r="B58" s="47" t="s">
        <v>919</v>
      </c>
      <c r="C58" s="47" t="s">
        <v>1375</v>
      </c>
      <c r="D58" s="47">
        <f t="shared" si="0"/>
        <v>756907</v>
      </c>
      <c r="E58" s="47" t="s">
        <v>212</v>
      </c>
      <c r="F58" s="47" t="s">
        <v>213</v>
      </c>
      <c r="G58" s="47" t="s">
        <v>38</v>
      </c>
      <c r="H58" s="47" t="s">
        <v>1100</v>
      </c>
      <c r="I58" s="47" t="s">
        <v>1376</v>
      </c>
      <c r="J58" s="47" t="s">
        <v>944</v>
      </c>
      <c r="K58" s="47" t="s">
        <v>163</v>
      </c>
      <c r="L58" s="47" t="s">
        <v>1025</v>
      </c>
      <c r="M58" s="47" t="s">
        <v>1025</v>
      </c>
      <c r="N58" s="47" t="s">
        <v>1026</v>
      </c>
      <c r="O58" s="47" t="s">
        <v>930</v>
      </c>
      <c r="P58" s="47" t="s">
        <v>930</v>
      </c>
      <c r="Q58" s="47" t="str">
        <f t="shared" si="1"/>
        <v xml:space="preserve"> Chiều T5</v>
      </c>
      <c r="R58" s="47" t="s">
        <v>973</v>
      </c>
      <c r="S58" s="47" t="s">
        <v>1027</v>
      </c>
      <c r="T58" s="47" t="s">
        <v>1377</v>
      </c>
      <c r="U58" s="47" t="s">
        <v>1378</v>
      </c>
      <c r="V58" s="47" t="s">
        <v>20</v>
      </c>
      <c r="W58" s="47" t="s">
        <v>931</v>
      </c>
      <c r="X58" s="47" t="s">
        <v>1030</v>
      </c>
      <c r="Y58" s="47" t="s">
        <v>38</v>
      </c>
      <c r="Z58" s="47" t="s">
        <v>1347</v>
      </c>
      <c r="AA58" s="47" t="s">
        <v>1348</v>
      </c>
      <c r="AB58" s="47" t="s">
        <v>1379</v>
      </c>
      <c r="AC58" s="47" t="s">
        <v>515</v>
      </c>
      <c r="AD58" s="47" t="s">
        <v>1380</v>
      </c>
      <c r="AE58" s="47" t="s">
        <v>937</v>
      </c>
      <c r="AF58" s="47" t="s">
        <v>1381</v>
      </c>
      <c r="AG58" s="47" t="s">
        <v>1382</v>
      </c>
      <c r="AH58" s="47" t="s">
        <v>364</v>
      </c>
      <c r="AI58" s="47" t="s">
        <v>931</v>
      </c>
      <c r="AJ58" s="47" t="s">
        <v>365</v>
      </c>
      <c r="AK58" s="47" t="s">
        <v>930</v>
      </c>
      <c r="AL58" s="47" t="s">
        <v>931</v>
      </c>
      <c r="AM58" s="47" t="s">
        <v>931</v>
      </c>
      <c r="AN58" s="37"/>
    </row>
    <row r="59" spans="1:40" hidden="1">
      <c r="A59" s="47" t="s">
        <v>982</v>
      </c>
      <c r="B59" s="47" t="s">
        <v>919</v>
      </c>
      <c r="C59" s="47" t="s">
        <v>1383</v>
      </c>
      <c r="D59" s="47">
        <f t="shared" si="0"/>
        <v>756906</v>
      </c>
      <c r="E59" s="47" t="s">
        <v>212</v>
      </c>
      <c r="F59" s="47" t="s">
        <v>213</v>
      </c>
      <c r="G59" s="47" t="s">
        <v>41</v>
      </c>
      <c r="H59" s="47" t="s">
        <v>1100</v>
      </c>
      <c r="I59" s="47" t="s">
        <v>1384</v>
      </c>
      <c r="J59" s="47" t="s">
        <v>1354</v>
      </c>
      <c r="K59" s="47" t="s">
        <v>163</v>
      </c>
      <c r="L59" s="47" t="s">
        <v>1102</v>
      </c>
      <c r="M59" s="47" t="s">
        <v>1025</v>
      </c>
      <c r="N59" s="47" t="s">
        <v>1026</v>
      </c>
      <c r="O59" s="47" t="s">
        <v>930</v>
      </c>
      <c r="P59" s="47" t="s">
        <v>930</v>
      </c>
      <c r="Q59" s="47" t="str">
        <f t="shared" si="1"/>
        <v xml:space="preserve"> Sáng T5:</v>
      </c>
      <c r="R59" s="47" t="s">
        <v>947</v>
      </c>
      <c r="S59" s="47" t="s">
        <v>1027</v>
      </c>
      <c r="T59" s="47" t="s">
        <v>1385</v>
      </c>
      <c r="U59" s="47" t="s">
        <v>1386</v>
      </c>
      <c r="V59" s="47" t="s">
        <v>25</v>
      </c>
      <c r="W59" s="47" t="s">
        <v>931</v>
      </c>
      <c r="X59" s="47" t="s">
        <v>1030</v>
      </c>
      <c r="Y59" s="47" t="s">
        <v>41</v>
      </c>
      <c r="Z59" s="47" t="s">
        <v>1111</v>
      </c>
      <c r="AA59" s="47" t="s">
        <v>1112</v>
      </c>
      <c r="AB59" s="47" t="s">
        <v>1387</v>
      </c>
      <c r="AC59" s="47" t="s">
        <v>515</v>
      </c>
      <c r="AD59" s="47" t="s">
        <v>1388</v>
      </c>
      <c r="AE59" s="47" t="s">
        <v>937</v>
      </c>
      <c r="AF59" s="47" t="s">
        <v>931</v>
      </c>
      <c r="AG59" s="47" t="s">
        <v>1389</v>
      </c>
      <c r="AH59" s="47" t="s">
        <v>364</v>
      </c>
      <c r="AI59" s="47" t="s">
        <v>931</v>
      </c>
      <c r="AJ59" s="47" t="s">
        <v>365</v>
      </c>
      <c r="AK59" s="47" t="s">
        <v>930</v>
      </c>
      <c r="AL59" s="47" t="s">
        <v>931</v>
      </c>
      <c r="AM59" s="47" t="s">
        <v>931</v>
      </c>
      <c r="AN59" s="37"/>
    </row>
    <row r="60" spans="1:40" hidden="1">
      <c r="A60" s="47" t="s">
        <v>982</v>
      </c>
      <c r="B60" s="47" t="s">
        <v>919</v>
      </c>
      <c r="C60" s="47" t="s">
        <v>1390</v>
      </c>
      <c r="D60" s="47">
        <f t="shared" si="0"/>
        <v>756902</v>
      </c>
      <c r="E60" s="47" t="s">
        <v>212</v>
      </c>
      <c r="F60" s="47" t="s">
        <v>213</v>
      </c>
      <c r="G60" s="47" t="s">
        <v>38</v>
      </c>
      <c r="H60" s="47" t="s">
        <v>1100</v>
      </c>
      <c r="I60" s="47" t="s">
        <v>1391</v>
      </c>
      <c r="J60" s="47" t="s">
        <v>1354</v>
      </c>
      <c r="K60" s="47" t="s">
        <v>163</v>
      </c>
      <c r="L60" s="47" t="s">
        <v>1392</v>
      </c>
      <c r="M60" s="47" t="s">
        <v>1025</v>
      </c>
      <c r="N60" s="47" t="s">
        <v>1026</v>
      </c>
      <c r="O60" s="47" t="s">
        <v>930</v>
      </c>
      <c r="P60" s="47" t="s">
        <v>930</v>
      </c>
      <c r="Q60" s="47" t="str">
        <f t="shared" si="1"/>
        <v xml:space="preserve"> Sáng T5:</v>
      </c>
      <c r="R60" s="47" t="s">
        <v>947</v>
      </c>
      <c r="S60" s="47" t="s">
        <v>1027</v>
      </c>
      <c r="T60" s="47" t="s">
        <v>1393</v>
      </c>
      <c r="U60" s="47" t="s">
        <v>1394</v>
      </c>
      <c r="V60" s="47" t="s">
        <v>20</v>
      </c>
      <c r="W60" s="47" t="s">
        <v>931</v>
      </c>
      <c r="X60" s="47" t="s">
        <v>1030</v>
      </c>
      <c r="Y60" s="47" t="s">
        <v>38</v>
      </c>
      <c r="Z60" s="47" t="s">
        <v>1347</v>
      </c>
      <c r="AA60" s="47" t="s">
        <v>1348</v>
      </c>
      <c r="AB60" s="47" t="s">
        <v>1395</v>
      </c>
      <c r="AC60" s="47" t="s">
        <v>515</v>
      </c>
      <c r="AD60" s="47" t="s">
        <v>1396</v>
      </c>
      <c r="AE60" s="47" t="s">
        <v>937</v>
      </c>
      <c r="AF60" s="47" t="s">
        <v>1397</v>
      </c>
      <c r="AG60" s="47" t="s">
        <v>1398</v>
      </c>
      <c r="AH60" s="47" t="s">
        <v>364</v>
      </c>
      <c r="AI60" s="47" t="s">
        <v>931</v>
      </c>
      <c r="AJ60" s="47" t="s">
        <v>365</v>
      </c>
      <c r="AK60" s="47" t="s">
        <v>930</v>
      </c>
      <c r="AL60" s="47" t="s">
        <v>931</v>
      </c>
      <c r="AM60" s="47" t="s">
        <v>931</v>
      </c>
      <c r="AN60" s="37"/>
    </row>
    <row r="61" spans="1:40" hidden="1">
      <c r="A61" s="47" t="s">
        <v>982</v>
      </c>
      <c r="B61" s="47" t="s">
        <v>919</v>
      </c>
      <c r="C61" s="47" t="s">
        <v>1399</v>
      </c>
      <c r="D61" s="47">
        <f t="shared" si="0"/>
        <v>756904</v>
      </c>
      <c r="E61" s="47" t="s">
        <v>212</v>
      </c>
      <c r="F61" s="47" t="s">
        <v>213</v>
      </c>
      <c r="G61" s="47" t="s">
        <v>36</v>
      </c>
      <c r="H61" s="47" t="s">
        <v>931</v>
      </c>
      <c r="I61" s="47" t="s">
        <v>1400</v>
      </c>
      <c r="J61" s="47" t="s">
        <v>1354</v>
      </c>
      <c r="K61" s="47" t="s">
        <v>163</v>
      </c>
      <c r="L61" s="47" t="s">
        <v>1003</v>
      </c>
      <c r="M61" s="47" t="s">
        <v>1025</v>
      </c>
      <c r="N61" s="47" t="s">
        <v>1026</v>
      </c>
      <c r="O61" s="47" t="s">
        <v>930</v>
      </c>
      <c r="P61" s="47" t="s">
        <v>930</v>
      </c>
      <c r="Q61" s="47" t="str">
        <f t="shared" si="1"/>
        <v xml:space="preserve"> Sáng T3:</v>
      </c>
      <c r="R61" s="47" t="s">
        <v>947</v>
      </c>
      <c r="S61" s="47" t="s">
        <v>1070</v>
      </c>
      <c r="T61" s="47" t="s">
        <v>1401</v>
      </c>
      <c r="U61" s="47" t="s">
        <v>1402</v>
      </c>
      <c r="V61" s="47" t="s">
        <v>25</v>
      </c>
      <c r="W61" s="47" t="s">
        <v>931</v>
      </c>
      <c r="X61" s="47" t="s">
        <v>1030</v>
      </c>
      <c r="Y61" s="47" t="s">
        <v>36</v>
      </c>
      <c r="Z61" s="47" t="s">
        <v>1126</v>
      </c>
      <c r="AA61" s="47" t="s">
        <v>1127</v>
      </c>
      <c r="AB61" s="47" t="s">
        <v>1403</v>
      </c>
      <c r="AC61" s="47" t="s">
        <v>515</v>
      </c>
      <c r="AD61" s="47" t="s">
        <v>1404</v>
      </c>
      <c r="AE61" s="47" t="s">
        <v>937</v>
      </c>
      <c r="AF61" s="47" t="s">
        <v>931</v>
      </c>
      <c r="AG61" s="47" t="s">
        <v>931</v>
      </c>
      <c r="AH61" s="47" t="s">
        <v>364</v>
      </c>
      <c r="AI61" s="47" t="s">
        <v>931</v>
      </c>
      <c r="AJ61" s="47" t="s">
        <v>365</v>
      </c>
      <c r="AK61" s="47" t="s">
        <v>930</v>
      </c>
      <c r="AL61" s="47" t="s">
        <v>931</v>
      </c>
      <c r="AM61" s="47" t="s">
        <v>931</v>
      </c>
      <c r="AN61" s="37"/>
    </row>
    <row r="62" spans="1:40" hidden="1">
      <c r="A62" s="47" t="s">
        <v>982</v>
      </c>
      <c r="B62" s="47" t="s">
        <v>919</v>
      </c>
      <c r="C62" s="47" t="s">
        <v>1405</v>
      </c>
      <c r="D62" s="47">
        <f t="shared" si="0"/>
        <v>756900</v>
      </c>
      <c r="E62" s="47" t="s">
        <v>212</v>
      </c>
      <c r="F62" s="47" t="s">
        <v>213</v>
      </c>
      <c r="G62" s="47" t="s">
        <v>35</v>
      </c>
      <c r="H62" s="47" t="s">
        <v>1100</v>
      </c>
      <c r="I62" s="47" t="s">
        <v>1406</v>
      </c>
      <c r="J62" s="47" t="s">
        <v>1354</v>
      </c>
      <c r="K62" s="47" t="s">
        <v>163</v>
      </c>
      <c r="L62" s="47" t="s">
        <v>1003</v>
      </c>
      <c r="M62" s="47" t="s">
        <v>1025</v>
      </c>
      <c r="N62" s="47" t="s">
        <v>1026</v>
      </c>
      <c r="O62" s="47" t="s">
        <v>930</v>
      </c>
      <c r="P62" s="47" t="s">
        <v>930</v>
      </c>
      <c r="Q62" s="47" t="str">
        <f t="shared" si="1"/>
        <v xml:space="preserve"> Sáng T3:</v>
      </c>
      <c r="R62" s="47" t="s">
        <v>947</v>
      </c>
      <c r="S62" s="47" t="s">
        <v>1070</v>
      </c>
      <c r="T62" s="47" t="s">
        <v>1407</v>
      </c>
      <c r="U62" s="47" t="s">
        <v>1408</v>
      </c>
      <c r="V62" s="47" t="s">
        <v>20</v>
      </c>
      <c r="W62" s="47" t="s">
        <v>931</v>
      </c>
      <c r="X62" s="47" t="s">
        <v>1030</v>
      </c>
      <c r="Y62" s="47" t="s">
        <v>35</v>
      </c>
      <c r="Z62" s="47" t="s">
        <v>1133</v>
      </c>
      <c r="AA62" s="47" t="s">
        <v>1134</v>
      </c>
      <c r="AB62" s="47" t="s">
        <v>1409</v>
      </c>
      <c r="AC62" s="47" t="s">
        <v>515</v>
      </c>
      <c r="AD62" s="47" t="s">
        <v>1410</v>
      </c>
      <c r="AE62" s="47" t="s">
        <v>937</v>
      </c>
      <c r="AF62" s="47" t="s">
        <v>931</v>
      </c>
      <c r="AG62" s="47" t="s">
        <v>1411</v>
      </c>
      <c r="AH62" s="47" t="s">
        <v>364</v>
      </c>
      <c r="AI62" s="47" t="s">
        <v>931</v>
      </c>
      <c r="AJ62" s="47" t="s">
        <v>365</v>
      </c>
      <c r="AK62" s="47" t="s">
        <v>930</v>
      </c>
      <c r="AL62" s="47" t="s">
        <v>931</v>
      </c>
      <c r="AM62" s="47" t="s">
        <v>931</v>
      </c>
      <c r="AN62" s="37"/>
    </row>
    <row r="63" spans="1:40" hidden="1">
      <c r="A63" s="47" t="s">
        <v>982</v>
      </c>
      <c r="B63" s="47" t="s">
        <v>919</v>
      </c>
      <c r="C63" s="47" t="s">
        <v>1412</v>
      </c>
      <c r="D63" s="47">
        <f t="shared" si="0"/>
        <v>756903</v>
      </c>
      <c r="E63" s="47" t="s">
        <v>212</v>
      </c>
      <c r="F63" s="47" t="s">
        <v>213</v>
      </c>
      <c r="G63" s="47" t="s">
        <v>40</v>
      </c>
      <c r="H63" s="47" t="s">
        <v>931</v>
      </c>
      <c r="I63" s="47" t="s">
        <v>1413</v>
      </c>
      <c r="J63" s="47" t="s">
        <v>1354</v>
      </c>
      <c r="K63" s="47" t="s">
        <v>163</v>
      </c>
      <c r="L63" s="47" t="s">
        <v>1025</v>
      </c>
      <c r="M63" s="47" t="s">
        <v>1025</v>
      </c>
      <c r="N63" s="47" t="s">
        <v>1026</v>
      </c>
      <c r="O63" s="47" t="s">
        <v>930</v>
      </c>
      <c r="P63" s="47" t="s">
        <v>930</v>
      </c>
      <c r="Q63" s="47" t="str">
        <f t="shared" si="1"/>
        <v xml:space="preserve"> Sáng T6:</v>
      </c>
      <c r="R63" s="47" t="s">
        <v>947</v>
      </c>
      <c r="S63" s="47" t="s">
        <v>1140</v>
      </c>
      <c r="T63" s="47" t="s">
        <v>1414</v>
      </c>
      <c r="U63" s="47" t="s">
        <v>1415</v>
      </c>
      <c r="V63" s="47" t="s">
        <v>20</v>
      </c>
      <c r="W63" s="47" t="s">
        <v>931</v>
      </c>
      <c r="X63" s="47" t="s">
        <v>1030</v>
      </c>
      <c r="Y63" s="47" t="s">
        <v>40</v>
      </c>
      <c r="Z63" s="47" t="s">
        <v>1357</v>
      </c>
      <c r="AA63" s="47" t="s">
        <v>1358</v>
      </c>
      <c r="AB63" s="47" t="s">
        <v>1416</v>
      </c>
      <c r="AC63" s="47" t="s">
        <v>515</v>
      </c>
      <c r="AD63" s="47" t="s">
        <v>1417</v>
      </c>
      <c r="AE63" s="47" t="s">
        <v>937</v>
      </c>
      <c r="AF63" s="47" t="s">
        <v>931</v>
      </c>
      <c r="AG63" s="47" t="s">
        <v>931</v>
      </c>
      <c r="AH63" s="47" t="s">
        <v>364</v>
      </c>
      <c r="AI63" s="47" t="s">
        <v>931</v>
      </c>
      <c r="AJ63" s="47" t="s">
        <v>365</v>
      </c>
      <c r="AK63" s="47" t="s">
        <v>930</v>
      </c>
      <c r="AL63" s="47" t="s">
        <v>931</v>
      </c>
      <c r="AM63" s="47" t="s">
        <v>931</v>
      </c>
      <c r="AN63" s="37"/>
    </row>
    <row r="64" spans="1:40" hidden="1">
      <c r="A64" s="47" t="s">
        <v>982</v>
      </c>
      <c r="B64" s="47" t="s">
        <v>919</v>
      </c>
      <c r="C64" s="47" t="s">
        <v>1418</v>
      </c>
      <c r="D64" s="47">
        <f t="shared" si="0"/>
        <v>756487</v>
      </c>
      <c r="E64" s="47" t="s">
        <v>1419</v>
      </c>
      <c r="F64" s="47" t="s">
        <v>1420</v>
      </c>
      <c r="G64" s="47" t="s">
        <v>931</v>
      </c>
      <c r="H64" s="47" t="s">
        <v>1421</v>
      </c>
      <c r="I64" s="47" t="s">
        <v>1422</v>
      </c>
      <c r="J64" s="47" t="s">
        <v>1013</v>
      </c>
      <c r="K64" s="47" t="s">
        <v>163</v>
      </c>
      <c r="L64" s="47" t="s">
        <v>994</v>
      </c>
      <c r="M64" s="47" t="s">
        <v>1083</v>
      </c>
      <c r="N64" s="47" t="s">
        <v>1190</v>
      </c>
      <c r="O64" s="47" t="s">
        <v>930</v>
      </c>
      <c r="P64" s="47" t="s">
        <v>930</v>
      </c>
      <c r="Q64" s="47" t="str">
        <f t="shared" si="1"/>
        <v/>
      </c>
      <c r="R64" s="47" t="str">
        <f>LEFT(Q64,5)</f>
        <v/>
      </c>
      <c r="S64" s="47"/>
      <c r="T64" s="47" t="s">
        <v>931</v>
      </c>
      <c r="U64" s="47" t="s">
        <v>931</v>
      </c>
      <c r="V64" s="47" t="s">
        <v>931</v>
      </c>
      <c r="W64" s="47" t="s">
        <v>931</v>
      </c>
      <c r="X64" s="47" t="s">
        <v>982</v>
      </c>
      <c r="Y64" s="47" t="s">
        <v>931</v>
      </c>
      <c r="Z64" s="47" t="s">
        <v>931</v>
      </c>
      <c r="AA64" s="47" t="s">
        <v>931</v>
      </c>
      <c r="AB64" s="47" t="s">
        <v>931</v>
      </c>
      <c r="AC64" s="47" t="s">
        <v>1423</v>
      </c>
      <c r="AD64" s="47" t="s">
        <v>1424</v>
      </c>
      <c r="AE64" s="47" t="s">
        <v>937</v>
      </c>
      <c r="AF64" s="47" t="s">
        <v>931</v>
      </c>
      <c r="AG64" s="47" t="s">
        <v>931</v>
      </c>
      <c r="AH64" s="47" t="s">
        <v>931</v>
      </c>
      <c r="AI64" s="47" t="s">
        <v>931</v>
      </c>
      <c r="AJ64" s="47" t="s">
        <v>931</v>
      </c>
      <c r="AK64" s="47" t="s">
        <v>930</v>
      </c>
      <c r="AL64" s="47" t="s">
        <v>931</v>
      </c>
      <c r="AM64" s="47" t="s">
        <v>931</v>
      </c>
      <c r="AN64" s="37"/>
    </row>
    <row r="65" spans="1:40" hidden="1">
      <c r="A65" s="47" t="s">
        <v>982</v>
      </c>
      <c r="B65" s="47" t="s">
        <v>919</v>
      </c>
      <c r="C65" s="47" t="s">
        <v>1425</v>
      </c>
      <c r="D65" s="47">
        <f t="shared" si="0"/>
        <v>756486</v>
      </c>
      <c r="E65" s="47" t="s">
        <v>1426</v>
      </c>
      <c r="F65" s="47" t="s">
        <v>1427</v>
      </c>
      <c r="G65" s="47" t="s">
        <v>931</v>
      </c>
      <c r="H65" s="47" t="s">
        <v>1170</v>
      </c>
      <c r="I65" s="47" t="s">
        <v>1428</v>
      </c>
      <c r="J65" s="47" t="s">
        <v>1013</v>
      </c>
      <c r="K65" s="47" t="s">
        <v>163</v>
      </c>
      <c r="L65" s="47" t="s">
        <v>1309</v>
      </c>
      <c r="M65" s="47" t="s">
        <v>1309</v>
      </c>
      <c r="N65" s="47" t="s">
        <v>929</v>
      </c>
      <c r="O65" s="47" t="s">
        <v>930</v>
      </c>
      <c r="P65" s="47" t="s">
        <v>930</v>
      </c>
      <c r="Q65" s="47" t="str">
        <f t="shared" si="1"/>
        <v/>
      </c>
      <c r="R65" s="47" t="str">
        <f>LEFT(Q65,5)</f>
        <v/>
      </c>
      <c r="S65" s="47"/>
      <c r="T65" s="47" t="s">
        <v>931</v>
      </c>
      <c r="U65" s="47" t="s">
        <v>931</v>
      </c>
      <c r="V65" s="47" t="s">
        <v>931</v>
      </c>
      <c r="W65" s="47" t="s">
        <v>931</v>
      </c>
      <c r="X65" s="47" t="s">
        <v>982</v>
      </c>
      <c r="Y65" s="47" t="s">
        <v>931</v>
      </c>
      <c r="Z65" s="47" t="s">
        <v>931</v>
      </c>
      <c r="AA65" s="47" t="s">
        <v>931</v>
      </c>
      <c r="AB65" s="47" t="s">
        <v>931</v>
      </c>
      <c r="AC65" s="47" t="s">
        <v>387</v>
      </c>
      <c r="AD65" s="47" t="s">
        <v>1429</v>
      </c>
      <c r="AE65" s="47" t="s">
        <v>937</v>
      </c>
      <c r="AF65" s="47" t="s">
        <v>931</v>
      </c>
      <c r="AG65" s="47" t="s">
        <v>931</v>
      </c>
      <c r="AH65" s="47" t="s">
        <v>931</v>
      </c>
      <c r="AI65" s="47" t="s">
        <v>931</v>
      </c>
      <c r="AJ65" s="47" t="s">
        <v>931</v>
      </c>
      <c r="AK65" s="47" t="s">
        <v>930</v>
      </c>
      <c r="AL65" s="47" t="s">
        <v>931</v>
      </c>
      <c r="AM65" s="47" t="s">
        <v>931</v>
      </c>
      <c r="AN65" s="37"/>
    </row>
    <row r="66" spans="1:40" hidden="1">
      <c r="A66" s="47" t="s">
        <v>982</v>
      </c>
      <c r="B66" s="47" t="s">
        <v>919</v>
      </c>
      <c r="C66" s="47" t="s">
        <v>1430</v>
      </c>
      <c r="D66" s="47">
        <f t="shared" si="0"/>
        <v>756887</v>
      </c>
      <c r="E66" s="47" t="s">
        <v>212</v>
      </c>
      <c r="F66" s="47" t="s">
        <v>213</v>
      </c>
      <c r="G66" s="47" t="s">
        <v>39</v>
      </c>
      <c r="H66" s="47" t="s">
        <v>931</v>
      </c>
      <c r="I66" s="47" t="s">
        <v>1431</v>
      </c>
      <c r="J66" s="47" t="s">
        <v>1024</v>
      </c>
      <c r="K66" s="47" t="s">
        <v>163</v>
      </c>
      <c r="L66" s="47" t="s">
        <v>1432</v>
      </c>
      <c r="M66" s="47" t="s">
        <v>1025</v>
      </c>
      <c r="N66" s="47" t="s">
        <v>1026</v>
      </c>
      <c r="O66" s="47" t="s">
        <v>930</v>
      </c>
      <c r="P66" s="47" t="s">
        <v>930</v>
      </c>
      <c r="Q66" s="47" t="str">
        <f t="shared" si="1"/>
        <v xml:space="preserve"> Chiều T2</v>
      </c>
      <c r="R66" s="47" t="s">
        <v>973</v>
      </c>
      <c r="S66" s="47" t="s">
        <v>1103</v>
      </c>
      <c r="T66" s="47" t="s">
        <v>1433</v>
      </c>
      <c r="U66" s="47" t="s">
        <v>1434</v>
      </c>
      <c r="V66" s="47" t="s">
        <v>27</v>
      </c>
      <c r="W66" s="47" t="s">
        <v>931</v>
      </c>
      <c r="X66" s="47" t="s">
        <v>1030</v>
      </c>
      <c r="Y66" s="47" t="s">
        <v>39</v>
      </c>
      <c r="Z66" s="47" t="s">
        <v>1031</v>
      </c>
      <c r="AA66" s="47" t="s">
        <v>1032</v>
      </c>
      <c r="AB66" s="47" t="s">
        <v>1435</v>
      </c>
      <c r="AC66" s="47" t="s">
        <v>515</v>
      </c>
      <c r="AD66" s="47" t="s">
        <v>1436</v>
      </c>
      <c r="AE66" s="47" t="s">
        <v>937</v>
      </c>
      <c r="AF66" s="47" t="s">
        <v>931</v>
      </c>
      <c r="AG66" s="47" t="s">
        <v>931</v>
      </c>
      <c r="AH66" s="47" t="s">
        <v>364</v>
      </c>
      <c r="AI66" s="47" t="s">
        <v>931</v>
      </c>
      <c r="AJ66" s="47" t="s">
        <v>365</v>
      </c>
      <c r="AK66" s="47" t="s">
        <v>930</v>
      </c>
      <c r="AL66" s="47" t="s">
        <v>931</v>
      </c>
      <c r="AM66" s="47" t="s">
        <v>931</v>
      </c>
      <c r="AN66" s="37"/>
    </row>
    <row r="67" spans="1:40" hidden="1">
      <c r="A67" s="47" t="s">
        <v>982</v>
      </c>
      <c r="B67" s="47" t="s">
        <v>919</v>
      </c>
      <c r="C67" s="47" t="s">
        <v>1437</v>
      </c>
      <c r="D67" s="47">
        <f t="shared" ref="D67:D130" si="4">VALUE(C67)</f>
        <v>756415</v>
      </c>
      <c r="E67" s="47" t="s">
        <v>1438</v>
      </c>
      <c r="F67" s="47" t="s">
        <v>1439</v>
      </c>
      <c r="G67" s="47" t="s">
        <v>931</v>
      </c>
      <c r="H67" s="47" t="s">
        <v>1146</v>
      </c>
      <c r="I67" s="47" t="s">
        <v>1440</v>
      </c>
      <c r="J67" s="47" t="s">
        <v>1441</v>
      </c>
      <c r="K67" s="47" t="s">
        <v>163</v>
      </c>
      <c r="L67" s="47" t="s">
        <v>1442</v>
      </c>
      <c r="M67" s="47" t="s">
        <v>1057</v>
      </c>
      <c r="N67" s="47" t="s">
        <v>8</v>
      </c>
      <c r="O67" s="47" t="s">
        <v>930</v>
      </c>
      <c r="P67" s="47" t="s">
        <v>930</v>
      </c>
      <c r="Q67" s="47" t="str">
        <f t="shared" si="1"/>
        <v xml:space="preserve">  CN: Tiế</v>
      </c>
      <c r="R67" s="47" t="str">
        <f>LEFT(Q67,5)</f>
        <v xml:space="preserve">  CN:</v>
      </c>
      <c r="S67" s="47"/>
      <c r="T67" s="47" t="s">
        <v>1443</v>
      </c>
      <c r="U67" s="47" t="s">
        <v>931</v>
      </c>
      <c r="V67" s="47" t="s">
        <v>931</v>
      </c>
      <c r="W67" s="47" t="s">
        <v>931</v>
      </c>
      <c r="X67" s="47" t="s">
        <v>931</v>
      </c>
      <c r="Y67" s="47" t="s">
        <v>931</v>
      </c>
      <c r="Z67" s="47" t="s">
        <v>931</v>
      </c>
      <c r="AA67" s="47" t="s">
        <v>931</v>
      </c>
      <c r="AB67" s="47" t="s">
        <v>931</v>
      </c>
      <c r="AC67" s="47" t="s">
        <v>931</v>
      </c>
      <c r="AD67" s="47" t="s">
        <v>1444</v>
      </c>
      <c r="AE67" s="47" t="s">
        <v>937</v>
      </c>
      <c r="AF67" s="47" t="s">
        <v>931</v>
      </c>
      <c r="AG67" s="47" t="s">
        <v>931</v>
      </c>
      <c r="AH67" s="47" t="s">
        <v>931</v>
      </c>
      <c r="AI67" s="47" t="s">
        <v>931</v>
      </c>
      <c r="AJ67" s="47" t="s">
        <v>931</v>
      </c>
      <c r="AK67" s="47" t="s">
        <v>930</v>
      </c>
      <c r="AL67" s="47" t="s">
        <v>931</v>
      </c>
      <c r="AM67" s="47" t="s">
        <v>931</v>
      </c>
      <c r="AN67" s="37"/>
    </row>
    <row r="68" spans="1:40" hidden="1">
      <c r="A68" s="47" t="s">
        <v>982</v>
      </c>
      <c r="B68" s="47" t="s">
        <v>919</v>
      </c>
      <c r="C68" s="47" t="s">
        <v>1445</v>
      </c>
      <c r="D68" s="47">
        <f t="shared" si="4"/>
        <v>756881</v>
      </c>
      <c r="E68" s="47" t="s">
        <v>183</v>
      </c>
      <c r="F68" s="47" t="s">
        <v>160</v>
      </c>
      <c r="G68" s="47" t="s">
        <v>36</v>
      </c>
      <c r="H68" s="47" t="s">
        <v>931</v>
      </c>
      <c r="I68" s="47" t="s">
        <v>1446</v>
      </c>
      <c r="J68" s="47" t="s">
        <v>944</v>
      </c>
      <c r="K68" s="47" t="s">
        <v>163</v>
      </c>
      <c r="L68" s="47" t="s">
        <v>1447</v>
      </c>
      <c r="M68" s="47" t="s">
        <v>1057</v>
      </c>
      <c r="N68" s="47" t="s">
        <v>1026</v>
      </c>
      <c r="O68" s="47" t="s">
        <v>930</v>
      </c>
      <c r="P68" s="47" t="s">
        <v>930</v>
      </c>
      <c r="Q68" s="47" t="str">
        <f t="shared" ref="Q68:Q131" si="5">LEFT(T68,9)</f>
        <v xml:space="preserve"> Sáng T5:</v>
      </c>
      <c r="R68" s="47" t="s">
        <v>947</v>
      </c>
      <c r="S68" s="47" t="s">
        <v>1027</v>
      </c>
      <c r="T68" s="47" t="s">
        <v>1448</v>
      </c>
      <c r="U68" s="47" t="s">
        <v>1449</v>
      </c>
      <c r="V68" s="47" t="s">
        <v>20</v>
      </c>
      <c r="W68" s="47" t="s">
        <v>931</v>
      </c>
      <c r="X68" s="47" t="s">
        <v>1030</v>
      </c>
      <c r="Y68" s="47" t="s">
        <v>36</v>
      </c>
      <c r="Z68" s="47" t="s">
        <v>1126</v>
      </c>
      <c r="AA68" s="47" t="s">
        <v>1127</v>
      </c>
      <c r="AB68" s="47" t="s">
        <v>1450</v>
      </c>
      <c r="AC68" s="47" t="s">
        <v>1451</v>
      </c>
      <c r="AD68" s="47" t="s">
        <v>1452</v>
      </c>
      <c r="AE68" s="47" t="s">
        <v>937</v>
      </c>
      <c r="AF68" s="47" t="s">
        <v>931</v>
      </c>
      <c r="AG68" s="47" t="s">
        <v>931</v>
      </c>
      <c r="AH68" s="47" t="s">
        <v>364</v>
      </c>
      <c r="AI68" s="47" t="s">
        <v>931</v>
      </c>
      <c r="AJ68" s="47" t="s">
        <v>365</v>
      </c>
      <c r="AK68" s="47" t="s">
        <v>930</v>
      </c>
      <c r="AL68" s="47" t="s">
        <v>931</v>
      </c>
      <c r="AM68" s="47" t="s">
        <v>931</v>
      </c>
      <c r="AN68" s="37"/>
    </row>
    <row r="69" spans="1:40" hidden="1">
      <c r="A69" s="47" t="s">
        <v>982</v>
      </c>
      <c r="B69" s="47" t="s">
        <v>919</v>
      </c>
      <c r="C69" s="47" t="s">
        <v>1453</v>
      </c>
      <c r="D69" s="47">
        <f t="shared" si="4"/>
        <v>756893</v>
      </c>
      <c r="E69" s="47" t="s">
        <v>212</v>
      </c>
      <c r="F69" s="47" t="s">
        <v>213</v>
      </c>
      <c r="G69" s="47" t="s">
        <v>36</v>
      </c>
      <c r="H69" s="47" t="s">
        <v>931</v>
      </c>
      <c r="I69" s="47" t="s">
        <v>1454</v>
      </c>
      <c r="J69" s="47" t="s">
        <v>1024</v>
      </c>
      <c r="K69" s="47" t="s">
        <v>163</v>
      </c>
      <c r="L69" s="47" t="s">
        <v>1003</v>
      </c>
      <c r="M69" s="47" t="s">
        <v>1025</v>
      </c>
      <c r="N69" s="47" t="s">
        <v>1026</v>
      </c>
      <c r="O69" s="47" t="s">
        <v>930</v>
      </c>
      <c r="P69" s="47" t="s">
        <v>930</v>
      </c>
      <c r="Q69" s="47" t="str">
        <f t="shared" si="5"/>
        <v xml:space="preserve"> Chiều T6</v>
      </c>
      <c r="R69" s="47" t="s">
        <v>973</v>
      </c>
      <c r="S69" s="47" t="s">
        <v>1140</v>
      </c>
      <c r="T69" s="47" t="s">
        <v>1455</v>
      </c>
      <c r="U69" s="47" t="s">
        <v>1456</v>
      </c>
      <c r="V69" s="47" t="s">
        <v>18</v>
      </c>
      <c r="W69" s="47" t="s">
        <v>931</v>
      </c>
      <c r="X69" s="47" t="s">
        <v>1030</v>
      </c>
      <c r="Y69" s="47" t="s">
        <v>36</v>
      </c>
      <c r="Z69" s="47" t="s">
        <v>1126</v>
      </c>
      <c r="AA69" s="47" t="s">
        <v>1127</v>
      </c>
      <c r="AB69" s="47" t="s">
        <v>1457</v>
      </c>
      <c r="AC69" s="47" t="s">
        <v>515</v>
      </c>
      <c r="AD69" s="47" t="s">
        <v>1458</v>
      </c>
      <c r="AE69" s="47" t="s">
        <v>937</v>
      </c>
      <c r="AF69" s="47" t="s">
        <v>931</v>
      </c>
      <c r="AG69" s="47" t="s">
        <v>931</v>
      </c>
      <c r="AH69" s="47" t="s">
        <v>364</v>
      </c>
      <c r="AI69" s="47" t="s">
        <v>931</v>
      </c>
      <c r="AJ69" s="47" t="s">
        <v>365</v>
      </c>
      <c r="AK69" s="47" t="s">
        <v>930</v>
      </c>
      <c r="AL69" s="47" t="s">
        <v>931</v>
      </c>
      <c r="AM69" s="47" t="s">
        <v>931</v>
      </c>
      <c r="AN69" s="37"/>
    </row>
    <row r="70" spans="1:40" hidden="1">
      <c r="A70" s="47" t="s">
        <v>982</v>
      </c>
      <c r="B70" s="47" t="s">
        <v>919</v>
      </c>
      <c r="C70" s="47" t="s">
        <v>1459</v>
      </c>
      <c r="D70" s="47">
        <f t="shared" si="4"/>
        <v>756894</v>
      </c>
      <c r="E70" s="47" t="s">
        <v>212</v>
      </c>
      <c r="F70" s="47" t="s">
        <v>213</v>
      </c>
      <c r="G70" s="47" t="s">
        <v>43</v>
      </c>
      <c r="H70" s="47" t="s">
        <v>931</v>
      </c>
      <c r="I70" s="47" t="s">
        <v>1460</v>
      </c>
      <c r="J70" s="47" t="s">
        <v>1024</v>
      </c>
      <c r="K70" s="47" t="s">
        <v>163</v>
      </c>
      <c r="L70" s="47" t="s">
        <v>1057</v>
      </c>
      <c r="M70" s="47" t="s">
        <v>1025</v>
      </c>
      <c r="N70" s="47" t="s">
        <v>1026</v>
      </c>
      <c r="O70" s="47" t="s">
        <v>930</v>
      </c>
      <c r="P70" s="47" t="s">
        <v>930</v>
      </c>
      <c r="Q70" s="47" t="str">
        <f t="shared" si="5"/>
        <v xml:space="preserve"> Chiều T3</v>
      </c>
      <c r="R70" s="47" t="s">
        <v>973</v>
      </c>
      <c r="S70" s="47" t="s">
        <v>1070</v>
      </c>
      <c r="T70" s="47" t="s">
        <v>1461</v>
      </c>
      <c r="U70" s="47" t="s">
        <v>1462</v>
      </c>
      <c r="V70" s="47" t="s">
        <v>24</v>
      </c>
      <c r="W70" s="47" t="s">
        <v>931</v>
      </c>
      <c r="X70" s="47" t="s">
        <v>1030</v>
      </c>
      <c r="Y70" s="47" t="s">
        <v>43</v>
      </c>
      <c r="Z70" s="47" t="s">
        <v>1463</v>
      </c>
      <c r="AA70" s="47" t="s">
        <v>1464</v>
      </c>
      <c r="AB70" s="47" t="s">
        <v>1465</v>
      </c>
      <c r="AC70" s="47" t="s">
        <v>515</v>
      </c>
      <c r="AD70" s="47" t="s">
        <v>1466</v>
      </c>
      <c r="AE70" s="47" t="s">
        <v>937</v>
      </c>
      <c r="AF70" s="47" t="s">
        <v>931</v>
      </c>
      <c r="AG70" s="47" t="s">
        <v>931</v>
      </c>
      <c r="AH70" s="47" t="s">
        <v>364</v>
      </c>
      <c r="AI70" s="47" t="s">
        <v>931</v>
      </c>
      <c r="AJ70" s="47" t="s">
        <v>365</v>
      </c>
      <c r="AK70" s="47" t="s">
        <v>930</v>
      </c>
      <c r="AL70" s="47" t="s">
        <v>931</v>
      </c>
      <c r="AM70" s="47" t="s">
        <v>931</v>
      </c>
      <c r="AN70" s="37"/>
    </row>
    <row r="71" spans="1:40" hidden="1">
      <c r="A71" s="47" t="s">
        <v>982</v>
      </c>
      <c r="B71" s="47" t="s">
        <v>919</v>
      </c>
      <c r="C71" s="47" t="s">
        <v>1467</v>
      </c>
      <c r="D71" s="47">
        <f t="shared" si="4"/>
        <v>756888</v>
      </c>
      <c r="E71" s="47" t="s">
        <v>212</v>
      </c>
      <c r="F71" s="47" t="s">
        <v>213</v>
      </c>
      <c r="G71" s="47" t="s">
        <v>44</v>
      </c>
      <c r="H71" s="47" t="s">
        <v>1100</v>
      </c>
      <c r="I71" s="47" t="s">
        <v>1468</v>
      </c>
      <c r="J71" s="47" t="s">
        <v>1024</v>
      </c>
      <c r="K71" s="47" t="s">
        <v>163</v>
      </c>
      <c r="L71" s="47" t="s">
        <v>1432</v>
      </c>
      <c r="M71" s="47" t="s">
        <v>1025</v>
      </c>
      <c r="N71" s="47" t="s">
        <v>1026</v>
      </c>
      <c r="O71" s="47" t="s">
        <v>930</v>
      </c>
      <c r="P71" s="47" t="s">
        <v>930</v>
      </c>
      <c r="Q71" s="47" t="str">
        <f t="shared" si="5"/>
        <v xml:space="preserve"> Chiều T6</v>
      </c>
      <c r="R71" s="47" t="s">
        <v>973</v>
      </c>
      <c r="S71" s="47" t="s">
        <v>1140</v>
      </c>
      <c r="T71" s="47" t="s">
        <v>1469</v>
      </c>
      <c r="U71" s="47" t="s">
        <v>1470</v>
      </c>
      <c r="V71" s="47" t="s">
        <v>16</v>
      </c>
      <c r="W71" s="47" t="s">
        <v>931</v>
      </c>
      <c r="X71" s="47" t="s">
        <v>1030</v>
      </c>
      <c r="Y71" s="47" t="s">
        <v>44</v>
      </c>
      <c r="Z71" s="47" t="s">
        <v>1209</v>
      </c>
      <c r="AA71" s="47" t="s">
        <v>1210</v>
      </c>
      <c r="AB71" s="47" t="s">
        <v>1471</v>
      </c>
      <c r="AC71" s="47" t="s">
        <v>515</v>
      </c>
      <c r="AD71" s="47" t="s">
        <v>1472</v>
      </c>
      <c r="AE71" s="47" t="s">
        <v>937</v>
      </c>
      <c r="AF71" s="47" t="s">
        <v>931</v>
      </c>
      <c r="AG71" s="47" t="s">
        <v>1473</v>
      </c>
      <c r="AH71" s="47" t="s">
        <v>364</v>
      </c>
      <c r="AI71" s="47" t="s">
        <v>931</v>
      </c>
      <c r="AJ71" s="47" t="s">
        <v>365</v>
      </c>
      <c r="AK71" s="47" t="s">
        <v>930</v>
      </c>
      <c r="AL71" s="47" t="s">
        <v>931</v>
      </c>
      <c r="AM71" s="47" t="s">
        <v>931</v>
      </c>
      <c r="AN71" s="37"/>
    </row>
    <row r="72" spans="1:40" hidden="1">
      <c r="A72" s="47" t="s">
        <v>982</v>
      </c>
      <c r="B72" s="47" t="s">
        <v>919</v>
      </c>
      <c r="C72" s="47" t="s">
        <v>1474</v>
      </c>
      <c r="D72" s="47">
        <f t="shared" si="4"/>
        <v>756885</v>
      </c>
      <c r="E72" s="47" t="s">
        <v>212</v>
      </c>
      <c r="F72" s="47" t="s">
        <v>213</v>
      </c>
      <c r="G72" s="47" t="s">
        <v>41</v>
      </c>
      <c r="H72" s="47" t="s">
        <v>1100</v>
      </c>
      <c r="I72" s="47" t="s">
        <v>1475</v>
      </c>
      <c r="J72" s="47" t="s">
        <v>1024</v>
      </c>
      <c r="K72" s="47" t="s">
        <v>163</v>
      </c>
      <c r="L72" s="47" t="s">
        <v>1003</v>
      </c>
      <c r="M72" s="47" t="s">
        <v>1025</v>
      </c>
      <c r="N72" s="47" t="s">
        <v>1026</v>
      </c>
      <c r="O72" s="47" t="s">
        <v>930</v>
      </c>
      <c r="P72" s="47" t="s">
        <v>930</v>
      </c>
      <c r="Q72" s="47" t="str">
        <f t="shared" si="5"/>
        <v xml:space="preserve"> Chiều T3</v>
      </c>
      <c r="R72" s="47" t="s">
        <v>973</v>
      </c>
      <c r="S72" s="47" t="s">
        <v>1070</v>
      </c>
      <c r="T72" s="47" t="s">
        <v>1476</v>
      </c>
      <c r="U72" s="47" t="s">
        <v>1477</v>
      </c>
      <c r="V72" s="47" t="s">
        <v>16</v>
      </c>
      <c r="W72" s="47" t="s">
        <v>931</v>
      </c>
      <c r="X72" s="47" t="s">
        <v>1030</v>
      </c>
      <c r="Y72" s="47" t="s">
        <v>41</v>
      </c>
      <c r="Z72" s="47" t="s">
        <v>1111</v>
      </c>
      <c r="AA72" s="47" t="s">
        <v>1112</v>
      </c>
      <c r="AB72" s="47" t="s">
        <v>1478</v>
      </c>
      <c r="AC72" s="47" t="s">
        <v>515</v>
      </c>
      <c r="AD72" s="47" t="s">
        <v>1479</v>
      </c>
      <c r="AE72" s="47" t="s">
        <v>937</v>
      </c>
      <c r="AF72" s="47" t="s">
        <v>931</v>
      </c>
      <c r="AG72" s="47" t="s">
        <v>1480</v>
      </c>
      <c r="AH72" s="47" t="s">
        <v>364</v>
      </c>
      <c r="AI72" s="47" t="s">
        <v>931</v>
      </c>
      <c r="AJ72" s="47" t="s">
        <v>365</v>
      </c>
      <c r="AK72" s="47" t="s">
        <v>930</v>
      </c>
      <c r="AL72" s="47" t="s">
        <v>931</v>
      </c>
      <c r="AM72" s="47" t="s">
        <v>931</v>
      </c>
      <c r="AN72" s="37"/>
    </row>
    <row r="73" spans="1:40" hidden="1">
      <c r="A73" s="47" t="s">
        <v>982</v>
      </c>
      <c r="B73" s="47" t="s">
        <v>919</v>
      </c>
      <c r="C73" s="47" t="s">
        <v>1481</v>
      </c>
      <c r="D73" s="47">
        <f t="shared" si="4"/>
        <v>756877</v>
      </c>
      <c r="E73" s="47" t="s">
        <v>159</v>
      </c>
      <c r="F73" s="47" t="s">
        <v>160</v>
      </c>
      <c r="G73" s="47" t="s">
        <v>36</v>
      </c>
      <c r="H73" s="47" t="s">
        <v>931</v>
      </c>
      <c r="I73" s="47" t="s">
        <v>1482</v>
      </c>
      <c r="J73" s="47" t="s">
        <v>1024</v>
      </c>
      <c r="K73" s="47" t="s">
        <v>163</v>
      </c>
      <c r="L73" s="47" t="s">
        <v>1102</v>
      </c>
      <c r="M73" s="47" t="s">
        <v>1057</v>
      </c>
      <c r="N73" s="47" t="s">
        <v>1026</v>
      </c>
      <c r="O73" s="47" t="s">
        <v>930</v>
      </c>
      <c r="P73" s="47" t="s">
        <v>930</v>
      </c>
      <c r="Q73" s="47" t="str">
        <f t="shared" si="5"/>
        <v xml:space="preserve"> Chiều T3</v>
      </c>
      <c r="R73" s="47" t="s">
        <v>973</v>
      </c>
      <c r="S73" s="47" t="s">
        <v>1070</v>
      </c>
      <c r="T73" s="47" t="s">
        <v>1483</v>
      </c>
      <c r="U73" s="47" t="s">
        <v>1484</v>
      </c>
      <c r="V73" s="47" t="s">
        <v>20</v>
      </c>
      <c r="W73" s="47" t="s">
        <v>931</v>
      </c>
      <c r="X73" s="47" t="s">
        <v>1030</v>
      </c>
      <c r="Y73" s="47" t="s">
        <v>36</v>
      </c>
      <c r="Z73" s="47" t="s">
        <v>1126</v>
      </c>
      <c r="AA73" s="47" t="s">
        <v>1127</v>
      </c>
      <c r="AB73" s="47" t="s">
        <v>1450</v>
      </c>
      <c r="AC73" s="47" t="s">
        <v>447</v>
      </c>
      <c r="AD73" s="47" t="s">
        <v>1485</v>
      </c>
      <c r="AE73" s="47" t="s">
        <v>937</v>
      </c>
      <c r="AF73" s="47" t="s">
        <v>931</v>
      </c>
      <c r="AG73" s="47" t="s">
        <v>931</v>
      </c>
      <c r="AH73" s="47" t="s">
        <v>931</v>
      </c>
      <c r="AI73" s="47" t="s">
        <v>931</v>
      </c>
      <c r="AJ73" s="47" t="s">
        <v>931</v>
      </c>
      <c r="AK73" s="47" t="s">
        <v>930</v>
      </c>
      <c r="AL73" s="47" t="s">
        <v>931</v>
      </c>
      <c r="AM73" s="47" t="s">
        <v>931</v>
      </c>
      <c r="AN73" s="37"/>
    </row>
    <row r="74" spans="1:40" hidden="1">
      <c r="A74" s="47" t="s">
        <v>982</v>
      </c>
      <c r="B74" s="47" t="s">
        <v>919</v>
      </c>
      <c r="C74" s="47" t="s">
        <v>1486</v>
      </c>
      <c r="D74" s="47">
        <f t="shared" si="4"/>
        <v>756880</v>
      </c>
      <c r="E74" s="47" t="s">
        <v>183</v>
      </c>
      <c r="F74" s="47" t="s">
        <v>160</v>
      </c>
      <c r="G74" s="47" t="s">
        <v>36</v>
      </c>
      <c r="H74" s="47" t="s">
        <v>931</v>
      </c>
      <c r="I74" s="47" t="s">
        <v>1487</v>
      </c>
      <c r="J74" s="47" t="s">
        <v>944</v>
      </c>
      <c r="K74" s="47" t="s">
        <v>163</v>
      </c>
      <c r="L74" s="47" t="s">
        <v>1392</v>
      </c>
      <c r="M74" s="47" t="s">
        <v>1057</v>
      </c>
      <c r="N74" s="47" t="s">
        <v>1026</v>
      </c>
      <c r="O74" s="47" t="s">
        <v>930</v>
      </c>
      <c r="P74" s="47" t="s">
        <v>930</v>
      </c>
      <c r="Q74" s="47" t="str">
        <f t="shared" si="5"/>
        <v xml:space="preserve"> Sáng T2:</v>
      </c>
      <c r="R74" s="47" t="s">
        <v>947</v>
      </c>
      <c r="S74" s="47" t="s">
        <v>1103</v>
      </c>
      <c r="T74" s="47" t="s">
        <v>1183</v>
      </c>
      <c r="U74" s="47" t="s">
        <v>1488</v>
      </c>
      <c r="V74" s="47" t="s">
        <v>18</v>
      </c>
      <c r="W74" s="47" t="s">
        <v>931</v>
      </c>
      <c r="X74" s="47" t="s">
        <v>1030</v>
      </c>
      <c r="Y74" s="47" t="s">
        <v>36</v>
      </c>
      <c r="Z74" s="47" t="s">
        <v>1126</v>
      </c>
      <c r="AA74" s="47" t="s">
        <v>1127</v>
      </c>
      <c r="AB74" s="47" t="s">
        <v>1489</v>
      </c>
      <c r="AC74" s="47" t="s">
        <v>1451</v>
      </c>
      <c r="AD74" s="47" t="s">
        <v>1490</v>
      </c>
      <c r="AE74" s="47" t="s">
        <v>937</v>
      </c>
      <c r="AF74" s="47" t="s">
        <v>931</v>
      </c>
      <c r="AG74" s="47" t="s">
        <v>931</v>
      </c>
      <c r="AH74" s="47" t="s">
        <v>364</v>
      </c>
      <c r="AI74" s="47" t="s">
        <v>931</v>
      </c>
      <c r="AJ74" s="47" t="s">
        <v>365</v>
      </c>
      <c r="AK74" s="47" t="s">
        <v>930</v>
      </c>
      <c r="AL74" s="47" t="s">
        <v>931</v>
      </c>
      <c r="AM74" s="47" t="s">
        <v>931</v>
      </c>
      <c r="AN74" s="37"/>
    </row>
    <row r="75" spans="1:40" hidden="1">
      <c r="A75" s="47" t="s">
        <v>982</v>
      </c>
      <c r="B75" s="47" t="s">
        <v>919</v>
      </c>
      <c r="C75" s="47" t="s">
        <v>1491</v>
      </c>
      <c r="D75" s="47">
        <f t="shared" si="4"/>
        <v>756896</v>
      </c>
      <c r="E75" s="47" t="s">
        <v>212</v>
      </c>
      <c r="F75" s="47" t="s">
        <v>213</v>
      </c>
      <c r="G75" s="47" t="s">
        <v>39</v>
      </c>
      <c r="H75" s="47" t="s">
        <v>931</v>
      </c>
      <c r="I75" s="47" t="s">
        <v>1492</v>
      </c>
      <c r="J75" s="47" t="s">
        <v>1024</v>
      </c>
      <c r="K75" s="47" t="s">
        <v>163</v>
      </c>
      <c r="L75" s="47" t="s">
        <v>1258</v>
      </c>
      <c r="M75" s="47" t="s">
        <v>1025</v>
      </c>
      <c r="N75" s="47" t="s">
        <v>1026</v>
      </c>
      <c r="O75" s="47" t="s">
        <v>930</v>
      </c>
      <c r="P75" s="47" t="s">
        <v>930</v>
      </c>
      <c r="Q75" s="47" t="str">
        <f t="shared" si="5"/>
        <v xml:space="preserve"> Sáng T3:</v>
      </c>
      <c r="R75" s="47" t="s">
        <v>947</v>
      </c>
      <c r="S75" s="47" t="s">
        <v>1070</v>
      </c>
      <c r="T75" s="47" t="s">
        <v>1119</v>
      </c>
      <c r="U75" s="47" t="s">
        <v>1493</v>
      </c>
      <c r="V75" s="47" t="s">
        <v>16</v>
      </c>
      <c r="W75" s="47" t="s">
        <v>931</v>
      </c>
      <c r="X75" s="47" t="s">
        <v>1030</v>
      </c>
      <c r="Y75" s="47" t="s">
        <v>39</v>
      </c>
      <c r="Z75" s="47" t="s">
        <v>1031</v>
      </c>
      <c r="AA75" s="47" t="s">
        <v>1032</v>
      </c>
      <c r="AB75" s="47" t="s">
        <v>1494</v>
      </c>
      <c r="AC75" s="47" t="s">
        <v>515</v>
      </c>
      <c r="AD75" s="47" t="s">
        <v>1495</v>
      </c>
      <c r="AE75" s="47" t="s">
        <v>937</v>
      </c>
      <c r="AF75" s="47" t="s">
        <v>931</v>
      </c>
      <c r="AG75" s="47" t="s">
        <v>931</v>
      </c>
      <c r="AH75" s="47" t="s">
        <v>364</v>
      </c>
      <c r="AI75" s="47" t="s">
        <v>931</v>
      </c>
      <c r="AJ75" s="47" t="s">
        <v>365</v>
      </c>
      <c r="AK75" s="47" t="s">
        <v>930</v>
      </c>
      <c r="AL75" s="47" t="s">
        <v>931</v>
      </c>
      <c r="AM75" s="47" t="s">
        <v>931</v>
      </c>
      <c r="AN75" s="37"/>
    </row>
    <row r="76" spans="1:40" hidden="1">
      <c r="A76" s="47" t="s">
        <v>982</v>
      </c>
      <c r="B76" s="47" t="s">
        <v>919</v>
      </c>
      <c r="C76" s="47" t="s">
        <v>1496</v>
      </c>
      <c r="D76" s="47">
        <f t="shared" si="4"/>
        <v>756890</v>
      </c>
      <c r="E76" s="47" t="s">
        <v>212</v>
      </c>
      <c r="F76" s="47" t="s">
        <v>213</v>
      </c>
      <c r="G76" s="47" t="s">
        <v>44</v>
      </c>
      <c r="H76" s="47" t="s">
        <v>1100</v>
      </c>
      <c r="I76" s="47" t="s">
        <v>1497</v>
      </c>
      <c r="J76" s="47" t="s">
        <v>1024</v>
      </c>
      <c r="K76" s="47" t="s">
        <v>163</v>
      </c>
      <c r="L76" s="47" t="s">
        <v>1432</v>
      </c>
      <c r="M76" s="47" t="s">
        <v>1025</v>
      </c>
      <c r="N76" s="47" t="s">
        <v>1026</v>
      </c>
      <c r="O76" s="47" t="s">
        <v>930</v>
      </c>
      <c r="P76" s="47" t="s">
        <v>930</v>
      </c>
      <c r="Q76" s="47" t="str">
        <f t="shared" si="5"/>
        <v xml:space="preserve"> Chiều T3</v>
      </c>
      <c r="R76" s="47" t="s">
        <v>973</v>
      </c>
      <c r="S76" s="47" t="s">
        <v>1070</v>
      </c>
      <c r="T76" s="47" t="s">
        <v>1498</v>
      </c>
      <c r="U76" s="47" t="s">
        <v>1499</v>
      </c>
      <c r="V76" s="47" t="s">
        <v>18</v>
      </c>
      <c r="W76" s="47" t="s">
        <v>931</v>
      </c>
      <c r="X76" s="47" t="s">
        <v>1030</v>
      </c>
      <c r="Y76" s="47" t="s">
        <v>44</v>
      </c>
      <c r="Z76" s="47" t="s">
        <v>1209</v>
      </c>
      <c r="AA76" s="47" t="s">
        <v>1210</v>
      </c>
      <c r="AB76" s="47" t="s">
        <v>1500</v>
      </c>
      <c r="AC76" s="47" t="s">
        <v>515</v>
      </c>
      <c r="AD76" s="47" t="s">
        <v>1501</v>
      </c>
      <c r="AE76" s="47" t="s">
        <v>937</v>
      </c>
      <c r="AF76" s="47" t="s">
        <v>931</v>
      </c>
      <c r="AG76" s="47" t="s">
        <v>1502</v>
      </c>
      <c r="AH76" s="47" t="s">
        <v>364</v>
      </c>
      <c r="AI76" s="47" t="s">
        <v>931</v>
      </c>
      <c r="AJ76" s="47" t="s">
        <v>365</v>
      </c>
      <c r="AK76" s="47" t="s">
        <v>930</v>
      </c>
      <c r="AL76" s="47" t="s">
        <v>931</v>
      </c>
      <c r="AM76" s="47" t="s">
        <v>931</v>
      </c>
      <c r="AN76" s="37"/>
    </row>
    <row r="77" spans="1:40" hidden="1">
      <c r="A77" s="47" t="s">
        <v>982</v>
      </c>
      <c r="B77" s="47" t="s">
        <v>919</v>
      </c>
      <c r="C77" s="47" t="s">
        <v>1503</v>
      </c>
      <c r="D77" s="47">
        <f t="shared" si="4"/>
        <v>756883</v>
      </c>
      <c r="E77" s="47" t="s">
        <v>212</v>
      </c>
      <c r="F77" s="47" t="s">
        <v>213</v>
      </c>
      <c r="G77" s="47" t="s">
        <v>36</v>
      </c>
      <c r="H77" s="47" t="s">
        <v>931</v>
      </c>
      <c r="I77" s="47" t="s">
        <v>1504</v>
      </c>
      <c r="J77" s="47" t="s">
        <v>1505</v>
      </c>
      <c r="K77" s="47" t="s">
        <v>163</v>
      </c>
      <c r="L77" s="47" t="s">
        <v>1506</v>
      </c>
      <c r="M77" s="47" t="s">
        <v>1173</v>
      </c>
      <c r="N77" s="47" t="s">
        <v>1026</v>
      </c>
      <c r="O77" s="47" t="s">
        <v>930</v>
      </c>
      <c r="P77" s="47" t="s">
        <v>930</v>
      </c>
      <c r="Q77" s="47" t="str">
        <f t="shared" si="5"/>
        <v xml:space="preserve"> Sáng T5:</v>
      </c>
      <c r="R77" s="47" t="s">
        <v>947</v>
      </c>
      <c r="S77" s="47"/>
      <c r="T77" s="47" t="s">
        <v>1507</v>
      </c>
      <c r="U77" s="47" t="s">
        <v>1508</v>
      </c>
      <c r="V77" s="47" t="s">
        <v>442</v>
      </c>
      <c r="W77" s="47" t="s">
        <v>931</v>
      </c>
      <c r="X77" s="47" t="s">
        <v>1030</v>
      </c>
      <c r="Y77" s="47" t="s">
        <v>36</v>
      </c>
      <c r="Z77" s="47" t="s">
        <v>1126</v>
      </c>
      <c r="AA77" s="47" t="s">
        <v>1127</v>
      </c>
      <c r="AB77" s="47" t="s">
        <v>1478</v>
      </c>
      <c r="AC77" s="47" t="s">
        <v>515</v>
      </c>
      <c r="AD77" s="47" t="s">
        <v>1509</v>
      </c>
      <c r="AE77" s="47" t="s">
        <v>937</v>
      </c>
      <c r="AF77" s="47" t="s">
        <v>931</v>
      </c>
      <c r="AG77" s="47" t="s">
        <v>931</v>
      </c>
      <c r="AH77" s="47" t="s">
        <v>364</v>
      </c>
      <c r="AI77" s="47" t="s">
        <v>931</v>
      </c>
      <c r="AJ77" s="47" t="s">
        <v>365</v>
      </c>
      <c r="AK77" s="47" t="s">
        <v>930</v>
      </c>
      <c r="AL77" s="47" t="s">
        <v>931</v>
      </c>
      <c r="AM77" s="47" t="s">
        <v>931</v>
      </c>
      <c r="AN77" s="37"/>
    </row>
    <row r="78" spans="1:40" hidden="1">
      <c r="A78" s="47" t="s">
        <v>982</v>
      </c>
      <c r="B78" s="47" t="s">
        <v>919</v>
      </c>
      <c r="C78" s="47" t="s">
        <v>1510</v>
      </c>
      <c r="D78" s="47">
        <f t="shared" si="4"/>
        <v>756416</v>
      </c>
      <c r="E78" s="47" t="s">
        <v>1419</v>
      </c>
      <c r="F78" s="47" t="s">
        <v>1420</v>
      </c>
      <c r="G78" s="47" t="s">
        <v>931</v>
      </c>
      <c r="H78" s="47" t="s">
        <v>1421</v>
      </c>
      <c r="I78" s="47" t="s">
        <v>1440</v>
      </c>
      <c r="J78" s="47" t="s">
        <v>1441</v>
      </c>
      <c r="K78" s="47" t="s">
        <v>163</v>
      </c>
      <c r="L78" s="47" t="s">
        <v>1511</v>
      </c>
      <c r="M78" s="47" t="s">
        <v>1057</v>
      </c>
      <c r="N78" s="47" t="s">
        <v>1190</v>
      </c>
      <c r="O78" s="47" t="s">
        <v>930</v>
      </c>
      <c r="P78" s="47" t="s">
        <v>930</v>
      </c>
      <c r="Q78" s="47" t="str">
        <f t="shared" si="5"/>
        <v xml:space="preserve">  CN: Tiế</v>
      </c>
      <c r="R78" s="47" t="str">
        <f>LEFT(Q78,5)</f>
        <v xml:space="preserve">  CN:</v>
      </c>
      <c r="S78" s="47"/>
      <c r="T78" s="47" t="s">
        <v>1443</v>
      </c>
      <c r="U78" s="47" t="s">
        <v>931</v>
      </c>
      <c r="V78" s="47" t="s">
        <v>931</v>
      </c>
      <c r="W78" s="47" t="s">
        <v>931</v>
      </c>
      <c r="X78" s="47" t="s">
        <v>982</v>
      </c>
      <c r="Y78" s="47" t="s">
        <v>931</v>
      </c>
      <c r="Z78" s="47" t="s">
        <v>931</v>
      </c>
      <c r="AA78" s="47" t="s">
        <v>931</v>
      </c>
      <c r="AB78" s="47" t="s">
        <v>931</v>
      </c>
      <c r="AC78" s="47" t="s">
        <v>1423</v>
      </c>
      <c r="AD78" s="47" t="s">
        <v>1444</v>
      </c>
      <c r="AE78" s="47" t="s">
        <v>937</v>
      </c>
      <c r="AF78" s="47" t="s">
        <v>931</v>
      </c>
      <c r="AG78" s="47" t="s">
        <v>931</v>
      </c>
      <c r="AH78" s="47" t="s">
        <v>931</v>
      </c>
      <c r="AI78" s="47" t="s">
        <v>931</v>
      </c>
      <c r="AJ78" s="47" t="s">
        <v>931</v>
      </c>
      <c r="AK78" s="47" t="s">
        <v>930</v>
      </c>
      <c r="AL78" s="47" t="s">
        <v>931</v>
      </c>
      <c r="AM78" s="47" t="s">
        <v>931</v>
      </c>
      <c r="AN78" s="37"/>
    </row>
    <row r="79" spans="1:40" hidden="1">
      <c r="A79" s="47" t="s">
        <v>982</v>
      </c>
      <c r="B79" s="47" t="s">
        <v>919</v>
      </c>
      <c r="C79" s="47" t="s">
        <v>1512</v>
      </c>
      <c r="D79" s="47">
        <f t="shared" si="4"/>
        <v>756886</v>
      </c>
      <c r="E79" s="47" t="s">
        <v>212</v>
      </c>
      <c r="F79" s="47" t="s">
        <v>213</v>
      </c>
      <c r="G79" s="47" t="s">
        <v>39</v>
      </c>
      <c r="H79" s="47" t="s">
        <v>931</v>
      </c>
      <c r="I79" s="47" t="s">
        <v>1513</v>
      </c>
      <c r="J79" s="47" t="s">
        <v>1024</v>
      </c>
      <c r="K79" s="47" t="s">
        <v>163</v>
      </c>
      <c r="L79" s="47" t="s">
        <v>1432</v>
      </c>
      <c r="M79" s="47" t="s">
        <v>1025</v>
      </c>
      <c r="N79" s="47" t="s">
        <v>1026</v>
      </c>
      <c r="O79" s="47" t="s">
        <v>930</v>
      </c>
      <c r="P79" s="47" t="s">
        <v>930</v>
      </c>
      <c r="Q79" s="47" t="str">
        <f t="shared" si="5"/>
        <v xml:space="preserve"> Chiều T4</v>
      </c>
      <c r="R79" s="47" t="s">
        <v>973</v>
      </c>
      <c r="S79" s="47" t="s">
        <v>1059</v>
      </c>
      <c r="T79" s="47" t="s">
        <v>1514</v>
      </c>
      <c r="U79" s="47" t="s">
        <v>1515</v>
      </c>
      <c r="V79" s="47" t="s">
        <v>16</v>
      </c>
      <c r="W79" s="47" t="s">
        <v>931</v>
      </c>
      <c r="X79" s="47" t="s">
        <v>1030</v>
      </c>
      <c r="Y79" s="47" t="s">
        <v>39</v>
      </c>
      <c r="Z79" s="47" t="s">
        <v>1031</v>
      </c>
      <c r="AA79" s="47" t="s">
        <v>1032</v>
      </c>
      <c r="AB79" s="47" t="s">
        <v>1359</v>
      </c>
      <c r="AC79" s="47" t="s">
        <v>515</v>
      </c>
      <c r="AD79" s="47" t="s">
        <v>1516</v>
      </c>
      <c r="AE79" s="47" t="s">
        <v>937</v>
      </c>
      <c r="AF79" s="47" t="s">
        <v>931</v>
      </c>
      <c r="AG79" s="47" t="s">
        <v>931</v>
      </c>
      <c r="AH79" s="47" t="s">
        <v>364</v>
      </c>
      <c r="AI79" s="47" t="s">
        <v>931</v>
      </c>
      <c r="AJ79" s="47" t="s">
        <v>365</v>
      </c>
      <c r="AK79" s="47" t="s">
        <v>930</v>
      </c>
      <c r="AL79" s="47" t="s">
        <v>931</v>
      </c>
      <c r="AM79" s="47" t="s">
        <v>931</v>
      </c>
      <c r="AN79" s="37"/>
    </row>
    <row r="80" spans="1:40" hidden="1">
      <c r="A80" s="47" t="s">
        <v>982</v>
      </c>
      <c r="B80" s="47" t="s">
        <v>919</v>
      </c>
      <c r="C80" s="47" t="s">
        <v>1517</v>
      </c>
      <c r="D80" s="47">
        <f t="shared" si="4"/>
        <v>756878</v>
      </c>
      <c r="E80" s="47" t="s">
        <v>183</v>
      </c>
      <c r="F80" s="47" t="s">
        <v>160</v>
      </c>
      <c r="G80" s="47" t="s">
        <v>38</v>
      </c>
      <c r="H80" s="47" t="s">
        <v>1518</v>
      </c>
      <c r="I80" s="47" t="s">
        <v>1519</v>
      </c>
      <c r="J80" s="47" t="s">
        <v>944</v>
      </c>
      <c r="K80" s="47" t="s">
        <v>163</v>
      </c>
      <c r="L80" s="47" t="s">
        <v>1371</v>
      </c>
      <c r="M80" s="47" t="s">
        <v>1057</v>
      </c>
      <c r="N80" s="47" t="s">
        <v>1026</v>
      </c>
      <c r="O80" s="47" t="s">
        <v>930</v>
      </c>
      <c r="P80" s="47" t="s">
        <v>930</v>
      </c>
      <c r="Q80" s="47" t="str">
        <f t="shared" si="5"/>
        <v xml:space="preserve"> Sáng T2:</v>
      </c>
      <c r="R80" s="47" t="s">
        <v>947</v>
      </c>
      <c r="S80" s="47" t="s">
        <v>1103</v>
      </c>
      <c r="T80" s="47" t="s">
        <v>1520</v>
      </c>
      <c r="U80" s="47" t="s">
        <v>1521</v>
      </c>
      <c r="V80" s="47" t="s">
        <v>18</v>
      </c>
      <c r="W80" s="47" t="s">
        <v>931</v>
      </c>
      <c r="X80" s="47" t="s">
        <v>1030</v>
      </c>
      <c r="Y80" s="47" t="s">
        <v>38</v>
      </c>
      <c r="Z80" s="47" t="s">
        <v>1347</v>
      </c>
      <c r="AA80" s="47" t="s">
        <v>1348</v>
      </c>
      <c r="AB80" s="47" t="s">
        <v>1522</v>
      </c>
      <c r="AC80" s="47" t="s">
        <v>1451</v>
      </c>
      <c r="AD80" s="47" t="s">
        <v>1523</v>
      </c>
      <c r="AE80" s="47" t="s">
        <v>937</v>
      </c>
      <c r="AF80" s="47" t="s">
        <v>1524</v>
      </c>
      <c r="AG80" s="47" t="s">
        <v>1525</v>
      </c>
      <c r="AH80" s="47" t="s">
        <v>364</v>
      </c>
      <c r="AI80" s="47" t="s">
        <v>931</v>
      </c>
      <c r="AJ80" s="47" t="s">
        <v>365</v>
      </c>
      <c r="AK80" s="47" t="s">
        <v>930</v>
      </c>
      <c r="AL80" s="47" t="s">
        <v>931</v>
      </c>
      <c r="AM80" s="47" t="s">
        <v>931</v>
      </c>
      <c r="AN80" s="37"/>
    </row>
    <row r="81" spans="1:40" hidden="1">
      <c r="A81" s="47" t="s">
        <v>982</v>
      </c>
      <c r="B81" s="47" t="s">
        <v>919</v>
      </c>
      <c r="C81" s="47" t="s">
        <v>1526</v>
      </c>
      <c r="D81" s="47">
        <f t="shared" si="4"/>
        <v>756884</v>
      </c>
      <c r="E81" s="47" t="s">
        <v>212</v>
      </c>
      <c r="F81" s="47" t="s">
        <v>213</v>
      </c>
      <c r="G81" s="47" t="s">
        <v>35</v>
      </c>
      <c r="H81" s="47" t="s">
        <v>1100</v>
      </c>
      <c r="I81" s="47" t="s">
        <v>1527</v>
      </c>
      <c r="J81" s="47" t="s">
        <v>1024</v>
      </c>
      <c r="K81" s="47" t="s">
        <v>163</v>
      </c>
      <c r="L81" s="47" t="s">
        <v>1432</v>
      </c>
      <c r="M81" s="47" t="s">
        <v>1025</v>
      </c>
      <c r="N81" s="47" t="s">
        <v>1026</v>
      </c>
      <c r="O81" s="47" t="s">
        <v>930</v>
      </c>
      <c r="P81" s="47" t="s">
        <v>930</v>
      </c>
      <c r="Q81" s="47" t="str">
        <f t="shared" si="5"/>
        <v xml:space="preserve"> Chiều T2</v>
      </c>
      <c r="R81" s="47" t="s">
        <v>973</v>
      </c>
      <c r="S81" s="47" t="s">
        <v>1103</v>
      </c>
      <c r="T81" s="47" t="s">
        <v>1528</v>
      </c>
      <c r="U81" s="47" t="s">
        <v>1529</v>
      </c>
      <c r="V81" s="47" t="s">
        <v>16</v>
      </c>
      <c r="W81" s="47" t="s">
        <v>931</v>
      </c>
      <c r="X81" s="47" t="s">
        <v>1030</v>
      </c>
      <c r="Y81" s="47" t="s">
        <v>35</v>
      </c>
      <c r="Z81" s="47" t="s">
        <v>1133</v>
      </c>
      <c r="AA81" s="47" t="s">
        <v>1134</v>
      </c>
      <c r="AB81" s="47" t="s">
        <v>1530</v>
      </c>
      <c r="AC81" s="47" t="s">
        <v>515</v>
      </c>
      <c r="AD81" s="47" t="s">
        <v>1531</v>
      </c>
      <c r="AE81" s="47" t="s">
        <v>937</v>
      </c>
      <c r="AF81" s="47" t="s">
        <v>931</v>
      </c>
      <c r="AG81" s="47" t="s">
        <v>1532</v>
      </c>
      <c r="AH81" s="47" t="s">
        <v>364</v>
      </c>
      <c r="AI81" s="47" t="s">
        <v>931</v>
      </c>
      <c r="AJ81" s="47" t="s">
        <v>365</v>
      </c>
      <c r="AK81" s="47" t="s">
        <v>930</v>
      </c>
      <c r="AL81" s="47" t="s">
        <v>931</v>
      </c>
      <c r="AM81" s="47" t="s">
        <v>931</v>
      </c>
      <c r="AN81" s="37"/>
    </row>
    <row r="82" spans="1:40" hidden="1">
      <c r="A82" s="47" t="s">
        <v>982</v>
      </c>
      <c r="B82" s="47" t="s">
        <v>919</v>
      </c>
      <c r="C82" s="47" t="s">
        <v>1533</v>
      </c>
      <c r="D82" s="47">
        <f t="shared" si="4"/>
        <v>756891</v>
      </c>
      <c r="E82" s="47" t="s">
        <v>212</v>
      </c>
      <c r="F82" s="47" t="s">
        <v>213</v>
      </c>
      <c r="G82" s="47" t="s">
        <v>44</v>
      </c>
      <c r="H82" s="47" t="s">
        <v>1100</v>
      </c>
      <c r="I82" s="47" t="s">
        <v>1534</v>
      </c>
      <c r="J82" s="47" t="s">
        <v>1024</v>
      </c>
      <c r="K82" s="47" t="s">
        <v>163</v>
      </c>
      <c r="L82" s="47" t="s">
        <v>1003</v>
      </c>
      <c r="M82" s="47" t="s">
        <v>1025</v>
      </c>
      <c r="N82" s="47" t="s">
        <v>1026</v>
      </c>
      <c r="O82" s="47" t="s">
        <v>930</v>
      </c>
      <c r="P82" s="47" t="s">
        <v>930</v>
      </c>
      <c r="Q82" s="47" t="str">
        <f t="shared" si="5"/>
        <v xml:space="preserve"> Chiều T4</v>
      </c>
      <c r="R82" s="47" t="s">
        <v>973</v>
      </c>
      <c r="S82" s="47" t="s">
        <v>1059</v>
      </c>
      <c r="T82" s="47" t="s">
        <v>1535</v>
      </c>
      <c r="U82" s="47" t="s">
        <v>1536</v>
      </c>
      <c r="V82" s="47" t="s">
        <v>18</v>
      </c>
      <c r="W82" s="47" t="s">
        <v>931</v>
      </c>
      <c r="X82" s="47" t="s">
        <v>1030</v>
      </c>
      <c r="Y82" s="47" t="s">
        <v>44</v>
      </c>
      <c r="Z82" s="47" t="s">
        <v>1209</v>
      </c>
      <c r="AA82" s="47" t="s">
        <v>1210</v>
      </c>
      <c r="AB82" s="47" t="s">
        <v>1365</v>
      </c>
      <c r="AC82" s="47" t="s">
        <v>515</v>
      </c>
      <c r="AD82" s="47" t="s">
        <v>1537</v>
      </c>
      <c r="AE82" s="47" t="s">
        <v>937</v>
      </c>
      <c r="AF82" s="47" t="s">
        <v>931</v>
      </c>
      <c r="AG82" s="47" t="s">
        <v>1538</v>
      </c>
      <c r="AH82" s="47" t="s">
        <v>364</v>
      </c>
      <c r="AI82" s="47" t="s">
        <v>931</v>
      </c>
      <c r="AJ82" s="47" t="s">
        <v>365</v>
      </c>
      <c r="AK82" s="47" t="s">
        <v>930</v>
      </c>
      <c r="AL82" s="47" t="s">
        <v>931</v>
      </c>
      <c r="AM82" s="47" t="s">
        <v>931</v>
      </c>
      <c r="AN82" s="37"/>
    </row>
    <row r="83" spans="1:40" hidden="1">
      <c r="A83" s="47" t="s">
        <v>982</v>
      </c>
      <c r="B83" s="47" t="s">
        <v>919</v>
      </c>
      <c r="C83" s="47" t="s">
        <v>1539</v>
      </c>
      <c r="D83" s="47">
        <f t="shared" si="4"/>
        <v>756899</v>
      </c>
      <c r="E83" s="47" t="s">
        <v>212</v>
      </c>
      <c r="F83" s="47" t="s">
        <v>213</v>
      </c>
      <c r="G83" s="47" t="s">
        <v>43</v>
      </c>
      <c r="H83" s="47" t="s">
        <v>931</v>
      </c>
      <c r="I83" s="47" t="s">
        <v>1540</v>
      </c>
      <c r="J83" s="47" t="s">
        <v>1354</v>
      </c>
      <c r="K83" s="47" t="s">
        <v>163</v>
      </c>
      <c r="L83" s="47" t="s">
        <v>1003</v>
      </c>
      <c r="M83" s="47" t="s">
        <v>1025</v>
      </c>
      <c r="N83" s="47" t="s">
        <v>1026</v>
      </c>
      <c r="O83" s="47" t="s">
        <v>930</v>
      </c>
      <c r="P83" s="47" t="s">
        <v>930</v>
      </c>
      <c r="Q83" s="47" t="str">
        <f t="shared" si="5"/>
        <v xml:space="preserve"> Sáng T3:</v>
      </c>
      <c r="R83" s="47" t="s">
        <v>947</v>
      </c>
      <c r="S83" s="47" t="s">
        <v>1070</v>
      </c>
      <c r="T83" s="47" t="s">
        <v>1541</v>
      </c>
      <c r="U83" s="47" t="s">
        <v>1542</v>
      </c>
      <c r="V83" s="47" t="s">
        <v>18</v>
      </c>
      <c r="W83" s="47" t="s">
        <v>931</v>
      </c>
      <c r="X83" s="47" t="s">
        <v>1030</v>
      </c>
      <c r="Y83" s="47" t="s">
        <v>43</v>
      </c>
      <c r="Z83" s="47" t="s">
        <v>1463</v>
      </c>
      <c r="AA83" s="47" t="s">
        <v>1464</v>
      </c>
      <c r="AB83" s="47" t="s">
        <v>1359</v>
      </c>
      <c r="AC83" s="47" t="s">
        <v>515</v>
      </c>
      <c r="AD83" s="47" t="s">
        <v>1543</v>
      </c>
      <c r="AE83" s="47" t="s">
        <v>937</v>
      </c>
      <c r="AF83" s="47" t="s">
        <v>931</v>
      </c>
      <c r="AG83" s="47" t="s">
        <v>931</v>
      </c>
      <c r="AH83" s="47" t="s">
        <v>364</v>
      </c>
      <c r="AI83" s="47" t="s">
        <v>931</v>
      </c>
      <c r="AJ83" s="47" t="s">
        <v>365</v>
      </c>
      <c r="AK83" s="47" t="s">
        <v>930</v>
      </c>
      <c r="AL83" s="47" t="s">
        <v>931</v>
      </c>
      <c r="AM83" s="47" t="s">
        <v>931</v>
      </c>
      <c r="AN83" s="37"/>
    </row>
    <row r="84" spans="1:40" hidden="1">
      <c r="A84" s="47" t="s">
        <v>982</v>
      </c>
      <c r="B84" s="47" t="s">
        <v>919</v>
      </c>
      <c r="C84" s="47" t="s">
        <v>1544</v>
      </c>
      <c r="D84" s="47">
        <f t="shared" si="4"/>
        <v>756897</v>
      </c>
      <c r="E84" s="47" t="s">
        <v>212</v>
      </c>
      <c r="F84" s="47" t="s">
        <v>213</v>
      </c>
      <c r="G84" s="47" t="s">
        <v>40</v>
      </c>
      <c r="H84" s="47" t="s">
        <v>931</v>
      </c>
      <c r="I84" s="47" t="s">
        <v>1545</v>
      </c>
      <c r="J84" s="47" t="s">
        <v>1024</v>
      </c>
      <c r="K84" s="47" t="s">
        <v>163</v>
      </c>
      <c r="L84" s="47" t="s">
        <v>1432</v>
      </c>
      <c r="M84" s="47" t="s">
        <v>1025</v>
      </c>
      <c r="N84" s="47" t="s">
        <v>1026</v>
      </c>
      <c r="O84" s="47" t="s">
        <v>930</v>
      </c>
      <c r="P84" s="47" t="s">
        <v>930</v>
      </c>
      <c r="Q84" s="47" t="str">
        <f t="shared" si="5"/>
        <v xml:space="preserve"> Chiều T6</v>
      </c>
      <c r="R84" s="47" t="s">
        <v>973</v>
      </c>
      <c r="S84" s="47" t="s">
        <v>1140</v>
      </c>
      <c r="T84" s="47" t="s">
        <v>1546</v>
      </c>
      <c r="U84" s="47" t="s">
        <v>1547</v>
      </c>
      <c r="V84" s="47" t="s">
        <v>24</v>
      </c>
      <c r="W84" s="47" t="s">
        <v>931</v>
      </c>
      <c r="X84" s="47" t="s">
        <v>1030</v>
      </c>
      <c r="Y84" s="47" t="s">
        <v>40</v>
      </c>
      <c r="Z84" s="47" t="s">
        <v>1357</v>
      </c>
      <c r="AA84" s="47" t="s">
        <v>1358</v>
      </c>
      <c r="AB84" s="47" t="s">
        <v>1548</v>
      </c>
      <c r="AC84" s="47" t="s">
        <v>515</v>
      </c>
      <c r="AD84" s="47" t="s">
        <v>1549</v>
      </c>
      <c r="AE84" s="47" t="s">
        <v>937</v>
      </c>
      <c r="AF84" s="47" t="s">
        <v>931</v>
      </c>
      <c r="AG84" s="47" t="s">
        <v>931</v>
      </c>
      <c r="AH84" s="47" t="s">
        <v>364</v>
      </c>
      <c r="AI84" s="47" t="s">
        <v>931</v>
      </c>
      <c r="AJ84" s="47" t="s">
        <v>365</v>
      </c>
      <c r="AK84" s="47" t="s">
        <v>930</v>
      </c>
      <c r="AL84" s="47" t="s">
        <v>931</v>
      </c>
      <c r="AM84" s="47" t="s">
        <v>931</v>
      </c>
      <c r="AN84" s="37"/>
    </row>
    <row r="85" spans="1:40" hidden="1">
      <c r="A85" s="47" t="s">
        <v>982</v>
      </c>
      <c r="B85" s="47" t="s">
        <v>919</v>
      </c>
      <c r="C85" s="47" t="s">
        <v>1550</v>
      </c>
      <c r="D85" s="47">
        <f t="shared" si="4"/>
        <v>756882</v>
      </c>
      <c r="E85" s="47" t="s">
        <v>183</v>
      </c>
      <c r="F85" s="47" t="s">
        <v>160</v>
      </c>
      <c r="G85" s="47" t="s">
        <v>38</v>
      </c>
      <c r="H85" s="47" t="s">
        <v>1518</v>
      </c>
      <c r="I85" s="47" t="s">
        <v>1551</v>
      </c>
      <c r="J85" s="47" t="s">
        <v>944</v>
      </c>
      <c r="K85" s="47" t="s">
        <v>163</v>
      </c>
      <c r="L85" s="47" t="s">
        <v>1258</v>
      </c>
      <c r="M85" s="47" t="s">
        <v>1057</v>
      </c>
      <c r="N85" s="47" t="s">
        <v>1026</v>
      </c>
      <c r="O85" s="47" t="s">
        <v>930</v>
      </c>
      <c r="P85" s="47" t="s">
        <v>930</v>
      </c>
      <c r="Q85" s="47" t="str">
        <f t="shared" si="5"/>
        <v xml:space="preserve"> Sáng T2:</v>
      </c>
      <c r="R85" s="47" t="s">
        <v>947</v>
      </c>
      <c r="S85" s="47" t="s">
        <v>1103</v>
      </c>
      <c r="T85" s="47" t="s">
        <v>1552</v>
      </c>
      <c r="U85" s="47" t="s">
        <v>1553</v>
      </c>
      <c r="V85" s="47" t="s">
        <v>20</v>
      </c>
      <c r="W85" s="47" t="s">
        <v>931</v>
      </c>
      <c r="X85" s="47" t="s">
        <v>1030</v>
      </c>
      <c r="Y85" s="47" t="s">
        <v>38</v>
      </c>
      <c r="Z85" s="47" t="s">
        <v>1347</v>
      </c>
      <c r="AA85" s="47" t="s">
        <v>1348</v>
      </c>
      <c r="AB85" s="47" t="s">
        <v>1554</v>
      </c>
      <c r="AC85" s="47" t="s">
        <v>1451</v>
      </c>
      <c r="AD85" s="47" t="s">
        <v>1555</v>
      </c>
      <c r="AE85" s="47" t="s">
        <v>937</v>
      </c>
      <c r="AF85" s="47" t="s">
        <v>1556</v>
      </c>
      <c r="AG85" s="47" t="s">
        <v>1557</v>
      </c>
      <c r="AH85" s="47" t="s">
        <v>364</v>
      </c>
      <c r="AI85" s="47" t="s">
        <v>931</v>
      </c>
      <c r="AJ85" s="47" t="s">
        <v>365</v>
      </c>
      <c r="AK85" s="47" t="s">
        <v>930</v>
      </c>
      <c r="AL85" s="47" t="s">
        <v>931</v>
      </c>
      <c r="AM85" s="47" t="s">
        <v>931</v>
      </c>
      <c r="AN85" s="37"/>
    </row>
    <row r="86" spans="1:40" hidden="1">
      <c r="A86" s="47" t="s">
        <v>982</v>
      </c>
      <c r="B86" s="47" t="s">
        <v>919</v>
      </c>
      <c r="C86" s="47" t="s">
        <v>1558</v>
      </c>
      <c r="D86" s="47">
        <f t="shared" si="4"/>
        <v>756879</v>
      </c>
      <c r="E86" s="47" t="s">
        <v>183</v>
      </c>
      <c r="F86" s="47" t="s">
        <v>160</v>
      </c>
      <c r="G86" s="47" t="s">
        <v>38</v>
      </c>
      <c r="H86" s="47" t="s">
        <v>1518</v>
      </c>
      <c r="I86" s="47" t="s">
        <v>1559</v>
      </c>
      <c r="J86" s="47" t="s">
        <v>944</v>
      </c>
      <c r="K86" s="47" t="s">
        <v>163</v>
      </c>
      <c r="L86" s="47" t="s">
        <v>1246</v>
      </c>
      <c r="M86" s="47" t="s">
        <v>1057</v>
      </c>
      <c r="N86" s="47" t="s">
        <v>1026</v>
      </c>
      <c r="O86" s="47" t="s">
        <v>930</v>
      </c>
      <c r="P86" s="47" t="s">
        <v>930</v>
      </c>
      <c r="Q86" s="47" t="str">
        <f t="shared" si="5"/>
        <v xml:space="preserve"> Sáng T5:</v>
      </c>
      <c r="R86" s="47" t="s">
        <v>947</v>
      </c>
      <c r="S86" s="47" t="s">
        <v>1027</v>
      </c>
      <c r="T86" s="47" t="s">
        <v>1560</v>
      </c>
      <c r="U86" s="47" t="s">
        <v>1561</v>
      </c>
      <c r="V86" s="47" t="s">
        <v>19</v>
      </c>
      <c r="W86" s="47" t="s">
        <v>931</v>
      </c>
      <c r="X86" s="47" t="s">
        <v>1030</v>
      </c>
      <c r="Y86" s="47" t="s">
        <v>38</v>
      </c>
      <c r="Z86" s="47" t="s">
        <v>1347</v>
      </c>
      <c r="AA86" s="47" t="s">
        <v>1348</v>
      </c>
      <c r="AB86" s="47" t="s">
        <v>1562</v>
      </c>
      <c r="AC86" s="47" t="s">
        <v>1451</v>
      </c>
      <c r="AD86" s="47" t="s">
        <v>1563</v>
      </c>
      <c r="AE86" s="47" t="s">
        <v>937</v>
      </c>
      <c r="AF86" s="47" t="s">
        <v>1564</v>
      </c>
      <c r="AG86" s="47" t="s">
        <v>1565</v>
      </c>
      <c r="AH86" s="47" t="s">
        <v>364</v>
      </c>
      <c r="AI86" s="47" t="s">
        <v>931</v>
      </c>
      <c r="AJ86" s="47" t="s">
        <v>365</v>
      </c>
      <c r="AK86" s="47" t="s">
        <v>930</v>
      </c>
      <c r="AL86" s="47" t="s">
        <v>931</v>
      </c>
      <c r="AM86" s="47" t="s">
        <v>931</v>
      </c>
      <c r="AN86" s="37"/>
    </row>
    <row r="87" spans="1:40" hidden="1">
      <c r="A87" s="47" t="s">
        <v>982</v>
      </c>
      <c r="B87" s="47" t="s">
        <v>919</v>
      </c>
      <c r="C87" s="47" t="s">
        <v>1566</v>
      </c>
      <c r="D87" s="47">
        <f t="shared" si="4"/>
        <v>756895</v>
      </c>
      <c r="E87" s="47" t="s">
        <v>212</v>
      </c>
      <c r="F87" s="47" t="s">
        <v>213</v>
      </c>
      <c r="G87" s="47" t="s">
        <v>36</v>
      </c>
      <c r="H87" s="47" t="s">
        <v>931</v>
      </c>
      <c r="I87" s="47" t="s">
        <v>1567</v>
      </c>
      <c r="J87" s="47" t="s">
        <v>1024</v>
      </c>
      <c r="K87" s="47" t="s">
        <v>163</v>
      </c>
      <c r="L87" s="47" t="s">
        <v>1003</v>
      </c>
      <c r="M87" s="47" t="s">
        <v>1025</v>
      </c>
      <c r="N87" s="47" t="s">
        <v>1026</v>
      </c>
      <c r="O87" s="47" t="s">
        <v>930</v>
      </c>
      <c r="P87" s="47" t="s">
        <v>930</v>
      </c>
      <c r="Q87" s="47" t="str">
        <f t="shared" si="5"/>
        <v xml:space="preserve"> Chiều T4</v>
      </c>
      <c r="R87" s="47" t="s">
        <v>973</v>
      </c>
      <c r="S87" s="47" t="s">
        <v>1059</v>
      </c>
      <c r="T87" s="47" t="s">
        <v>1568</v>
      </c>
      <c r="U87" s="47" t="s">
        <v>1569</v>
      </c>
      <c r="V87" s="47" t="s">
        <v>24</v>
      </c>
      <c r="W87" s="47" t="s">
        <v>931</v>
      </c>
      <c r="X87" s="47" t="s">
        <v>1030</v>
      </c>
      <c r="Y87" s="47" t="s">
        <v>36</v>
      </c>
      <c r="Z87" s="47" t="s">
        <v>1126</v>
      </c>
      <c r="AA87" s="47" t="s">
        <v>1127</v>
      </c>
      <c r="AB87" s="47" t="s">
        <v>1465</v>
      </c>
      <c r="AC87" s="47" t="s">
        <v>515</v>
      </c>
      <c r="AD87" s="47" t="s">
        <v>1570</v>
      </c>
      <c r="AE87" s="47" t="s">
        <v>937</v>
      </c>
      <c r="AF87" s="47" t="s">
        <v>931</v>
      </c>
      <c r="AG87" s="47" t="s">
        <v>931</v>
      </c>
      <c r="AH87" s="47" t="s">
        <v>364</v>
      </c>
      <c r="AI87" s="47" t="s">
        <v>931</v>
      </c>
      <c r="AJ87" s="47" t="s">
        <v>365</v>
      </c>
      <c r="AK87" s="47" t="s">
        <v>930</v>
      </c>
      <c r="AL87" s="47" t="s">
        <v>931</v>
      </c>
      <c r="AM87" s="47" t="s">
        <v>931</v>
      </c>
      <c r="AN87" s="37"/>
    </row>
    <row r="88" spans="1:40" hidden="1">
      <c r="A88" s="47" t="s">
        <v>982</v>
      </c>
      <c r="B88" s="47" t="s">
        <v>919</v>
      </c>
      <c r="C88" s="47" t="s">
        <v>1571</v>
      </c>
      <c r="D88" s="47">
        <f t="shared" si="4"/>
        <v>756898</v>
      </c>
      <c r="E88" s="47" t="s">
        <v>212</v>
      </c>
      <c r="F88" s="47" t="s">
        <v>213</v>
      </c>
      <c r="G88" s="47" t="s">
        <v>41</v>
      </c>
      <c r="H88" s="47" t="s">
        <v>1100</v>
      </c>
      <c r="I88" s="47" t="s">
        <v>1572</v>
      </c>
      <c r="J88" s="47" t="s">
        <v>1354</v>
      </c>
      <c r="K88" s="47" t="s">
        <v>163</v>
      </c>
      <c r="L88" s="47" t="s">
        <v>1447</v>
      </c>
      <c r="M88" s="47" t="s">
        <v>1025</v>
      </c>
      <c r="N88" s="47" t="s">
        <v>1026</v>
      </c>
      <c r="O88" s="47" t="s">
        <v>930</v>
      </c>
      <c r="P88" s="47" t="s">
        <v>930</v>
      </c>
      <c r="Q88" s="47" t="str">
        <f t="shared" si="5"/>
        <v xml:space="preserve"> Sáng T3:</v>
      </c>
      <c r="R88" s="47" t="s">
        <v>947</v>
      </c>
      <c r="S88" s="47" t="s">
        <v>1070</v>
      </c>
      <c r="T88" s="47" t="s">
        <v>1573</v>
      </c>
      <c r="U88" s="47" t="s">
        <v>1574</v>
      </c>
      <c r="V88" s="47" t="s">
        <v>19</v>
      </c>
      <c r="W88" s="47" t="s">
        <v>931</v>
      </c>
      <c r="X88" s="47" t="s">
        <v>1030</v>
      </c>
      <c r="Y88" s="47" t="s">
        <v>41</v>
      </c>
      <c r="Z88" s="47" t="s">
        <v>1111</v>
      </c>
      <c r="AA88" s="47" t="s">
        <v>1112</v>
      </c>
      <c r="AB88" s="47" t="s">
        <v>1530</v>
      </c>
      <c r="AC88" s="47" t="s">
        <v>515</v>
      </c>
      <c r="AD88" s="47" t="s">
        <v>1575</v>
      </c>
      <c r="AE88" s="47" t="s">
        <v>937</v>
      </c>
      <c r="AF88" s="47" t="s">
        <v>931</v>
      </c>
      <c r="AG88" s="47" t="s">
        <v>1576</v>
      </c>
      <c r="AH88" s="47" t="s">
        <v>364</v>
      </c>
      <c r="AI88" s="47" t="s">
        <v>931</v>
      </c>
      <c r="AJ88" s="47" t="s">
        <v>365</v>
      </c>
      <c r="AK88" s="47" t="s">
        <v>930</v>
      </c>
      <c r="AL88" s="47" t="s">
        <v>931</v>
      </c>
      <c r="AM88" s="47" t="s">
        <v>931</v>
      </c>
      <c r="AN88" s="37"/>
    </row>
    <row r="89" spans="1:40" hidden="1">
      <c r="A89" s="47" t="s">
        <v>982</v>
      </c>
      <c r="B89" s="47" t="s">
        <v>919</v>
      </c>
      <c r="C89" s="47" t="s">
        <v>1577</v>
      </c>
      <c r="D89" s="47">
        <f t="shared" si="4"/>
        <v>756892</v>
      </c>
      <c r="E89" s="47" t="s">
        <v>212</v>
      </c>
      <c r="F89" s="47" t="s">
        <v>213</v>
      </c>
      <c r="G89" s="47" t="s">
        <v>35</v>
      </c>
      <c r="H89" s="47" t="s">
        <v>1100</v>
      </c>
      <c r="I89" s="47" t="s">
        <v>1578</v>
      </c>
      <c r="J89" s="47" t="s">
        <v>1024</v>
      </c>
      <c r="K89" s="47" t="s">
        <v>163</v>
      </c>
      <c r="L89" s="47" t="s">
        <v>1392</v>
      </c>
      <c r="M89" s="47" t="s">
        <v>1025</v>
      </c>
      <c r="N89" s="47" t="s">
        <v>1026</v>
      </c>
      <c r="O89" s="47" t="s">
        <v>930</v>
      </c>
      <c r="P89" s="47" t="s">
        <v>930</v>
      </c>
      <c r="Q89" s="47" t="str">
        <f t="shared" si="5"/>
        <v xml:space="preserve"> Chiều T3</v>
      </c>
      <c r="R89" s="47" t="s">
        <v>973</v>
      </c>
      <c r="S89" s="47" t="s">
        <v>1070</v>
      </c>
      <c r="T89" s="47" t="s">
        <v>1579</v>
      </c>
      <c r="U89" s="47" t="s">
        <v>1580</v>
      </c>
      <c r="V89" s="47" t="s">
        <v>27</v>
      </c>
      <c r="W89" s="47" t="s">
        <v>931</v>
      </c>
      <c r="X89" s="47" t="s">
        <v>1030</v>
      </c>
      <c r="Y89" s="47" t="s">
        <v>35</v>
      </c>
      <c r="Z89" s="47" t="s">
        <v>1133</v>
      </c>
      <c r="AA89" s="47" t="s">
        <v>1134</v>
      </c>
      <c r="AB89" s="47" t="s">
        <v>1379</v>
      </c>
      <c r="AC89" s="47" t="s">
        <v>515</v>
      </c>
      <c r="AD89" s="47" t="s">
        <v>1581</v>
      </c>
      <c r="AE89" s="47" t="s">
        <v>937</v>
      </c>
      <c r="AF89" s="47" t="s">
        <v>931</v>
      </c>
      <c r="AG89" s="47" t="s">
        <v>1582</v>
      </c>
      <c r="AH89" s="47" t="s">
        <v>364</v>
      </c>
      <c r="AI89" s="47" t="s">
        <v>931</v>
      </c>
      <c r="AJ89" s="47" t="s">
        <v>365</v>
      </c>
      <c r="AK89" s="47" t="s">
        <v>930</v>
      </c>
      <c r="AL89" s="47" t="s">
        <v>931</v>
      </c>
      <c r="AM89" s="47" t="s">
        <v>931</v>
      </c>
      <c r="AN89" s="37"/>
    </row>
    <row r="90" spans="1:40" hidden="1">
      <c r="A90" s="47" t="s">
        <v>982</v>
      </c>
      <c r="B90" s="47" t="s">
        <v>919</v>
      </c>
      <c r="C90" s="47" t="s">
        <v>1583</v>
      </c>
      <c r="D90" s="47">
        <f t="shared" si="4"/>
        <v>756889</v>
      </c>
      <c r="E90" s="47" t="s">
        <v>212</v>
      </c>
      <c r="F90" s="47" t="s">
        <v>213</v>
      </c>
      <c r="G90" s="47" t="s">
        <v>44</v>
      </c>
      <c r="H90" s="47" t="s">
        <v>1100</v>
      </c>
      <c r="I90" s="47" t="s">
        <v>1584</v>
      </c>
      <c r="J90" s="47" t="s">
        <v>1024</v>
      </c>
      <c r="K90" s="47" t="s">
        <v>163</v>
      </c>
      <c r="L90" s="47" t="s">
        <v>1025</v>
      </c>
      <c r="M90" s="47" t="s">
        <v>1025</v>
      </c>
      <c r="N90" s="47" t="s">
        <v>1026</v>
      </c>
      <c r="O90" s="47" t="s">
        <v>930</v>
      </c>
      <c r="P90" s="47" t="s">
        <v>930</v>
      </c>
      <c r="Q90" s="47" t="str">
        <f t="shared" si="5"/>
        <v xml:space="preserve"> Chiều T2</v>
      </c>
      <c r="R90" s="47" t="s">
        <v>973</v>
      </c>
      <c r="S90" s="47" t="s">
        <v>1103</v>
      </c>
      <c r="T90" s="47" t="s">
        <v>1585</v>
      </c>
      <c r="U90" s="47" t="s">
        <v>1586</v>
      </c>
      <c r="V90" s="47" t="s">
        <v>18</v>
      </c>
      <c r="W90" s="47" t="s">
        <v>931</v>
      </c>
      <c r="X90" s="47" t="s">
        <v>1030</v>
      </c>
      <c r="Y90" s="47" t="s">
        <v>44</v>
      </c>
      <c r="Z90" s="47" t="s">
        <v>1209</v>
      </c>
      <c r="AA90" s="47" t="s">
        <v>1210</v>
      </c>
      <c r="AB90" s="47" t="s">
        <v>1105</v>
      </c>
      <c r="AC90" s="47" t="s">
        <v>515</v>
      </c>
      <c r="AD90" s="47" t="s">
        <v>1587</v>
      </c>
      <c r="AE90" s="47" t="s">
        <v>937</v>
      </c>
      <c r="AF90" s="47" t="s">
        <v>931</v>
      </c>
      <c r="AG90" s="47" t="s">
        <v>1588</v>
      </c>
      <c r="AH90" s="47" t="s">
        <v>364</v>
      </c>
      <c r="AI90" s="47" t="s">
        <v>931</v>
      </c>
      <c r="AJ90" s="47" t="s">
        <v>365</v>
      </c>
      <c r="AK90" s="47" t="s">
        <v>930</v>
      </c>
      <c r="AL90" s="47" t="s">
        <v>931</v>
      </c>
      <c r="AM90" s="47" t="s">
        <v>931</v>
      </c>
      <c r="AN90" s="37"/>
    </row>
    <row r="91" spans="1:40" hidden="1">
      <c r="A91" s="47" t="s">
        <v>982</v>
      </c>
      <c r="B91" s="47" t="s">
        <v>919</v>
      </c>
      <c r="C91" s="47" t="s">
        <v>1589</v>
      </c>
      <c r="D91" s="47">
        <f t="shared" si="4"/>
        <v>756866</v>
      </c>
      <c r="E91" s="47" t="s">
        <v>159</v>
      </c>
      <c r="F91" s="47" t="s">
        <v>160</v>
      </c>
      <c r="G91" s="47" t="s">
        <v>1590</v>
      </c>
      <c r="H91" s="47" t="s">
        <v>931</v>
      </c>
      <c r="I91" s="47" t="s">
        <v>1591</v>
      </c>
      <c r="J91" s="47" t="s">
        <v>1024</v>
      </c>
      <c r="K91" s="47" t="s">
        <v>163</v>
      </c>
      <c r="L91" s="47" t="s">
        <v>1057</v>
      </c>
      <c r="M91" s="47" t="s">
        <v>1056</v>
      </c>
      <c r="N91" s="47" t="s">
        <v>1026</v>
      </c>
      <c r="O91" s="47" t="s">
        <v>930</v>
      </c>
      <c r="P91" s="47" t="s">
        <v>930</v>
      </c>
      <c r="Q91" s="47" t="str">
        <f t="shared" si="5"/>
        <v xml:space="preserve"> Chiều T6</v>
      </c>
      <c r="R91" s="47" t="s">
        <v>973</v>
      </c>
      <c r="S91" s="47" t="s">
        <v>1140</v>
      </c>
      <c r="T91" s="47" t="s">
        <v>1592</v>
      </c>
      <c r="U91" s="47" t="s">
        <v>1593</v>
      </c>
      <c r="V91" s="47" t="s">
        <v>19</v>
      </c>
      <c r="W91" s="47" t="s">
        <v>931</v>
      </c>
      <c r="X91" s="47" t="s">
        <v>932</v>
      </c>
      <c r="Y91" s="47" t="s">
        <v>1590</v>
      </c>
      <c r="Z91" s="47" t="s">
        <v>1594</v>
      </c>
      <c r="AA91" s="47" t="s">
        <v>1595</v>
      </c>
      <c r="AB91" s="47" t="s">
        <v>1596</v>
      </c>
      <c r="AC91" s="47" t="s">
        <v>447</v>
      </c>
      <c r="AD91" s="47" t="s">
        <v>1597</v>
      </c>
      <c r="AE91" s="47" t="s">
        <v>937</v>
      </c>
      <c r="AF91" s="47" t="s">
        <v>931</v>
      </c>
      <c r="AG91" s="47" t="s">
        <v>931</v>
      </c>
      <c r="AH91" s="47" t="s">
        <v>931</v>
      </c>
      <c r="AI91" s="47" t="s">
        <v>931</v>
      </c>
      <c r="AJ91" s="47" t="s">
        <v>931</v>
      </c>
      <c r="AK91" s="47" t="s">
        <v>930</v>
      </c>
      <c r="AL91" s="47" t="s">
        <v>931</v>
      </c>
      <c r="AM91" s="47" t="s">
        <v>931</v>
      </c>
      <c r="AN91" s="37"/>
    </row>
    <row r="92" spans="1:40" hidden="1">
      <c r="A92" s="47" t="s">
        <v>982</v>
      </c>
      <c r="B92" s="47" t="s">
        <v>919</v>
      </c>
      <c r="C92" s="47" t="s">
        <v>1598</v>
      </c>
      <c r="D92" s="47">
        <f t="shared" si="4"/>
        <v>756874</v>
      </c>
      <c r="E92" s="47" t="s">
        <v>159</v>
      </c>
      <c r="F92" s="47" t="s">
        <v>160</v>
      </c>
      <c r="G92" s="47" t="s">
        <v>854</v>
      </c>
      <c r="H92" s="47" t="s">
        <v>931</v>
      </c>
      <c r="I92" s="47" t="s">
        <v>1599</v>
      </c>
      <c r="J92" s="47" t="s">
        <v>1024</v>
      </c>
      <c r="K92" s="47" t="s">
        <v>163</v>
      </c>
      <c r="L92" s="47" t="s">
        <v>1102</v>
      </c>
      <c r="M92" s="47" t="s">
        <v>1057</v>
      </c>
      <c r="N92" s="47" t="s">
        <v>1026</v>
      </c>
      <c r="O92" s="47" t="s">
        <v>930</v>
      </c>
      <c r="P92" s="47" t="s">
        <v>930</v>
      </c>
      <c r="Q92" s="47" t="str">
        <f t="shared" si="5"/>
        <v xml:space="preserve"> Chiều T4</v>
      </c>
      <c r="R92" s="47" t="s">
        <v>973</v>
      </c>
      <c r="S92" s="47" t="s">
        <v>1059</v>
      </c>
      <c r="T92" s="47" t="s">
        <v>1600</v>
      </c>
      <c r="U92" s="47" t="s">
        <v>1601</v>
      </c>
      <c r="V92" s="47" t="s">
        <v>20</v>
      </c>
      <c r="W92" s="47" t="s">
        <v>931</v>
      </c>
      <c r="X92" s="47" t="s">
        <v>932</v>
      </c>
      <c r="Y92" s="47" t="s">
        <v>854</v>
      </c>
      <c r="Z92" s="47" t="s">
        <v>1602</v>
      </c>
      <c r="AA92" s="47" t="s">
        <v>1603</v>
      </c>
      <c r="AB92" s="47" t="s">
        <v>1604</v>
      </c>
      <c r="AC92" s="47" t="s">
        <v>447</v>
      </c>
      <c r="AD92" s="47" t="s">
        <v>1605</v>
      </c>
      <c r="AE92" s="47" t="s">
        <v>937</v>
      </c>
      <c r="AF92" s="47" t="s">
        <v>931</v>
      </c>
      <c r="AG92" s="47" t="s">
        <v>931</v>
      </c>
      <c r="AH92" s="47" t="s">
        <v>931</v>
      </c>
      <c r="AI92" s="47" t="s">
        <v>931</v>
      </c>
      <c r="AJ92" s="47" t="s">
        <v>931</v>
      </c>
      <c r="AK92" s="47" t="s">
        <v>930</v>
      </c>
      <c r="AL92" s="47" t="s">
        <v>931</v>
      </c>
      <c r="AM92" s="47" t="s">
        <v>931</v>
      </c>
      <c r="AN92" s="37"/>
    </row>
    <row r="93" spans="1:40" hidden="1">
      <c r="A93" s="47" t="s">
        <v>982</v>
      </c>
      <c r="B93" s="47" t="s">
        <v>919</v>
      </c>
      <c r="C93" s="47" t="s">
        <v>1606</v>
      </c>
      <c r="D93" s="47">
        <f t="shared" si="4"/>
        <v>756867</v>
      </c>
      <c r="E93" s="47" t="s">
        <v>159</v>
      </c>
      <c r="F93" s="47" t="s">
        <v>160</v>
      </c>
      <c r="G93" s="47" t="s">
        <v>1607</v>
      </c>
      <c r="H93" s="47" t="s">
        <v>1608</v>
      </c>
      <c r="I93" s="47" t="s">
        <v>1609</v>
      </c>
      <c r="J93" s="47" t="s">
        <v>1024</v>
      </c>
      <c r="K93" s="47" t="s">
        <v>163</v>
      </c>
      <c r="L93" s="47" t="s">
        <v>1102</v>
      </c>
      <c r="M93" s="47" t="s">
        <v>1056</v>
      </c>
      <c r="N93" s="47" t="s">
        <v>1026</v>
      </c>
      <c r="O93" s="47" t="s">
        <v>930</v>
      </c>
      <c r="P93" s="47" t="s">
        <v>930</v>
      </c>
      <c r="Q93" s="47" t="str">
        <f t="shared" si="5"/>
        <v xml:space="preserve"> Chiều T2</v>
      </c>
      <c r="R93" s="47" t="s">
        <v>973</v>
      </c>
      <c r="S93" s="47" t="s">
        <v>1103</v>
      </c>
      <c r="T93" s="47" t="s">
        <v>1610</v>
      </c>
      <c r="U93" s="47" t="s">
        <v>1611</v>
      </c>
      <c r="V93" s="47" t="s">
        <v>19</v>
      </c>
      <c r="W93" s="47" t="s">
        <v>931</v>
      </c>
      <c r="X93" s="47" t="s">
        <v>932</v>
      </c>
      <c r="Y93" s="47" t="s">
        <v>1607</v>
      </c>
      <c r="Z93" s="47" t="s">
        <v>1612</v>
      </c>
      <c r="AA93" s="47" t="s">
        <v>1613</v>
      </c>
      <c r="AB93" s="47" t="s">
        <v>1489</v>
      </c>
      <c r="AC93" s="47" t="s">
        <v>447</v>
      </c>
      <c r="AD93" s="47" t="s">
        <v>1614</v>
      </c>
      <c r="AE93" s="47" t="s">
        <v>937</v>
      </c>
      <c r="AF93" s="47" t="s">
        <v>931</v>
      </c>
      <c r="AG93" s="47" t="s">
        <v>1615</v>
      </c>
      <c r="AH93" s="47" t="s">
        <v>931</v>
      </c>
      <c r="AI93" s="47" t="s">
        <v>931</v>
      </c>
      <c r="AJ93" s="47" t="s">
        <v>931</v>
      </c>
      <c r="AK93" s="47" t="s">
        <v>930</v>
      </c>
      <c r="AL93" s="47" t="s">
        <v>931</v>
      </c>
      <c r="AM93" s="47" t="s">
        <v>931</v>
      </c>
      <c r="AN93" s="37"/>
    </row>
    <row r="94" spans="1:40" hidden="1">
      <c r="A94" s="47" t="s">
        <v>982</v>
      </c>
      <c r="B94" s="47" t="s">
        <v>919</v>
      </c>
      <c r="C94" s="47" t="s">
        <v>1616</v>
      </c>
      <c r="D94" s="47">
        <f t="shared" si="4"/>
        <v>756871</v>
      </c>
      <c r="E94" s="47" t="s">
        <v>159</v>
      </c>
      <c r="F94" s="47" t="s">
        <v>160</v>
      </c>
      <c r="G94" s="47" t="s">
        <v>1617</v>
      </c>
      <c r="H94" s="47" t="s">
        <v>931</v>
      </c>
      <c r="I94" s="47" t="s">
        <v>1618</v>
      </c>
      <c r="J94" s="47" t="s">
        <v>1024</v>
      </c>
      <c r="K94" s="47" t="s">
        <v>163</v>
      </c>
      <c r="L94" s="47" t="s">
        <v>1371</v>
      </c>
      <c r="M94" s="47" t="s">
        <v>1057</v>
      </c>
      <c r="N94" s="47" t="s">
        <v>1026</v>
      </c>
      <c r="O94" s="47" t="s">
        <v>930</v>
      </c>
      <c r="P94" s="47" t="s">
        <v>930</v>
      </c>
      <c r="Q94" s="47" t="str">
        <f t="shared" si="5"/>
        <v xml:space="preserve"> Sáng T6:</v>
      </c>
      <c r="R94" s="47" t="s">
        <v>947</v>
      </c>
      <c r="S94" s="47" t="s">
        <v>1140</v>
      </c>
      <c r="T94" s="47" t="s">
        <v>1141</v>
      </c>
      <c r="U94" s="47" t="s">
        <v>1619</v>
      </c>
      <c r="V94" s="47" t="s">
        <v>19</v>
      </c>
      <c r="W94" s="47" t="s">
        <v>931</v>
      </c>
      <c r="X94" s="47" t="s">
        <v>995</v>
      </c>
      <c r="Y94" s="47" t="s">
        <v>1617</v>
      </c>
      <c r="Z94" s="47" t="s">
        <v>1620</v>
      </c>
      <c r="AA94" s="47" t="s">
        <v>1621</v>
      </c>
      <c r="AB94" s="47" t="s">
        <v>1622</v>
      </c>
      <c r="AC94" s="47" t="s">
        <v>447</v>
      </c>
      <c r="AD94" s="47" t="s">
        <v>1623</v>
      </c>
      <c r="AE94" s="47" t="s">
        <v>937</v>
      </c>
      <c r="AF94" s="47" t="s">
        <v>931</v>
      </c>
      <c r="AG94" s="47" t="s">
        <v>931</v>
      </c>
      <c r="AH94" s="47" t="s">
        <v>931</v>
      </c>
      <c r="AI94" s="47" t="s">
        <v>931</v>
      </c>
      <c r="AJ94" s="47" t="s">
        <v>931</v>
      </c>
      <c r="AK94" s="47" t="s">
        <v>930</v>
      </c>
      <c r="AL94" s="47" t="s">
        <v>931</v>
      </c>
      <c r="AM94" s="47" t="s">
        <v>931</v>
      </c>
      <c r="AN94" s="37"/>
    </row>
    <row r="95" spans="1:40" hidden="1">
      <c r="A95" s="47" t="s">
        <v>982</v>
      </c>
      <c r="B95" s="47" t="s">
        <v>919</v>
      </c>
      <c r="C95" s="47" t="s">
        <v>1624</v>
      </c>
      <c r="D95" s="47">
        <f t="shared" si="4"/>
        <v>756873</v>
      </c>
      <c r="E95" s="47" t="s">
        <v>159</v>
      </c>
      <c r="F95" s="47" t="s">
        <v>160</v>
      </c>
      <c r="G95" s="47" t="s">
        <v>1625</v>
      </c>
      <c r="H95" s="47" t="s">
        <v>1608</v>
      </c>
      <c r="I95" s="47" t="s">
        <v>1626</v>
      </c>
      <c r="J95" s="47" t="s">
        <v>1024</v>
      </c>
      <c r="K95" s="47" t="s">
        <v>163</v>
      </c>
      <c r="L95" s="47" t="s">
        <v>1269</v>
      </c>
      <c r="M95" s="47" t="s">
        <v>1057</v>
      </c>
      <c r="N95" s="47" t="s">
        <v>1026</v>
      </c>
      <c r="O95" s="47" t="s">
        <v>930</v>
      </c>
      <c r="P95" s="47" t="s">
        <v>930</v>
      </c>
      <c r="Q95" s="47" t="str">
        <f t="shared" si="5"/>
        <v xml:space="preserve"> Chiều T3</v>
      </c>
      <c r="R95" s="47" t="s">
        <v>973</v>
      </c>
      <c r="S95" s="47" t="s">
        <v>1070</v>
      </c>
      <c r="T95" s="47" t="s">
        <v>1627</v>
      </c>
      <c r="U95" s="47" t="s">
        <v>1628</v>
      </c>
      <c r="V95" s="47" t="s">
        <v>20</v>
      </c>
      <c r="W95" s="47" t="s">
        <v>931</v>
      </c>
      <c r="X95" s="47" t="s">
        <v>932</v>
      </c>
      <c r="Y95" s="47" t="s">
        <v>1625</v>
      </c>
      <c r="Z95" s="47" t="s">
        <v>1629</v>
      </c>
      <c r="AA95" s="47" t="s">
        <v>1630</v>
      </c>
      <c r="AB95" s="47" t="s">
        <v>1450</v>
      </c>
      <c r="AC95" s="47" t="s">
        <v>447</v>
      </c>
      <c r="AD95" s="47" t="s">
        <v>1631</v>
      </c>
      <c r="AE95" s="47" t="s">
        <v>937</v>
      </c>
      <c r="AF95" s="47" t="s">
        <v>931</v>
      </c>
      <c r="AG95" s="47" t="s">
        <v>1632</v>
      </c>
      <c r="AH95" s="47" t="s">
        <v>931</v>
      </c>
      <c r="AI95" s="47" t="s">
        <v>931</v>
      </c>
      <c r="AJ95" s="47" t="s">
        <v>931</v>
      </c>
      <c r="AK95" s="47" t="s">
        <v>930</v>
      </c>
      <c r="AL95" s="47" t="s">
        <v>931</v>
      </c>
      <c r="AM95" s="47" t="s">
        <v>931</v>
      </c>
      <c r="AN95" s="37"/>
    </row>
    <row r="96" spans="1:40" hidden="1">
      <c r="A96" s="47" t="s">
        <v>982</v>
      </c>
      <c r="B96" s="47" t="s">
        <v>919</v>
      </c>
      <c r="C96" s="47" t="s">
        <v>1633</v>
      </c>
      <c r="D96" s="47">
        <f t="shared" si="4"/>
        <v>756872</v>
      </c>
      <c r="E96" s="47" t="s">
        <v>159</v>
      </c>
      <c r="F96" s="47" t="s">
        <v>160</v>
      </c>
      <c r="G96" s="47" t="s">
        <v>38</v>
      </c>
      <c r="H96" s="47" t="s">
        <v>1608</v>
      </c>
      <c r="I96" s="47" t="s">
        <v>1634</v>
      </c>
      <c r="J96" s="47" t="s">
        <v>1024</v>
      </c>
      <c r="K96" s="47" t="s">
        <v>163</v>
      </c>
      <c r="L96" s="47" t="s">
        <v>1432</v>
      </c>
      <c r="M96" s="47" t="s">
        <v>1057</v>
      </c>
      <c r="N96" s="47" t="s">
        <v>1026</v>
      </c>
      <c r="O96" s="47" t="s">
        <v>930</v>
      </c>
      <c r="P96" s="47" t="s">
        <v>930</v>
      </c>
      <c r="Q96" s="47" t="str">
        <f t="shared" si="5"/>
        <v xml:space="preserve"> Chiều T2</v>
      </c>
      <c r="R96" s="47" t="s">
        <v>973</v>
      </c>
      <c r="S96" s="47" t="s">
        <v>1103</v>
      </c>
      <c r="T96" s="47" t="s">
        <v>1635</v>
      </c>
      <c r="U96" s="47" t="s">
        <v>1636</v>
      </c>
      <c r="V96" s="47" t="s">
        <v>20</v>
      </c>
      <c r="W96" s="47" t="s">
        <v>931</v>
      </c>
      <c r="X96" s="47" t="s">
        <v>1030</v>
      </c>
      <c r="Y96" s="47" t="s">
        <v>38</v>
      </c>
      <c r="Z96" s="47" t="s">
        <v>1347</v>
      </c>
      <c r="AA96" s="47" t="s">
        <v>1348</v>
      </c>
      <c r="AB96" s="47" t="s">
        <v>1637</v>
      </c>
      <c r="AC96" s="47" t="s">
        <v>447</v>
      </c>
      <c r="AD96" s="47" t="s">
        <v>1638</v>
      </c>
      <c r="AE96" s="47" t="s">
        <v>937</v>
      </c>
      <c r="AF96" s="47" t="s">
        <v>1639</v>
      </c>
      <c r="AG96" s="47" t="s">
        <v>1640</v>
      </c>
      <c r="AH96" s="47" t="s">
        <v>931</v>
      </c>
      <c r="AI96" s="47" t="s">
        <v>931</v>
      </c>
      <c r="AJ96" s="47" t="s">
        <v>931</v>
      </c>
      <c r="AK96" s="47" t="s">
        <v>930</v>
      </c>
      <c r="AL96" s="47" t="s">
        <v>931</v>
      </c>
      <c r="AM96" s="47" t="s">
        <v>931</v>
      </c>
      <c r="AN96" s="37"/>
    </row>
    <row r="97" spans="1:40" hidden="1">
      <c r="A97" s="47" t="s">
        <v>982</v>
      </c>
      <c r="B97" s="47" t="s">
        <v>919</v>
      </c>
      <c r="C97" s="47" t="s">
        <v>1641</v>
      </c>
      <c r="D97" s="47">
        <f t="shared" si="4"/>
        <v>756865</v>
      </c>
      <c r="E97" s="47" t="s">
        <v>159</v>
      </c>
      <c r="F97" s="47" t="s">
        <v>160</v>
      </c>
      <c r="G97" s="47" t="s">
        <v>38</v>
      </c>
      <c r="H97" s="47" t="s">
        <v>1608</v>
      </c>
      <c r="I97" s="47" t="s">
        <v>1642</v>
      </c>
      <c r="J97" s="47" t="s">
        <v>1024</v>
      </c>
      <c r="K97" s="47" t="s">
        <v>163</v>
      </c>
      <c r="L97" s="47" t="s">
        <v>1269</v>
      </c>
      <c r="M97" s="47" t="s">
        <v>1056</v>
      </c>
      <c r="N97" s="47" t="s">
        <v>1026</v>
      </c>
      <c r="O97" s="47" t="s">
        <v>930</v>
      </c>
      <c r="P97" s="47" t="s">
        <v>930</v>
      </c>
      <c r="Q97" s="47" t="str">
        <f t="shared" si="5"/>
        <v xml:space="preserve"> Chiều T3</v>
      </c>
      <c r="R97" s="47" t="s">
        <v>973</v>
      </c>
      <c r="S97" s="47" t="s">
        <v>1070</v>
      </c>
      <c r="T97" s="47" t="s">
        <v>1643</v>
      </c>
      <c r="U97" s="47" t="s">
        <v>1644</v>
      </c>
      <c r="V97" s="47" t="s">
        <v>27</v>
      </c>
      <c r="W97" s="47" t="s">
        <v>931</v>
      </c>
      <c r="X97" s="47" t="s">
        <v>1030</v>
      </c>
      <c r="Y97" s="47" t="s">
        <v>38</v>
      </c>
      <c r="Z97" s="47" t="s">
        <v>1347</v>
      </c>
      <c r="AA97" s="47" t="s">
        <v>1348</v>
      </c>
      <c r="AB97" s="47" t="s">
        <v>1494</v>
      </c>
      <c r="AC97" s="47" t="s">
        <v>447</v>
      </c>
      <c r="AD97" s="47" t="s">
        <v>1645</v>
      </c>
      <c r="AE97" s="47" t="s">
        <v>937</v>
      </c>
      <c r="AF97" s="47" t="s">
        <v>1646</v>
      </c>
      <c r="AG97" s="47" t="s">
        <v>1647</v>
      </c>
      <c r="AH97" s="47" t="s">
        <v>931</v>
      </c>
      <c r="AI97" s="47" t="s">
        <v>931</v>
      </c>
      <c r="AJ97" s="47" t="s">
        <v>931</v>
      </c>
      <c r="AK97" s="47" t="s">
        <v>930</v>
      </c>
      <c r="AL97" s="47" t="s">
        <v>931</v>
      </c>
      <c r="AM97" s="47" t="s">
        <v>931</v>
      </c>
      <c r="AN97" s="37"/>
    </row>
    <row r="98" spans="1:40" hidden="1">
      <c r="A98" s="47" t="s">
        <v>982</v>
      </c>
      <c r="B98" s="47" t="s">
        <v>919</v>
      </c>
      <c r="C98" s="47" t="s">
        <v>1648</v>
      </c>
      <c r="D98" s="47">
        <f t="shared" si="4"/>
        <v>756876</v>
      </c>
      <c r="E98" s="47" t="s">
        <v>159</v>
      </c>
      <c r="F98" s="47" t="s">
        <v>160</v>
      </c>
      <c r="G98" s="47" t="s">
        <v>38</v>
      </c>
      <c r="H98" s="47" t="s">
        <v>1608</v>
      </c>
      <c r="I98" s="47" t="s">
        <v>1649</v>
      </c>
      <c r="J98" s="47" t="s">
        <v>1024</v>
      </c>
      <c r="K98" s="47" t="s">
        <v>163</v>
      </c>
      <c r="L98" s="47" t="s">
        <v>1392</v>
      </c>
      <c r="M98" s="47" t="s">
        <v>1057</v>
      </c>
      <c r="N98" s="47" t="s">
        <v>1026</v>
      </c>
      <c r="O98" s="47" t="s">
        <v>930</v>
      </c>
      <c r="P98" s="47" t="s">
        <v>930</v>
      </c>
      <c r="Q98" s="47" t="str">
        <f t="shared" si="5"/>
        <v xml:space="preserve"> Chiều T2</v>
      </c>
      <c r="R98" s="47" t="s">
        <v>973</v>
      </c>
      <c r="S98" s="47" t="s">
        <v>1103</v>
      </c>
      <c r="T98" s="47" t="s">
        <v>1650</v>
      </c>
      <c r="U98" s="47" t="s">
        <v>1651</v>
      </c>
      <c r="V98" s="47" t="s">
        <v>20</v>
      </c>
      <c r="W98" s="47" t="s">
        <v>931</v>
      </c>
      <c r="X98" s="47" t="s">
        <v>1030</v>
      </c>
      <c r="Y98" s="47" t="s">
        <v>38</v>
      </c>
      <c r="Z98" s="47" t="s">
        <v>1347</v>
      </c>
      <c r="AA98" s="47" t="s">
        <v>1348</v>
      </c>
      <c r="AB98" s="47" t="s">
        <v>1637</v>
      </c>
      <c r="AC98" s="47" t="s">
        <v>447</v>
      </c>
      <c r="AD98" s="47" t="s">
        <v>1652</v>
      </c>
      <c r="AE98" s="47" t="s">
        <v>937</v>
      </c>
      <c r="AF98" s="47" t="s">
        <v>1653</v>
      </c>
      <c r="AG98" s="47" t="s">
        <v>1654</v>
      </c>
      <c r="AH98" s="47" t="s">
        <v>931</v>
      </c>
      <c r="AI98" s="47" t="s">
        <v>931</v>
      </c>
      <c r="AJ98" s="47" t="s">
        <v>931</v>
      </c>
      <c r="AK98" s="47" t="s">
        <v>930</v>
      </c>
      <c r="AL98" s="47" t="s">
        <v>931</v>
      </c>
      <c r="AM98" s="47" t="s">
        <v>931</v>
      </c>
      <c r="AN98" s="37"/>
    </row>
    <row r="99" spans="1:40" hidden="1">
      <c r="A99" s="47" t="s">
        <v>982</v>
      </c>
      <c r="B99" s="47" t="s">
        <v>919</v>
      </c>
      <c r="C99" s="47" t="s">
        <v>1655</v>
      </c>
      <c r="D99" s="47">
        <f t="shared" si="4"/>
        <v>756862</v>
      </c>
      <c r="E99" s="47" t="s">
        <v>159</v>
      </c>
      <c r="F99" s="47" t="s">
        <v>160</v>
      </c>
      <c r="G99" s="47" t="s">
        <v>38</v>
      </c>
      <c r="H99" s="47" t="s">
        <v>1608</v>
      </c>
      <c r="I99" s="47" t="s">
        <v>1656</v>
      </c>
      <c r="J99" s="47" t="s">
        <v>1505</v>
      </c>
      <c r="K99" s="47" t="s">
        <v>163</v>
      </c>
      <c r="L99" s="47" t="s">
        <v>1506</v>
      </c>
      <c r="M99" s="47" t="s">
        <v>1173</v>
      </c>
      <c r="N99" s="47" t="s">
        <v>1026</v>
      </c>
      <c r="O99" s="47" t="s">
        <v>930</v>
      </c>
      <c r="P99" s="47" t="s">
        <v>930</v>
      </c>
      <c r="Q99" s="47" t="str">
        <f t="shared" si="5"/>
        <v xml:space="preserve"> Sáng T3:</v>
      </c>
      <c r="R99" s="47" t="s">
        <v>947</v>
      </c>
      <c r="S99" s="47"/>
      <c r="T99" s="47" t="s">
        <v>1657</v>
      </c>
      <c r="U99" s="47" t="s">
        <v>1658</v>
      </c>
      <c r="V99" s="47" t="s">
        <v>442</v>
      </c>
      <c r="W99" s="47" t="s">
        <v>931</v>
      </c>
      <c r="X99" s="47" t="s">
        <v>1030</v>
      </c>
      <c r="Y99" s="47" t="s">
        <v>38</v>
      </c>
      <c r="Z99" s="47" t="s">
        <v>1347</v>
      </c>
      <c r="AA99" s="47" t="s">
        <v>1348</v>
      </c>
      <c r="AB99" s="47" t="s">
        <v>1659</v>
      </c>
      <c r="AC99" s="47" t="s">
        <v>447</v>
      </c>
      <c r="AD99" s="47" t="s">
        <v>1660</v>
      </c>
      <c r="AE99" s="47" t="s">
        <v>937</v>
      </c>
      <c r="AF99" s="47" t="s">
        <v>1661</v>
      </c>
      <c r="AG99" s="47" t="s">
        <v>1662</v>
      </c>
      <c r="AH99" s="47" t="s">
        <v>931</v>
      </c>
      <c r="AI99" s="47" t="s">
        <v>931</v>
      </c>
      <c r="AJ99" s="47" t="s">
        <v>931</v>
      </c>
      <c r="AK99" s="47" t="s">
        <v>930</v>
      </c>
      <c r="AL99" s="47" t="s">
        <v>931</v>
      </c>
      <c r="AM99" s="47" t="s">
        <v>931</v>
      </c>
      <c r="AN99" s="37"/>
    </row>
    <row r="100" spans="1:40" hidden="1">
      <c r="A100" s="47" t="s">
        <v>982</v>
      </c>
      <c r="B100" s="47" t="s">
        <v>919</v>
      </c>
      <c r="C100" s="47" t="s">
        <v>1663</v>
      </c>
      <c r="D100" s="47">
        <f t="shared" si="4"/>
        <v>756863</v>
      </c>
      <c r="E100" s="47" t="s">
        <v>159</v>
      </c>
      <c r="F100" s="47" t="s">
        <v>160</v>
      </c>
      <c r="G100" s="47" t="s">
        <v>36</v>
      </c>
      <c r="H100" s="47" t="s">
        <v>931</v>
      </c>
      <c r="I100" s="47" t="s">
        <v>1664</v>
      </c>
      <c r="J100" s="47" t="s">
        <v>1024</v>
      </c>
      <c r="K100" s="47" t="s">
        <v>163</v>
      </c>
      <c r="L100" s="47" t="s">
        <v>1025</v>
      </c>
      <c r="M100" s="47" t="s">
        <v>1056</v>
      </c>
      <c r="N100" s="47" t="s">
        <v>1026</v>
      </c>
      <c r="O100" s="47" t="s">
        <v>930</v>
      </c>
      <c r="P100" s="47" t="s">
        <v>930</v>
      </c>
      <c r="Q100" s="47" t="str">
        <f t="shared" si="5"/>
        <v xml:space="preserve"> Chiều T2</v>
      </c>
      <c r="R100" s="47" t="s">
        <v>973</v>
      </c>
      <c r="S100" s="47" t="s">
        <v>1103</v>
      </c>
      <c r="T100" s="47" t="s">
        <v>1665</v>
      </c>
      <c r="U100" s="47" t="s">
        <v>1666</v>
      </c>
      <c r="V100" s="47" t="s">
        <v>19</v>
      </c>
      <c r="W100" s="47" t="s">
        <v>931</v>
      </c>
      <c r="X100" s="47" t="s">
        <v>1030</v>
      </c>
      <c r="Y100" s="47" t="s">
        <v>36</v>
      </c>
      <c r="Z100" s="47" t="s">
        <v>1126</v>
      </c>
      <c r="AA100" s="47" t="s">
        <v>1127</v>
      </c>
      <c r="AB100" s="47" t="s">
        <v>1489</v>
      </c>
      <c r="AC100" s="47" t="s">
        <v>447</v>
      </c>
      <c r="AD100" s="47" t="s">
        <v>1667</v>
      </c>
      <c r="AE100" s="47" t="s">
        <v>937</v>
      </c>
      <c r="AF100" s="47" t="s">
        <v>931</v>
      </c>
      <c r="AG100" s="47" t="s">
        <v>931</v>
      </c>
      <c r="AH100" s="47" t="s">
        <v>931</v>
      </c>
      <c r="AI100" s="47" t="s">
        <v>931</v>
      </c>
      <c r="AJ100" s="47" t="s">
        <v>931</v>
      </c>
      <c r="AK100" s="47" t="s">
        <v>930</v>
      </c>
      <c r="AL100" s="47" t="s">
        <v>931</v>
      </c>
      <c r="AM100" s="47" t="s">
        <v>931</v>
      </c>
      <c r="AN100" s="37"/>
    </row>
    <row r="101" spans="1:40" hidden="1">
      <c r="A101" s="47" t="s">
        <v>982</v>
      </c>
      <c r="B101" s="47" t="s">
        <v>919</v>
      </c>
      <c r="C101" s="47" t="s">
        <v>1668</v>
      </c>
      <c r="D101" s="47">
        <f t="shared" si="4"/>
        <v>756868</v>
      </c>
      <c r="E101" s="47" t="s">
        <v>159</v>
      </c>
      <c r="F101" s="47" t="s">
        <v>160</v>
      </c>
      <c r="G101" s="47" t="s">
        <v>39</v>
      </c>
      <c r="H101" s="47" t="s">
        <v>931</v>
      </c>
      <c r="I101" s="47" t="s">
        <v>1669</v>
      </c>
      <c r="J101" s="47" t="s">
        <v>1024</v>
      </c>
      <c r="K101" s="47" t="s">
        <v>163</v>
      </c>
      <c r="L101" s="47" t="s">
        <v>1102</v>
      </c>
      <c r="M101" s="47" t="s">
        <v>1057</v>
      </c>
      <c r="N101" s="47" t="s">
        <v>1026</v>
      </c>
      <c r="O101" s="47" t="s">
        <v>930</v>
      </c>
      <c r="P101" s="47" t="s">
        <v>930</v>
      </c>
      <c r="Q101" s="47" t="str">
        <f t="shared" si="5"/>
        <v xml:space="preserve"> Chiều T3</v>
      </c>
      <c r="R101" s="47" t="s">
        <v>973</v>
      </c>
      <c r="S101" s="47" t="s">
        <v>1070</v>
      </c>
      <c r="T101" s="47" t="s">
        <v>1670</v>
      </c>
      <c r="U101" s="47" t="s">
        <v>1671</v>
      </c>
      <c r="V101" s="47" t="s">
        <v>19</v>
      </c>
      <c r="W101" s="47" t="s">
        <v>931</v>
      </c>
      <c r="X101" s="47" t="s">
        <v>1030</v>
      </c>
      <c r="Y101" s="47" t="s">
        <v>39</v>
      </c>
      <c r="Z101" s="47" t="s">
        <v>1031</v>
      </c>
      <c r="AA101" s="47" t="s">
        <v>1032</v>
      </c>
      <c r="AB101" s="47" t="s">
        <v>1672</v>
      </c>
      <c r="AC101" s="47" t="s">
        <v>447</v>
      </c>
      <c r="AD101" s="47" t="s">
        <v>1673</v>
      </c>
      <c r="AE101" s="47" t="s">
        <v>937</v>
      </c>
      <c r="AF101" s="47" t="s">
        <v>931</v>
      </c>
      <c r="AG101" s="47" t="s">
        <v>931</v>
      </c>
      <c r="AH101" s="47" t="s">
        <v>931</v>
      </c>
      <c r="AI101" s="47" t="s">
        <v>931</v>
      </c>
      <c r="AJ101" s="47" t="s">
        <v>931</v>
      </c>
      <c r="AK101" s="47" t="s">
        <v>930</v>
      </c>
      <c r="AL101" s="47" t="s">
        <v>931</v>
      </c>
      <c r="AM101" s="47" t="s">
        <v>931</v>
      </c>
      <c r="AN101" s="37"/>
    </row>
    <row r="102" spans="1:40" hidden="1">
      <c r="A102" s="47" t="s">
        <v>982</v>
      </c>
      <c r="B102" s="47" t="s">
        <v>919</v>
      </c>
      <c r="C102" s="47" t="s">
        <v>1674</v>
      </c>
      <c r="D102" s="47">
        <f t="shared" si="4"/>
        <v>756869</v>
      </c>
      <c r="E102" s="47" t="s">
        <v>159</v>
      </c>
      <c r="F102" s="47" t="s">
        <v>160</v>
      </c>
      <c r="G102" s="47" t="s">
        <v>38</v>
      </c>
      <c r="H102" s="47" t="s">
        <v>1608</v>
      </c>
      <c r="I102" s="47" t="s">
        <v>1675</v>
      </c>
      <c r="J102" s="47" t="s">
        <v>1024</v>
      </c>
      <c r="K102" s="47" t="s">
        <v>163</v>
      </c>
      <c r="L102" s="47" t="s">
        <v>1676</v>
      </c>
      <c r="M102" s="47" t="s">
        <v>1057</v>
      </c>
      <c r="N102" s="47" t="s">
        <v>1026</v>
      </c>
      <c r="O102" s="47" t="s">
        <v>930</v>
      </c>
      <c r="P102" s="47" t="s">
        <v>930</v>
      </c>
      <c r="Q102" s="47" t="str">
        <f t="shared" si="5"/>
        <v xml:space="preserve"> Chiều T7</v>
      </c>
      <c r="R102" s="47" t="s">
        <v>973</v>
      </c>
      <c r="S102" s="47" t="s">
        <v>1677</v>
      </c>
      <c r="T102" s="47" t="s">
        <v>1678</v>
      </c>
      <c r="U102" s="47" t="s">
        <v>1679</v>
      </c>
      <c r="V102" s="47" t="s">
        <v>16</v>
      </c>
      <c r="W102" s="47" t="s">
        <v>931</v>
      </c>
      <c r="X102" s="47" t="s">
        <v>1030</v>
      </c>
      <c r="Y102" s="47" t="s">
        <v>38</v>
      </c>
      <c r="Z102" s="47" t="s">
        <v>1347</v>
      </c>
      <c r="AA102" s="47" t="s">
        <v>1348</v>
      </c>
      <c r="AB102" s="47" t="s">
        <v>1033</v>
      </c>
      <c r="AC102" s="47" t="s">
        <v>447</v>
      </c>
      <c r="AD102" s="47" t="s">
        <v>1680</v>
      </c>
      <c r="AE102" s="47" t="s">
        <v>937</v>
      </c>
      <c r="AF102" s="47" t="s">
        <v>1681</v>
      </c>
      <c r="AG102" s="47" t="s">
        <v>1682</v>
      </c>
      <c r="AH102" s="47" t="s">
        <v>931</v>
      </c>
      <c r="AI102" s="47" t="s">
        <v>931</v>
      </c>
      <c r="AJ102" s="47" t="s">
        <v>931</v>
      </c>
      <c r="AK102" s="47" t="s">
        <v>930</v>
      </c>
      <c r="AL102" s="47" t="s">
        <v>931</v>
      </c>
      <c r="AM102" s="47" t="s">
        <v>931</v>
      </c>
      <c r="AN102" s="37"/>
    </row>
    <row r="103" spans="1:40" hidden="1">
      <c r="A103" s="47" t="s">
        <v>982</v>
      </c>
      <c r="B103" s="47" t="s">
        <v>919</v>
      </c>
      <c r="C103" s="47" t="s">
        <v>1683</v>
      </c>
      <c r="D103" s="47">
        <f t="shared" si="4"/>
        <v>756875</v>
      </c>
      <c r="E103" s="47" t="s">
        <v>159</v>
      </c>
      <c r="F103" s="47" t="s">
        <v>160</v>
      </c>
      <c r="G103" s="47" t="s">
        <v>39</v>
      </c>
      <c r="H103" s="47" t="s">
        <v>931</v>
      </c>
      <c r="I103" s="47" t="s">
        <v>1684</v>
      </c>
      <c r="J103" s="47" t="s">
        <v>1024</v>
      </c>
      <c r="K103" s="47" t="s">
        <v>163</v>
      </c>
      <c r="L103" s="47" t="s">
        <v>1269</v>
      </c>
      <c r="M103" s="47" t="s">
        <v>1057</v>
      </c>
      <c r="N103" s="47" t="s">
        <v>1026</v>
      </c>
      <c r="O103" s="47" t="s">
        <v>930</v>
      </c>
      <c r="P103" s="47" t="s">
        <v>930</v>
      </c>
      <c r="Q103" s="47" t="str">
        <f t="shared" si="5"/>
        <v xml:space="preserve"> Chiều T6</v>
      </c>
      <c r="R103" s="47" t="s">
        <v>973</v>
      </c>
      <c r="S103" s="47" t="s">
        <v>1140</v>
      </c>
      <c r="T103" s="47" t="s">
        <v>1685</v>
      </c>
      <c r="U103" s="47" t="s">
        <v>1686</v>
      </c>
      <c r="V103" s="47" t="s">
        <v>20</v>
      </c>
      <c r="W103" s="47" t="s">
        <v>931</v>
      </c>
      <c r="X103" s="47" t="s">
        <v>1030</v>
      </c>
      <c r="Y103" s="47" t="s">
        <v>39</v>
      </c>
      <c r="Z103" s="47" t="s">
        <v>1031</v>
      </c>
      <c r="AA103" s="47" t="s">
        <v>1032</v>
      </c>
      <c r="AB103" s="47" t="s">
        <v>1687</v>
      </c>
      <c r="AC103" s="47" t="s">
        <v>447</v>
      </c>
      <c r="AD103" s="47" t="s">
        <v>1688</v>
      </c>
      <c r="AE103" s="47" t="s">
        <v>937</v>
      </c>
      <c r="AF103" s="47" t="s">
        <v>931</v>
      </c>
      <c r="AG103" s="47" t="s">
        <v>931</v>
      </c>
      <c r="AH103" s="47" t="s">
        <v>931</v>
      </c>
      <c r="AI103" s="47" t="s">
        <v>931</v>
      </c>
      <c r="AJ103" s="47" t="s">
        <v>931</v>
      </c>
      <c r="AK103" s="47" t="s">
        <v>930</v>
      </c>
      <c r="AL103" s="47" t="s">
        <v>931</v>
      </c>
      <c r="AM103" s="47" t="s">
        <v>931</v>
      </c>
      <c r="AN103" s="37"/>
    </row>
    <row r="104" spans="1:40" hidden="1">
      <c r="A104" s="47" t="s">
        <v>982</v>
      </c>
      <c r="B104" s="47" t="s">
        <v>919</v>
      </c>
      <c r="C104" s="47" t="s">
        <v>1689</v>
      </c>
      <c r="D104" s="47">
        <f t="shared" si="4"/>
        <v>756870</v>
      </c>
      <c r="E104" s="47" t="s">
        <v>159</v>
      </c>
      <c r="F104" s="47" t="s">
        <v>160</v>
      </c>
      <c r="G104" s="47" t="s">
        <v>39</v>
      </c>
      <c r="H104" s="47" t="s">
        <v>931</v>
      </c>
      <c r="I104" s="47" t="s">
        <v>1690</v>
      </c>
      <c r="J104" s="47" t="s">
        <v>1024</v>
      </c>
      <c r="K104" s="47" t="s">
        <v>163</v>
      </c>
      <c r="L104" s="47" t="s">
        <v>1102</v>
      </c>
      <c r="M104" s="47" t="s">
        <v>1057</v>
      </c>
      <c r="N104" s="47" t="s">
        <v>1026</v>
      </c>
      <c r="O104" s="47" t="s">
        <v>930</v>
      </c>
      <c r="P104" s="47" t="s">
        <v>930</v>
      </c>
      <c r="Q104" s="47" t="str">
        <f t="shared" si="5"/>
        <v xml:space="preserve"> Chiều T6</v>
      </c>
      <c r="R104" s="47" t="s">
        <v>973</v>
      </c>
      <c r="S104" s="47" t="s">
        <v>1140</v>
      </c>
      <c r="T104" s="47" t="s">
        <v>1691</v>
      </c>
      <c r="U104" s="47" t="s">
        <v>1692</v>
      </c>
      <c r="V104" s="47" t="s">
        <v>19</v>
      </c>
      <c r="W104" s="47" t="s">
        <v>931</v>
      </c>
      <c r="X104" s="47" t="s">
        <v>1030</v>
      </c>
      <c r="Y104" s="47" t="s">
        <v>39</v>
      </c>
      <c r="Z104" s="47" t="s">
        <v>1031</v>
      </c>
      <c r="AA104" s="47" t="s">
        <v>1032</v>
      </c>
      <c r="AB104" s="47" t="s">
        <v>1596</v>
      </c>
      <c r="AC104" s="47" t="s">
        <v>447</v>
      </c>
      <c r="AD104" s="47" t="s">
        <v>1693</v>
      </c>
      <c r="AE104" s="47" t="s">
        <v>937</v>
      </c>
      <c r="AF104" s="47" t="s">
        <v>931</v>
      </c>
      <c r="AG104" s="47" t="s">
        <v>931</v>
      </c>
      <c r="AH104" s="47" t="s">
        <v>931</v>
      </c>
      <c r="AI104" s="47" t="s">
        <v>931</v>
      </c>
      <c r="AJ104" s="47" t="s">
        <v>931</v>
      </c>
      <c r="AK104" s="47" t="s">
        <v>930</v>
      </c>
      <c r="AL104" s="47" t="s">
        <v>931</v>
      </c>
      <c r="AM104" s="47" t="s">
        <v>931</v>
      </c>
      <c r="AN104" s="37"/>
    </row>
    <row r="105" spans="1:40" hidden="1">
      <c r="A105" s="47" t="s">
        <v>982</v>
      </c>
      <c r="B105" s="47" t="s">
        <v>919</v>
      </c>
      <c r="C105" s="47" t="s">
        <v>1694</v>
      </c>
      <c r="D105" s="47">
        <f t="shared" si="4"/>
        <v>756864</v>
      </c>
      <c r="E105" s="47" t="s">
        <v>159</v>
      </c>
      <c r="F105" s="47" t="s">
        <v>160</v>
      </c>
      <c r="G105" s="47" t="s">
        <v>36</v>
      </c>
      <c r="H105" s="47" t="s">
        <v>931</v>
      </c>
      <c r="I105" s="47" t="s">
        <v>1695</v>
      </c>
      <c r="J105" s="47" t="s">
        <v>1024</v>
      </c>
      <c r="K105" s="47" t="s">
        <v>163</v>
      </c>
      <c r="L105" s="47" t="s">
        <v>1269</v>
      </c>
      <c r="M105" s="47" t="s">
        <v>1056</v>
      </c>
      <c r="N105" s="47" t="s">
        <v>1026</v>
      </c>
      <c r="O105" s="47" t="s">
        <v>930</v>
      </c>
      <c r="P105" s="47" t="s">
        <v>930</v>
      </c>
      <c r="Q105" s="47" t="str">
        <f t="shared" si="5"/>
        <v xml:space="preserve"> Chiều T3</v>
      </c>
      <c r="R105" s="47" t="s">
        <v>973</v>
      </c>
      <c r="S105" s="47" t="s">
        <v>1070</v>
      </c>
      <c r="T105" s="47" t="s">
        <v>1696</v>
      </c>
      <c r="U105" s="47" t="s">
        <v>1697</v>
      </c>
      <c r="V105" s="47" t="s">
        <v>19</v>
      </c>
      <c r="W105" s="47" t="s">
        <v>931</v>
      </c>
      <c r="X105" s="47" t="s">
        <v>1030</v>
      </c>
      <c r="Y105" s="47" t="s">
        <v>36</v>
      </c>
      <c r="Z105" s="47" t="s">
        <v>1126</v>
      </c>
      <c r="AA105" s="47" t="s">
        <v>1127</v>
      </c>
      <c r="AB105" s="47" t="s">
        <v>1672</v>
      </c>
      <c r="AC105" s="47" t="s">
        <v>447</v>
      </c>
      <c r="AD105" s="47" t="s">
        <v>1698</v>
      </c>
      <c r="AE105" s="47" t="s">
        <v>937</v>
      </c>
      <c r="AF105" s="47" t="s">
        <v>931</v>
      </c>
      <c r="AG105" s="47" t="s">
        <v>931</v>
      </c>
      <c r="AH105" s="47" t="s">
        <v>931</v>
      </c>
      <c r="AI105" s="47" t="s">
        <v>931</v>
      </c>
      <c r="AJ105" s="47" t="s">
        <v>931</v>
      </c>
      <c r="AK105" s="47" t="s">
        <v>930</v>
      </c>
      <c r="AL105" s="47" t="s">
        <v>931</v>
      </c>
      <c r="AM105" s="47" t="s">
        <v>931</v>
      </c>
      <c r="AN105" s="37"/>
    </row>
    <row r="106" spans="1:40" hidden="1">
      <c r="A106" s="47" t="s">
        <v>982</v>
      </c>
      <c r="B106" s="47" t="s">
        <v>919</v>
      </c>
      <c r="C106" s="47" t="s">
        <v>1699</v>
      </c>
      <c r="D106" s="47">
        <f t="shared" si="4"/>
        <v>757063</v>
      </c>
      <c r="E106" s="47" t="s">
        <v>261</v>
      </c>
      <c r="F106" s="47" t="s">
        <v>262</v>
      </c>
      <c r="G106" s="47" t="s">
        <v>854</v>
      </c>
      <c r="H106" s="47" t="s">
        <v>931</v>
      </c>
      <c r="I106" s="47" t="s">
        <v>1700</v>
      </c>
      <c r="J106" s="47" t="s">
        <v>1505</v>
      </c>
      <c r="K106" s="47" t="s">
        <v>163</v>
      </c>
      <c r="L106" s="47" t="s">
        <v>928</v>
      </c>
      <c r="M106" s="47" t="s">
        <v>928</v>
      </c>
      <c r="N106" s="47" t="s">
        <v>1026</v>
      </c>
      <c r="O106" s="47" t="s">
        <v>930</v>
      </c>
      <c r="P106" s="47" t="s">
        <v>930</v>
      </c>
      <c r="Q106" s="47" t="str">
        <f t="shared" si="5"/>
        <v xml:space="preserve"> Sáng T4:</v>
      </c>
      <c r="R106" s="47" t="s">
        <v>947</v>
      </c>
      <c r="S106" s="47"/>
      <c r="T106" s="47" t="s">
        <v>1701</v>
      </c>
      <c r="U106" s="47" t="s">
        <v>1702</v>
      </c>
      <c r="V106" s="47" t="s">
        <v>442</v>
      </c>
      <c r="W106" s="47" t="s">
        <v>931</v>
      </c>
      <c r="X106" s="47" t="s">
        <v>932</v>
      </c>
      <c r="Y106" s="47" t="s">
        <v>854</v>
      </c>
      <c r="Z106" s="47" t="s">
        <v>1602</v>
      </c>
      <c r="AA106" s="47" t="s">
        <v>1603</v>
      </c>
      <c r="AB106" s="47" t="s">
        <v>1703</v>
      </c>
      <c r="AC106" s="47" t="s">
        <v>438</v>
      </c>
      <c r="AD106" s="47" t="s">
        <v>1704</v>
      </c>
      <c r="AE106" s="47" t="s">
        <v>937</v>
      </c>
      <c r="AF106" s="47" t="s">
        <v>931</v>
      </c>
      <c r="AG106" s="47" t="s">
        <v>931</v>
      </c>
      <c r="AH106" s="47" t="s">
        <v>364</v>
      </c>
      <c r="AI106" s="47" t="s">
        <v>931</v>
      </c>
      <c r="AJ106" s="47" t="s">
        <v>365</v>
      </c>
      <c r="AK106" s="47" t="s">
        <v>930</v>
      </c>
      <c r="AL106" s="47" t="s">
        <v>931</v>
      </c>
      <c r="AM106" s="47" t="s">
        <v>931</v>
      </c>
      <c r="AN106" s="37"/>
    </row>
    <row r="107" spans="1:40" hidden="1">
      <c r="A107" s="47" t="s">
        <v>982</v>
      </c>
      <c r="B107" s="47" t="s">
        <v>919</v>
      </c>
      <c r="C107" s="47" t="s">
        <v>1705</v>
      </c>
      <c r="D107" s="47">
        <f t="shared" si="4"/>
        <v>757061</v>
      </c>
      <c r="E107" s="47" t="s">
        <v>261</v>
      </c>
      <c r="F107" s="47" t="s">
        <v>262</v>
      </c>
      <c r="G107" s="47" t="s">
        <v>1607</v>
      </c>
      <c r="H107" s="47" t="s">
        <v>1325</v>
      </c>
      <c r="I107" s="47" t="s">
        <v>1706</v>
      </c>
      <c r="J107" s="47" t="s">
        <v>1055</v>
      </c>
      <c r="K107" s="47" t="s">
        <v>163</v>
      </c>
      <c r="L107" s="47" t="s">
        <v>1056</v>
      </c>
      <c r="M107" s="47" t="s">
        <v>1056</v>
      </c>
      <c r="N107" s="47" t="s">
        <v>1026</v>
      </c>
      <c r="O107" s="47" t="s">
        <v>930</v>
      </c>
      <c r="P107" s="47" t="s">
        <v>930</v>
      </c>
      <c r="Q107" s="47" t="str">
        <f t="shared" si="5"/>
        <v xml:space="preserve"> Chiều T6</v>
      </c>
      <c r="R107" s="47" t="s">
        <v>973</v>
      </c>
      <c r="S107" s="47" t="s">
        <v>1140</v>
      </c>
      <c r="T107" s="47" t="s">
        <v>1707</v>
      </c>
      <c r="U107" s="47" t="s">
        <v>1708</v>
      </c>
      <c r="V107" s="47" t="s">
        <v>21</v>
      </c>
      <c r="W107" s="47" t="s">
        <v>931</v>
      </c>
      <c r="X107" s="47" t="s">
        <v>932</v>
      </c>
      <c r="Y107" s="47" t="s">
        <v>1607</v>
      </c>
      <c r="Z107" s="47" t="s">
        <v>1612</v>
      </c>
      <c r="AA107" s="47" t="s">
        <v>1613</v>
      </c>
      <c r="AB107" s="47" t="s">
        <v>1709</v>
      </c>
      <c r="AC107" s="47" t="s">
        <v>438</v>
      </c>
      <c r="AD107" s="47" t="s">
        <v>1710</v>
      </c>
      <c r="AE107" s="47" t="s">
        <v>937</v>
      </c>
      <c r="AF107" s="47" t="s">
        <v>931</v>
      </c>
      <c r="AG107" s="47" t="s">
        <v>1711</v>
      </c>
      <c r="AH107" s="47" t="s">
        <v>364</v>
      </c>
      <c r="AI107" s="47" t="s">
        <v>931</v>
      </c>
      <c r="AJ107" s="47" t="s">
        <v>365</v>
      </c>
      <c r="AK107" s="47" t="s">
        <v>930</v>
      </c>
      <c r="AL107" s="47" t="s">
        <v>931</v>
      </c>
      <c r="AM107" s="47" t="s">
        <v>931</v>
      </c>
      <c r="AN107" s="37"/>
    </row>
    <row r="108" spans="1:40" hidden="1">
      <c r="A108" s="47" t="s">
        <v>982</v>
      </c>
      <c r="B108" s="47" t="s">
        <v>919</v>
      </c>
      <c r="C108" s="47" t="s">
        <v>1712</v>
      </c>
      <c r="D108" s="47">
        <f t="shared" si="4"/>
        <v>757052</v>
      </c>
      <c r="E108" s="47" t="s">
        <v>247</v>
      </c>
      <c r="F108" s="47" t="s">
        <v>248</v>
      </c>
      <c r="G108" s="47" t="s">
        <v>854</v>
      </c>
      <c r="H108" s="47" t="s">
        <v>931</v>
      </c>
      <c r="I108" s="47" t="s">
        <v>1713</v>
      </c>
      <c r="J108" s="47" t="s">
        <v>944</v>
      </c>
      <c r="K108" s="47" t="s">
        <v>163</v>
      </c>
      <c r="L108" s="47" t="s">
        <v>1056</v>
      </c>
      <c r="M108" s="47" t="s">
        <v>1056</v>
      </c>
      <c r="N108" s="47" t="s">
        <v>1026</v>
      </c>
      <c r="O108" s="47" t="s">
        <v>930</v>
      </c>
      <c r="P108" s="47" t="s">
        <v>930</v>
      </c>
      <c r="Q108" s="47" t="str">
        <f t="shared" si="5"/>
        <v xml:space="preserve"> Chiều T5</v>
      </c>
      <c r="R108" s="47" t="s">
        <v>973</v>
      </c>
      <c r="S108" s="47" t="s">
        <v>1027</v>
      </c>
      <c r="T108" s="47" t="s">
        <v>1714</v>
      </c>
      <c r="U108" s="47" t="s">
        <v>1715</v>
      </c>
      <c r="V108" s="47" t="s">
        <v>27</v>
      </c>
      <c r="W108" s="47" t="s">
        <v>931</v>
      </c>
      <c r="X108" s="47" t="s">
        <v>932</v>
      </c>
      <c r="Y108" s="47" t="s">
        <v>854</v>
      </c>
      <c r="Z108" s="47" t="s">
        <v>1602</v>
      </c>
      <c r="AA108" s="47" t="s">
        <v>1603</v>
      </c>
      <c r="AB108" s="47" t="s">
        <v>1522</v>
      </c>
      <c r="AC108" s="47" t="s">
        <v>382</v>
      </c>
      <c r="AD108" s="47" t="s">
        <v>1716</v>
      </c>
      <c r="AE108" s="47" t="s">
        <v>937</v>
      </c>
      <c r="AF108" s="47" t="s">
        <v>931</v>
      </c>
      <c r="AG108" s="47" t="s">
        <v>931</v>
      </c>
      <c r="AH108" s="47" t="s">
        <v>364</v>
      </c>
      <c r="AI108" s="47" t="s">
        <v>931</v>
      </c>
      <c r="AJ108" s="47" t="s">
        <v>365</v>
      </c>
      <c r="AK108" s="47" t="s">
        <v>930</v>
      </c>
      <c r="AL108" s="47" t="s">
        <v>931</v>
      </c>
      <c r="AM108" s="47" t="s">
        <v>931</v>
      </c>
      <c r="AN108" s="37"/>
    </row>
    <row r="109" spans="1:40" hidden="1">
      <c r="A109" s="47" t="s">
        <v>982</v>
      </c>
      <c r="B109" s="47" t="s">
        <v>919</v>
      </c>
      <c r="C109" s="47" t="s">
        <v>1717</v>
      </c>
      <c r="D109" s="47">
        <f t="shared" si="4"/>
        <v>757050</v>
      </c>
      <c r="E109" s="47" t="s">
        <v>1718</v>
      </c>
      <c r="F109" s="47" t="s">
        <v>1719</v>
      </c>
      <c r="G109" s="47" t="s">
        <v>1720</v>
      </c>
      <c r="H109" s="47" t="s">
        <v>931</v>
      </c>
      <c r="I109" s="47" t="s">
        <v>1721</v>
      </c>
      <c r="J109" s="47" t="s">
        <v>1024</v>
      </c>
      <c r="K109" s="47" t="s">
        <v>163</v>
      </c>
      <c r="L109" s="47" t="s">
        <v>928</v>
      </c>
      <c r="M109" s="47" t="s">
        <v>928</v>
      </c>
      <c r="N109" s="47" t="s">
        <v>1026</v>
      </c>
      <c r="O109" s="47" t="s">
        <v>930</v>
      </c>
      <c r="P109" s="47" t="s">
        <v>930</v>
      </c>
      <c r="Q109" s="47" t="str">
        <f t="shared" si="5"/>
        <v xml:space="preserve"> Chiều T4</v>
      </c>
      <c r="R109" s="47" t="s">
        <v>973</v>
      </c>
      <c r="S109" s="47"/>
      <c r="T109" s="47" t="s">
        <v>1722</v>
      </c>
      <c r="U109" s="47" t="s">
        <v>1723</v>
      </c>
      <c r="V109" s="47" t="s">
        <v>442</v>
      </c>
      <c r="W109" s="47" t="s">
        <v>931</v>
      </c>
      <c r="X109" s="47" t="s">
        <v>932</v>
      </c>
      <c r="Y109" s="47" t="s">
        <v>1720</v>
      </c>
      <c r="Z109" s="47" t="s">
        <v>1724</v>
      </c>
      <c r="AA109" s="47" t="s">
        <v>1725</v>
      </c>
      <c r="AB109" s="47" t="s">
        <v>1726</v>
      </c>
      <c r="AC109" s="47" t="s">
        <v>451</v>
      </c>
      <c r="AD109" s="47" t="s">
        <v>1727</v>
      </c>
      <c r="AE109" s="47" t="s">
        <v>937</v>
      </c>
      <c r="AF109" s="47" t="s">
        <v>931</v>
      </c>
      <c r="AG109" s="47" t="s">
        <v>931</v>
      </c>
      <c r="AH109" s="47" t="s">
        <v>1067</v>
      </c>
      <c r="AI109" s="47" t="s">
        <v>931</v>
      </c>
      <c r="AJ109" s="47" t="s">
        <v>365</v>
      </c>
      <c r="AK109" s="47" t="s">
        <v>930</v>
      </c>
      <c r="AL109" s="47" t="s">
        <v>931</v>
      </c>
      <c r="AM109" s="47" t="s">
        <v>931</v>
      </c>
      <c r="AN109" s="37"/>
    </row>
    <row r="110" spans="1:40" hidden="1">
      <c r="A110" s="47" t="s">
        <v>982</v>
      </c>
      <c r="B110" s="47" t="s">
        <v>919</v>
      </c>
      <c r="C110" s="47" t="s">
        <v>1728</v>
      </c>
      <c r="D110" s="47">
        <f t="shared" si="4"/>
        <v>757058</v>
      </c>
      <c r="E110" s="47" t="s">
        <v>261</v>
      </c>
      <c r="F110" s="47" t="s">
        <v>262</v>
      </c>
      <c r="G110" s="47" t="s">
        <v>1625</v>
      </c>
      <c r="H110" s="47" t="s">
        <v>1325</v>
      </c>
      <c r="I110" s="47" t="s">
        <v>1729</v>
      </c>
      <c r="J110" s="47" t="s">
        <v>1055</v>
      </c>
      <c r="K110" s="47" t="s">
        <v>163</v>
      </c>
      <c r="L110" s="47" t="s">
        <v>1056</v>
      </c>
      <c r="M110" s="47" t="s">
        <v>1056</v>
      </c>
      <c r="N110" s="47" t="s">
        <v>1026</v>
      </c>
      <c r="O110" s="47" t="s">
        <v>930</v>
      </c>
      <c r="P110" s="47" t="s">
        <v>930</v>
      </c>
      <c r="Q110" s="47" t="str">
        <f t="shared" si="5"/>
        <v xml:space="preserve"> Chiều T2</v>
      </c>
      <c r="R110" s="47" t="s">
        <v>973</v>
      </c>
      <c r="S110" s="47" t="s">
        <v>1103</v>
      </c>
      <c r="T110" s="47" t="s">
        <v>1730</v>
      </c>
      <c r="U110" s="47" t="s">
        <v>1731</v>
      </c>
      <c r="V110" s="47" t="s">
        <v>21</v>
      </c>
      <c r="W110" s="47" t="s">
        <v>931</v>
      </c>
      <c r="X110" s="47" t="s">
        <v>932</v>
      </c>
      <c r="Y110" s="47" t="s">
        <v>1625</v>
      </c>
      <c r="Z110" s="47" t="s">
        <v>1629</v>
      </c>
      <c r="AA110" s="47" t="s">
        <v>1630</v>
      </c>
      <c r="AB110" s="47" t="s">
        <v>1732</v>
      </c>
      <c r="AC110" s="47" t="s">
        <v>438</v>
      </c>
      <c r="AD110" s="47" t="s">
        <v>1733</v>
      </c>
      <c r="AE110" s="47" t="s">
        <v>937</v>
      </c>
      <c r="AF110" s="47" t="s">
        <v>931</v>
      </c>
      <c r="AG110" s="47" t="s">
        <v>1734</v>
      </c>
      <c r="AH110" s="47" t="s">
        <v>364</v>
      </c>
      <c r="AI110" s="47" t="s">
        <v>931</v>
      </c>
      <c r="AJ110" s="47" t="s">
        <v>365</v>
      </c>
      <c r="AK110" s="47" t="s">
        <v>930</v>
      </c>
      <c r="AL110" s="47" t="s">
        <v>931</v>
      </c>
      <c r="AM110" s="47" t="s">
        <v>931</v>
      </c>
      <c r="AN110" s="37"/>
    </row>
    <row r="111" spans="1:40" hidden="1">
      <c r="A111" s="47" t="s">
        <v>982</v>
      </c>
      <c r="B111" s="47" t="s">
        <v>919</v>
      </c>
      <c r="C111" s="47" t="s">
        <v>1735</v>
      </c>
      <c r="D111" s="47">
        <f t="shared" si="4"/>
        <v>757082</v>
      </c>
      <c r="E111" s="47" t="s">
        <v>289</v>
      </c>
      <c r="F111" s="47" t="s">
        <v>290</v>
      </c>
      <c r="G111" s="47" t="s">
        <v>1736</v>
      </c>
      <c r="H111" s="47" t="s">
        <v>931</v>
      </c>
      <c r="I111" s="47" t="s">
        <v>1737</v>
      </c>
      <c r="J111" s="47" t="s">
        <v>1505</v>
      </c>
      <c r="K111" s="47" t="s">
        <v>163</v>
      </c>
      <c r="L111" s="47" t="s">
        <v>1289</v>
      </c>
      <c r="M111" s="47" t="s">
        <v>1289</v>
      </c>
      <c r="N111" s="47" t="s">
        <v>1026</v>
      </c>
      <c r="O111" s="47" t="s">
        <v>930</v>
      </c>
      <c r="P111" s="47" t="s">
        <v>930</v>
      </c>
      <c r="Q111" s="47" t="str">
        <f t="shared" si="5"/>
        <v xml:space="preserve"> Chiều T3</v>
      </c>
      <c r="R111" s="47" t="s">
        <v>973</v>
      </c>
      <c r="S111" s="47" t="s">
        <v>1070</v>
      </c>
      <c r="T111" s="47" t="s">
        <v>1738</v>
      </c>
      <c r="U111" s="47" t="s">
        <v>1739</v>
      </c>
      <c r="V111" s="47" t="s">
        <v>631</v>
      </c>
      <c r="W111" s="47" t="s">
        <v>931</v>
      </c>
      <c r="X111" s="47" t="s">
        <v>995</v>
      </c>
      <c r="Y111" s="47" t="s">
        <v>1736</v>
      </c>
      <c r="Z111" s="47" t="s">
        <v>1740</v>
      </c>
      <c r="AA111" s="47" t="s">
        <v>1741</v>
      </c>
      <c r="AB111" s="47" t="s">
        <v>838</v>
      </c>
      <c r="AC111" s="47" t="s">
        <v>447</v>
      </c>
      <c r="AD111" s="47" t="s">
        <v>1742</v>
      </c>
      <c r="AE111" s="47" t="s">
        <v>937</v>
      </c>
      <c r="AF111" s="47" t="s">
        <v>931</v>
      </c>
      <c r="AG111" s="47" t="s">
        <v>931</v>
      </c>
      <c r="AH111" s="47" t="s">
        <v>364</v>
      </c>
      <c r="AI111" s="47" t="s">
        <v>931</v>
      </c>
      <c r="AJ111" s="47" t="s">
        <v>365</v>
      </c>
      <c r="AK111" s="47" t="s">
        <v>930</v>
      </c>
      <c r="AL111" s="47" t="s">
        <v>931</v>
      </c>
      <c r="AM111" s="47" t="s">
        <v>931</v>
      </c>
      <c r="AN111" s="37"/>
    </row>
    <row r="112" spans="1:40" hidden="1">
      <c r="A112" s="47" t="s">
        <v>982</v>
      </c>
      <c r="B112" s="47" t="s">
        <v>919</v>
      </c>
      <c r="C112" s="47" t="s">
        <v>1743</v>
      </c>
      <c r="D112" s="47">
        <f t="shared" si="4"/>
        <v>757086</v>
      </c>
      <c r="E112" s="47" t="s">
        <v>295</v>
      </c>
      <c r="F112" s="47" t="s">
        <v>296</v>
      </c>
      <c r="G112" s="47" t="s">
        <v>862</v>
      </c>
      <c r="H112" s="47" t="s">
        <v>1100</v>
      </c>
      <c r="I112" s="47" t="s">
        <v>1744</v>
      </c>
      <c r="J112" s="47" t="s">
        <v>1024</v>
      </c>
      <c r="K112" s="47" t="s">
        <v>163</v>
      </c>
      <c r="L112" s="47" t="s">
        <v>945</v>
      </c>
      <c r="M112" s="47" t="s">
        <v>1056</v>
      </c>
      <c r="N112" s="47" t="s">
        <v>1026</v>
      </c>
      <c r="O112" s="47" t="s">
        <v>930</v>
      </c>
      <c r="P112" s="47" t="s">
        <v>930</v>
      </c>
      <c r="Q112" s="47" t="str">
        <f t="shared" si="5"/>
        <v xml:space="preserve"> Chiều T5</v>
      </c>
      <c r="R112" s="47" t="s">
        <v>973</v>
      </c>
      <c r="S112" s="47" t="s">
        <v>1027</v>
      </c>
      <c r="T112" s="47" t="s">
        <v>1745</v>
      </c>
      <c r="U112" s="47" t="s">
        <v>1746</v>
      </c>
      <c r="V112" s="47" t="s">
        <v>26</v>
      </c>
      <c r="W112" s="47" t="s">
        <v>931</v>
      </c>
      <c r="X112" s="47" t="s">
        <v>995</v>
      </c>
      <c r="Y112" s="47" t="s">
        <v>862</v>
      </c>
      <c r="Z112" s="47" t="s">
        <v>1747</v>
      </c>
      <c r="AA112" s="47" t="s">
        <v>1748</v>
      </c>
      <c r="AB112" s="47" t="s">
        <v>931</v>
      </c>
      <c r="AC112" s="47" t="s">
        <v>435</v>
      </c>
      <c r="AD112" s="47" t="s">
        <v>1749</v>
      </c>
      <c r="AE112" s="47" t="s">
        <v>1750</v>
      </c>
      <c r="AF112" s="47" t="s">
        <v>931</v>
      </c>
      <c r="AG112" s="47" t="s">
        <v>1751</v>
      </c>
      <c r="AH112" s="47" t="s">
        <v>364</v>
      </c>
      <c r="AI112" s="47" t="s">
        <v>931</v>
      </c>
      <c r="AJ112" s="47" t="s">
        <v>365</v>
      </c>
      <c r="AK112" s="47" t="s">
        <v>930</v>
      </c>
      <c r="AL112" s="47" t="s">
        <v>931</v>
      </c>
      <c r="AM112" s="47" t="s">
        <v>931</v>
      </c>
      <c r="AN112" s="37"/>
    </row>
    <row r="113" spans="1:40" hidden="1">
      <c r="A113" s="47" t="s">
        <v>982</v>
      </c>
      <c r="B113" s="47" t="s">
        <v>919</v>
      </c>
      <c r="C113" s="47" t="s">
        <v>1752</v>
      </c>
      <c r="D113" s="47">
        <f t="shared" si="4"/>
        <v>757054</v>
      </c>
      <c r="E113" s="47" t="s">
        <v>247</v>
      </c>
      <c r="F113" s="47" t="s">
        <v>248</v>
      </c>
      <c r="G113" s="47" t="s">
        <v>1607</v>
      </c>
      <c r="H113" s="47" t="s">
        <v>1753</v>
      </c>
      <c r="I113" s="47" t="s">
        <v>1754</v>
      </c>
      <c r="J113" s="47" t="s">
        <v>944</v>
      </c>
      <c r="K113" s="47" t="s">
        <v>163</v>
      </c>
      <c r="L113" s="47" t="s">
        <v>1056</v>
      </c>
      <c r="M113" s="47" t="s">
        <v>1056</v>
      </c>
      <c r="N113" s="47" t="s">
        <v>1026</v>
      </c>
      <c r="O113" s="47" t="s">
        <v>930</v>
      </c>
      <c r="P113" s="47" t="s">
        <v>930</v>
      </c>
      <c r="Q113" s="47" t="str">
        <f t="shared" si="5"/>
        <v xml:space="preserve"> Chiều T5</v>
      </c>
      <c r="R113" s="47" t="s">
        <v>973</v>
      </c>
      <c r="S113" s="47" t="s">
        <v>1027</v>
      </c>
      <c r="T113" s="47" t="s">
        <v>1755</v>
      </c>
      <c r="U113" s="47" t="s">
        <v>1756</v>
      </c>
      <c r="V113" s="47" t="s">
        <v>27</v>
      </c>
      <c r="W113" s="47" t="s">
        <v>931</v>
      </c>
      <c r="X113" s="47" t="s">
        <v>932</v>
      </c>
      <c r="Y113" s="47" t="s">
        <v>1607</v>
      </c>
      <c r="Z113" s="47" t="s">
        <v>1612</v>
      </c>
      <c r="AA113" s="47" t="s">
        <v>1613</v>
      </c>
      <c r="AB113" s="47" t="s">
        <v>1604</v>
      </c>
      <c r="AC113" s="47" t="s">
        <v>382</v>
      </c>
      <c r="AD113" s="47" t="s">
        <v>1757</v>
      </c>
      <c r="AE113" s="47" t="s">
        <v>937</v>
      </c>
      <c r="AF113" s="47" t="s">
        <v>931</v>
      </c>
      <c r="AG113" s="47" t="s">
        <v>1758</v>
      </c>
      <c r="AH113" s="47" t="s">
        <v>364</v>
      </c>
      <c r="AI113" s="47" t="s">
        <v>931</v>
      </c>
      <c r="AJ113" s="47" t="s">
        <v>365</v>
      </c>
      <c r="AK113" s="47" t="s">
        <v>930</v>
      </c>
      <c r="AL113" s="47" t="s">
        <v>931</v>
      </c>
      <c r="AM113" s="47" t="s">
        <v>931</v>
      </c>
      <c r="AN113" s="37"/>
    </row>
    <row r="114" spans="1:40" hidden="1">
      <c r="A114" s="47" t="s">
        <v>982</v>
      </c>
      <c r="B114" s="47" t="s">
        <v>919</v>
      </c>
      <c r="C114" s="47" t="s">
        <v>1759</v>
      </c>
      <c r="D114" s="47">
        <f t="shared" si="4"/>
        <v>757081</v>
      </c>
      <c r="E114" s="47" t="s">
        <v>499</v>
      </c>
      <c r="F114" s="47" t="s">
        <v>500</v>
      </c>
      <c r="G114" s="47" t="s">
        <v>869</v>
      </c>
      <c r="H114" s="47" t="s">
        <v>1325</v>
      </c>
      <c r="I114" s="47" t="s">
        <v>1760</v>
      </c>
      <c r="J114" s="47" t="s">
        <v>944</v>
      </c>
      <c r="K114" s="47" t="s">
        <v>163</v>
      </c>
      <c r="L114" s="47" t="s">
        <v>1109</v>
      </c>
      <c r="M114" s="47" t="s">
        <v>1056</v>
      </c>
      <c r="N114" s="47" t="s">
        <v>1026</v>
      </c>
      <c r="O114" s="47" t="s">
        <v>930</v>
      </c>
      <c r="P114" s="47" t="s">
        <v>930</v>
      </c>
      <c r="Q114" s="47" t="str">
        <f t="shared" si="5"/>
        <v xml:space="preserve"> Sáng T3:</v>
      </c>
      <c r="R114" s="47" t="s">
        <v>947</v>
      </c>
      <c r="S114" s="47" t="s">
        <v>1070</v>
      </c>
      <c r="T114" s="47" t="s">
        <v>1761</v>
      </c>
      <c r="U114" s="47" t="s">
        <v>1762</v>
      </c>
      <c r="V114" s="47" t="s">
        <v>24</v>
      </c>
      <c r="W114" s="47" t="s">
        <v>931</v>
      </c>
      <c r="X114" s="47" t="s">
        <v>932</v>
      </c>
      <c r="Y114" s="47" t="s">
        <v>869</v>
      </c>
      <c r="Z114" s="47" t="s">
        <v>1763</v>
      </c>
      <c r="AA114" s="47" t="s">
        <v>1764</v>
      </c>
      <c r="AB114" s="47" t="s">
        <v>1765</v>
      </c>
      <c r="AC114" s="47" t="s">
        <v>438</v>
      </c>
      <c r="AD114" s="47" t="s">
        <v>1766</v>
      </c>
      <c r="AE114" s="47" t="s">
        <v>937</v>
      </c>
      <c r="AF114" s="47" t="s">
        <v>931</v>
      </c>
      <c r="AG114" s="47" t="s">
        <v>1767</v>
      </c>
      <c r="AH114" s="47" t="s">
        <v>364</v>
      </c>
      <c r="AI114" s="47" t="s">
        <v>931</v>
      </c>
      <c r="AJ114" s="47" t="s">
        <v>365</v>
      </c>
      <c r="AK114" s="47" t="s">
        <v>930</v>
      </c>
      <c r="AL114" s="47" t="s">
        <v>931</v>
      </c>
      <c r="AM114" s="47" t="s">
        <v>931</v>
      </c>
      <c r="AN114" s="37"/>
    </row>
    <row r="115" spans="1:40" hidden="1">
      <c r="A115" s="47" t="s">
        <v>982</v>
      </c>
      <c r="B115" s="47" t="s">
        <v>919</v>
      </c>
      <c r="C115" s="47" t="s">
        <v>1768</v>
      </c>
      <c r="D115" s="47">
        <f t="shared" si="4"/>
        <v>757080</v>
      </c>
      <c r="E115" s="47" t="s">
        <v>499</v>
      </c>
      <c r="F115" s="47" t="s">
        <v>500</v>
      </c>
      <c r="G115" s="47" t="s">
        <v>1720</v>
      </c>
      <c r="H115" s="47" t="s">
        <v>931</v>
      </c>
      <c r="I115" s="47" t="s">
        <v>1769</v>
      </c>
      <c r="J115" s="47" t="s">
        <v>944</v>
      </c>
      <c r="K115" s="47" t="s">
        <v>163</v>
      </c>
      <c r="L115" s="47" t="s">
        <v>1269</v>
      </c>
      <c r="M115" s="47" t="s">
        <v>1056</v>
      </c>
      <c r="N115" s="47" t="s">
        <v>1026</v>
      </c>
      <c r="O115" s="47" t="s">
        <v>930</v>
      </c>
      <c r="P115" s="47" t="s">
        <v>930</v>
      </c>
      <c r="Q115" s="47" t="str">
        <f t="shared" si="5"/>
        <v xml:space="preserve"> Sáng T4:</v>
      </c>
      <c r="R115" s="47" t="s">
        <v>947</v>
      </c>
      <c r="S115" s="47" t="s">
        <v>1059</v>
      </c>
      <c r="T115" s="47" t="s">
        <v>1770</v>
      </c>
      <c r="U115" s="47" t="s">
        <v>1771</v>
      </c>
      <c r="V115" s="47" t="s">
        <v>24</v>
      </c>
      <c r="W115" s="47" t="s">
        <v>931</v>
      </c>
      <c r="X115" s="47" t="s">
        <v>932</v>
      </c>
      <c r="Y115" s="47" t="s">
        <v>1720</v>
      </c>
      <c r="Z115" s="47" t="s">
        <v>1724</v>
      </c>
      <c r="AA115" s="47" t="s">
        <v>1725</v>
      </c>
      <c r="AB115" s="47" t="s">
        <v>1703</v>
      </c>
      <c r="AC115" s="47" t="s">
        <v>438</v>
      </c>
      <c r="AD115" s="47" t="s">
        <v>1772</v>
      </c>
      <c r="AE115" s="47" t="s">
        <v>937</v>
      </c>
      <c r="AF115" s="47" t="s">
        <v>931</v>
      </c>
      <c r="AG115" s="47" t="s">
        <v>931</v>
      </c>
      <c r="AH115" s="47" t="s">
        <v>364</v>
      </c>
      <c r="AI115" s="47" t="s">
        <v>931</v>
      </c>
      <c r="AJ115" s="47" t="s">
        <v>365</v>
      </c>
      <c r="AK115" s="47" t="s">
        <v>930</v>
      </c>
      <c r="AL115" s="47" t="s">
        <v>931</v>
      </c>
      <c r="AM115" s="47" t="s">
        <v>931</v>
      </c>
      <c r="AN115" s="37"/>
    </row>
    <row r="116" spans="1:40" hidden="1">
      <c r="A116" s="47" t="s">
        <v>982</v>
      </c>
      <c r="B116" s="47" t="s">
        <v>919</v>
      </c>
      <c r="C116" s="47" t="s">
        <v>1773</v>
      </c>
      <c r="D116" s="47">
        <f t="shared" si="4"/>
        <v>757053</v>
      </c>
      <c r="E116" s="47" t="s">
        <v>247</v>
      </c>
      <c r="F116" s="47" t="s">
        <v>248</v>
      </c>
      <c r="G116" s="47" t="s">
        <v>869</v>
      </c>
      <c r="H116" s="47" t="s">
        <v>1753</v>
      </c>
      <c r="I116" s="47" t="s">
        <v>1774</v>
      </c>
      <c r="J116" s="47" t="s">
        <v>944</v>
      </c>
      <c r="K116" s="47" t="s">
        <v>163</v>
      </c>
      <c r="L116" s="47" t="s">
        <v>1056</v>
      </c>
      <c r="M116" s="47" t="s">
        <v>1056</v>
      </c>
      <c r="N116" s="47" t="s">
        <v>1026</v>
      </c>
      <c r="O116" s="47" t="s">
        <v>930</v>
      </c>
      <c r="P116" s="47" t="s">
        <v>930</v>
      </c>
      <c r="Q116" s="47" t="str">
        <f t="shared" si="5"/>
        <v xml:space="preserve"> Chiều T4</v>
      </c>
      <c r="R116" s="47" t="s">
        <v>973</v>
      </c>
      <c r="S116" s="47" t="s">
        <v>1059</v>
      </c>
      <c r="T116" s="47" t="s">
        <v>1775</v>
      </c>
      <c r="U116" s="47" t="s">
        <v>1776</v>
      </c>
      <c r="V116" s="47" t="s">
        <v>27</v>
      </c>
      <c r="W116" s="47" t="s">
        <v>931</v>
      </c>
      <c r="X116" s="47" t="s">
        <v>932</v>
      </c>
      <c r="Y116" s="47" t="s">
        <v>869</v>
      </c>
      <c r="Z116" s="47" t="s">
        <v>1763</v>
      </c>
      <c r="AA116" s="47" t="s">
        <v>1764</v>
      </c>
      <c r="AB116" s="47" t="s">
        <v>1777</v>
      </c>
      <c r="AC116" s="47" t="s">
        <v>382</v>
      </c>
      <c r="AD116" s="47" t="s">
        <v>1778</v>
      </c>
      <c r="AE116" s="47" t="s">
        <v>937</v>
      </c>
      <c r="AF116" s="47" t="s">
        <v>931</v>
      </c>
      <c r="AG116" s="47" t="s">
        <v>1779</v>
      </c>
      <c r="AH116" s="47" t="s">
        <v>364</v>
      </c>
      <c r="AI116" s="47" t="s">
        <v>931</v>
      </c>
      <c r="AJ116" s="47" t="s">
        <v>365</v>
      </c>
      <c r="AK116" s="47" t="s">
        <v>930</v>
      </c>
      <c r="AL116" s="47" t="s">
        <v>931</v>
      </c>
      <c r="AM116" s="47" t="s">
        <v>931</v>
      </c>
      <c r="AN116" s="37"/>
    </row>
    <row r="117" spans="1:40" hidden="1">
      <c r="A117" s="47" t="s">
        <v>982</v>
      </c>
      <c r="B117" s="47" t="s">
        <v>919</v>
      </c>
      <c r="C117" s="47" t="s">
        <v>1780</v>
      </c>
      <c r="D117" s="47">
        <f t="shared" si="4"/>
        <v>757068</v>
      </c>
      <c r="E117" s="47" t="s">
        <v>261</v>
      </c>
      <c r="F117" s="47" t="s">
        <v>262</v>
      </c>
      <c r="G117" s="47" t="s">
        <v>1720</v>
      </c>
      <c r="H117" s="47" t="s">
        <v>931</v>
      </c>
      <c r="I117" s="47" t="s">
        <v>1781</v>
      </c>
      <c r="J117" s="47" t="s">
        <v>1024</v>
      </c>
      <c r="K117" s="47" t="s">
        <v>163</v>
      </c>
      <c r="L117" s="47" t="s">
        <v>1056</v>
      </c>
      <c r="M117" s="47" t="s">
        <v>1056</v>
      </c>
      <c r="N117" s="47" t="s">
        <v>1026</v>
      </c>
      <c r="O117" s="47" t="s">
        <v>930</v>
      </c>
      <c r="P117" s="47" t="s">
        <v>930</v>
      </c>
      <c r="Q117" s="47" t="str">
        <f t="shared" si="5"/>
        <v xml:space="preserve"> Sáng T2:</v>
      </c>
      <c r="R117" s="47" t="s">
        <v>947</v>
      </c>
      <c r="S117" s="47" t="s">
        <v>1103</v>
      </c>
      <c r="T117" s="47" t="s">
        <v>1782</v>
      </c>
      <c r="U117" s="47" t="s">
        <v>1783</v>
      </c>
      <c r="V117" s="47" t="s">
        <v>19</v>
      </c>
      <c r="W117" s="47" t="s">
        <v>931</v>
      </c>
      <c r="X117" s="47" t="s">
        <v>932</v>
      </c>
      <c r="Y117" s="47" t="s">
        <v>1720</v>
      </c>
      <c r="Z117" s="47" t="s">
        <v>1724</v>
      </c>
      <c r="AA117" s="47" t="s">
        <v>1725</v>
      </c>
      <c r="AB117" s="47" t="s">
        <v>1494</v>
      </c>
      <c r="AC117" s="47" t="s">
        <v>438</v>
      </c>
      <c r="AD117" s="47" t="s">
        <v>1784</v>
      </c>
      <c r="AE117" s="47" t="s">
        <v>937</v>
      </c>
      <c r="AF117" s="47" t="s">
        <v>931</v>
      </c>
      <c r="AG117" s="47" t="s">
        <v>931</v>
      </c>
      <c r="AH117" s="47" t="s">
        <v>364</v>
      </c>
      <c r="AI117" s="47" t="s">
        <v>931</v>
      </c>
      <c r="AJ117" s="47" t="s">
        <v>365</v>
      </c>
      <c r="AK117" s="47" t="s">
        <v>930</v>
      </c>
      <c r="AL117" s="47" t="s">
        <v>931</v>
      </c>
      <c r="AM117" s="47" t="s">
        <v>931</v>
      </c>
      <c r="AN117" s="37"/>
    </row>
    <row r="118" spans="1:40" hidden="1">
      <c r="A118" s="47" t="s">
        <v>982</v>
      </c>
      <c r="B118" s="47" t="s">
        <v>919</v>
      </c>
      <c r="C118" s="47" t="s">
        <v>1785</v>
      </c>
      <c r="D118" s="47">
        <f t="shared" si="4"/>
        <v>757065</v>
      </c>
      <c r="E118" s="47" t="s">
        <v>261</v>
      </c>
      <c r="F118" s="47" t="s">
        <v>262</v>
      </c>
      <c r="G118" s="47" t="s">
        <v>1590</v>
      </c>
      <c r="H118" s="47" t="s">
        <v>931</v>
      </c>
      <c r="I118" s="47" t="s">
        <v>1786</v>
      </c>
      <c r="J118" s="47" t="s">
        <v>1024</v>
      </c>
      <c r="K118" s="47" t="s">
        <v>163</v>
      </c>
      <c r="L118" s="47" t="s">
        <v>1056</v>
      </c>
      <c r="M118" s="47" t="s">
        <v>1056</v>
      </c>
      <c r="N118" s="47" t="s">
        <v>1026</v>
      </c>
      <c r="O118" s="47" t="s">
        <v>930</v>
      </c>
      <c r="P118" s="47" t="s">
        <v>930</v>
      </c>
      <c r="Q118" s="47" t="str">
        <f t="shared" si="5"/>
        <v xml:space="preserve"> Sáng T2:</v>
      </c>
      <c r="R118" s="47" t="s">
        <v>947</v>
      </c>
      <c r="S118" s="47" t="s">
        <v>1103</v>
      </c>
      <c r="T118" s="47" t="s">
        <v>1787</v>
      </c>
      <c r="U118" s="47" t="s">
        <v>1788</v>
      </c>
      <c r="V118" s="47" t="s">
        <v>21</v>
      </c>
      <c r="W118" s="47" t="s">
        <v>931</v>
      </c>
      <c r="X118" s="47" t="s">
        <v>932</v>
      </c>
      <c r="Y118" s="47" t="s">
        <v>1590</v>
      </c>
      <c r="Z118" s="47" t="s">
        <v>1594</v>
      </c>
      <c r="AA118" s="47" t="s">
        <v>1595</v>
      </c>
      <c r="AB118" s="47" t="s">
        <v>1765</v>
      </c>
      <c r="AC118" s="47" t="s">
        <v>438</v>
      </c>
      <c r="AD118" s="47" t="s">
        <v>1789</v>
      </c>
      <c r="AE118" s="47" t="s">
        <v>937</v>
      </c>
      <c r="AF118" s="47" t="s">
        <v>931</v>
      </c>
      <c r="AG118" s="47" t="s">
        <v>931</v>
      </c>
      <c r="AH118" s="47" t="s">
        <v>364</v>
      </c>
      <c r="AI118" s="47" t="s">
        <v>931</v>
      </c>
      <c r="AJ118" s="47" t="s">
        <v>365</v>
      </c>
      <c r="AK118" s="47" t="s">
        <v>930</v>
      </c>
      <c r="AL118" s="47" t="s">
        <v>931</v>
      </c>
      <c r="AM118" s="47" t="s">
        <v>931</v>
      </c>
      <c r="AN118" s="37"/>
    </row>
    <row r="119" spans="1:40" hidden="1">
      <c r="A119" s="47" t="s">
        <v>982</v>
      </c>
      <c r="B119" s="47" t="s">
        <v>919</v>
      </c>
      <c r="C119" s="47" t="s">
        <v>1790</v>
      </c>
      <c r="D119" s="47">
        <f t="shared" si="4"/>
        <v>757056</v>
      </c>
      <c r="E119" s="47" t="s">
        <v>261</v>
      </c>
      <c r="F119" s="47" t="s">
        <v>262</v>
      </c>
      <c r="G119" s="47" t="s">
        <v>1625</v>
      </c>
      <c r="H119" s="47" t="s">
        <v>1325</v>
      </c>
      <c r="I119" s="47" t="s">
        <v>1791</v>
      </c>
      <c r="J119" s="47" t="s">
        <v>1055</v>
      </c>
      <c r="K119" s="47" t="s">
        <v>163</v>
      </c>
      <c r="L119" s="47" t="s">
        <v>1289</v>
      </c>
      <c r="M119" s="47" t="s">
        <v>1056</v>
      </c>
      <c r="N119" s="47" t="s">
        <v>1026</v>
      </c>
      <c r="O119" s="47" t="s">
        <v>930</v>
      </c>
      <c r="P119" s="47" t="s">
        <v>930</v>
      </c>
      <c r="Q119" s="47" t="str">
        <f t="shared" si="5"/>
        <v xml:space="preserve"> Chiều T2</v>
      </c>
      <c r="R119" s="47" t="s">
        <v>973</v>
      </c>
      <c r="S119" s="47" t="s">
        <v>1103</v>
      </c>
      <c r="T119" s="47" t="s">
        <v>1792</v>
      </c>
      <c r="U119" s="47" t="s">
        <v>1793</v>
      </c>
      <c r="V119" s="47" t="s">
        <v>21</v>
      </c>
      <c r="W119" s="47" t="s">
        <v>931</v>
      </c>
      <c r="X119" s="47" t="s">
        <v>932</v>
      </c>
      <c r="Y119" s="47" t="s">
        <v>1625</v>
      </c>
      <c r="Z119" s="47" t="s">
        <v>1629</v>
      </c>
      <c r="AA119" s="47" t="s">
        <v>1630</v>
      </c>
      <c r="AB119" s="47" t="s">
        <v>1732</v>
      </c>
      <c r="AC119" s="47" t="s">
        <v>438</v>
      </c>
      <c r="AD119" s="47" t="s">
        <v>1794</v>
      </c>
      <c r="AE119" s="47" t="s">
        <v>937</v>
      </c>
      <c r="AF119" s="47" t="s">
        <v>931</v>
      </c>
      <c r="AG119" s="47" t="s">
        <v>1795</v>
      </c>
      <c r="AH119" s="47" t="s">
        <v>364</v>
      </c>
      <c r="AI119" s="47" t="s">
        <v>931</v>
      </c>
      <c r="AJ119" s="47" t="s">
        <v>365</v>
      </c>
      <c r="AK119" s="47" t="s">
        <v>930</v>
      </c>
      <c r="AL119" s="47" t="s">
        <v>931</v>
      </c>
      <c r="AM119" s="47" t="s">
        <v>931</v>
      </c>
      <c r="AN119" s="37"/>
    </row>
    <row r="120" spans="1:40" hidden="1">
      <c r="A120" s="47" t="s">
        <v>982</v>
      </c>
      <c r="B120" s="47" t="s">
        <v>919</v>
      </c>
      <c r="C120" s="47" t="s">
        <v>1796</v>
      </c>
      <c r="D120" s="47">
        <f t="shared" si="4"/>
        <v>757083</v>
      </c>
      <c r="E120" s="47" t="s">
        <v>629</v>
      </c>
      <c r="F120" s="47" t="s">
        <v>630</v>
      </c>
      <c r="G120" s="47" t="s">
        <v>1736</v>
      </c>
      <c r="H120" s="47" t="s">
        <v>931</v>
      </c>
      <c r="I120" s="47" t="s">
        <v>1797</v>
      </c>
      <c r="J120" s="47" t="s">
        <v>944</v>
      </c>
      <c r="K120" s="47" t="s">
        <v>163</v>
      </c>
      <c r="L120" s="47" t="s">
        <v>956</v>
      </c>
      <c r="M120" s="47" t="s">
        <v>1056</v>
      </c>
      <c r="N120" s="47" t="s">
        <v>1026</v>
      </c>
      <c r="O120" s="47" t="s">
        <v>930</v>
      </c>
      <c r="P120" s="47" t="s">
        <v>930</v>
      </c>
      <c r="Q120" s="47" t="str">
        <f t="shared" si="5"/>
        <v xml:space="preserve"> Sáng T6:</v>
      </c>
      <c r="R120" s="47" t="s">
        <v>947</v>
      </c>
      <c r="S120" s="47" t="s">
        <v>1140</v>
      </c>
      <c r="T120" s="47" t="s">
        <v>1798</v>
      </c>
      <c r="U120" s="47" t="s">
        <v>1799</v>
      </c>
      <c r="V120" s="47" t="s">
        <v>631</v>
      </c>
      <c r="W120" s="47" t="s">
        <v>931</v>
      </c>
      <c r="X120" s="47" t="s">
        <v>995</v>
      </c>
      <c r="Y120" s="47" t="s">
        <v>1736</v>
      </c>
      <c r="Z120" s="47" t="s">
        <v>1740</v>
      </c>
      <c r="AA120" s="47" t="s">
        <v>1741</v>
      </c>
      <c r="AB120" s="47" t="s">
        <v>931</v>
      </c>
      <c r="AC120" s="47" t="s">
        <v>447</v>
      </c>
      <c r="AD120" s="47" t="s">
        <v>1800</v>
      </c>
      <c r="AE120" s="47" t="s">
        <v>937</v>
      </c>
      <c r="AF120" s="47" t="s">
        <v>931</v>
      </c>
      <c r="AG120" s="47" t="s">
        <v>931</v>
      </c>
      <c r="AH120" s="47" t="s">
        <v>998</v>
      </c>
      <c r="AI120" s="47" t="s">
        <v>931</v>
      </c>
      <c r="AJ120" s="47" t="s">
        <v>931</v>
      </c>
      <c r="AK120" s="47" t="s">
        <v>930</v>
      </c>
      <c r="AL120" s="47" t="s">
        <v>931</v>
      </c>
      <c r="AM120" s="47" t="s">
        <v>931</v>
      </c>
      <c r="AN120" s="37"/>
    </row>
    <row r="121" spans="1:40" hidden="1">
      <c r="A121" s="47" t="s">
        <v>982</v>
      </c>
      <c r="B121" s="47" t="s">
        <v>919</v>
      </c>
      <c r="C121" s="47" t="s">
        <v>1801</v>
      </c>
      <c r="D121" s="47">
        <f t="shared" si="4"/>
        <v>757060</v>
      </c>
      <c r="E121" s="47" t="s">
        <v>261</v>
      </c>
      <c r="F121" s="47" t="s">
        <v>262</v>
      </c>
      <c r="G121" s="47" t="s">
        <v>1720</v>
      </c>
      <c r="H121" s="47" t="s">
        <v>931</v>
      </c>
      <c r="I121" s="47" t="s">
        <v>1802</v>
      </c>
      <c r="J121" s="47" t="s">
        <v>1055</v>
      </c>
      <c r="K121" s="47" t="s">
        <v>163</v>
      </c>
      <c r="L121" s="47" t="s">
        <v>1056</v>
      </c>
      <c r="M121" s="47" t="s">
        <v>1056</v>
      </c>
      <c r="N121" s="47" t="s">
        <v>1026</v>
      </c>
      <c r="O121" s="47" t="s">
        <v>930</v>
      </c>
      <c r="P121" s="47" t="s">
        <v>930</v>
      </c>
      <c r="Q121" s="47" t="str">
        <f t="shared" si="5"/>
        <v xml:space="preserve"> Chiều T6</v>
      </c>
      <c r="R121" s="47" t="s">
        <v>973</v>
      </c>
      <c r="S121" s="47" t="s">
        <v>1140</v>
      </c>
      <c r="T121" s="47" t="s">
        <v>1803</v>
      </c>
      <c r="U121" s="47" t="s">
        <v>1804</v>
      </c>
      <c r="V121" s="47" t="s">
        <v>27</v>
      </c>
      <c r="W121" s="47" t="s">
        <v>931</v>
      </c>
      <c r="X121" s="47" t="s">
        <v>932</v>
      </c>
      <c r="Y121" s="47" t="s">
        <v>1720</v>
      </c>
      <c r="Z121" s="47" t="s">
        <v>1724</v>
      </c>
      <c r="AA121" s="47" t="s">
        <v>1725</v>
      </c>
      <c r="AB121" s="47" t="s">
        <v>1805</v>
      </c>
      <c r="AC121" s="47" t="s">
        <v>438</v>
      </c>
      <c r="AD121" s="47" t="s">
        <v>1806</v>
      </c>
      <c r="AE121" s="47" t="s">
        <v>937</v>
      </c>
      <c r="AF121" s="47" t="s">
        <v>931</v>
      </c>
      <c r="AG121" s="47" t="s">
        <v>931</v>
      </c>
      <c r="AH121" s="47" t="s">
        <v>364</v>
      </c>
      <c r="AI121" s="47" t="s">
        <v>931</v>
      </c>
      <c r="AJ121" s="47" t="s">
        <v>365</v>
      </c>
      <c r="AK121" s="47" t="s">
        <v>930</v>
      </c>
      <c r="AL121" s="47" t="s">
        <v>931</v>
      </c>
      <c r="AM121" s="47" t="s">
        <v>931</v>
      </c>
      <c r="AN121" s="37"/>
    </row>
    <row r="122" spans="1:40" hidden="1">
      <c r="A122" s="47" t="s">
        <v>982</v>
      </c>
      <c r="B122" s="47" t="s">
        <v>919</v>
      </c>
      <c r="C122" s="47" t="s">
        <v>1807</v>
      </c>
      <c r="D122" s="47">
        <f t="shared" si="4"/>
        <v>757051</v>
      </c>
      <c r="E122" s="47" t="s">
        <v>247</v>
      </c>
      <c r="F122" s="47" t="s">
        <v>248</v>
      </c>
      <c r="G122" s="47" t="s">
        <v>869</v>
      </c>
      <c r="H122" s="47" t="s">
        <v>1753</v>
      </c>
      <c r="I122" s="47" t="s">
        <v>1808</v>
      </c>
      <c r="J122" s="47" t="s">
        <v>944</v>
      </c>
      <c r="K122" s="47" t="s">
        <v>163</v>
      </c>
      <c r="L122" s="47" t="s">
        <v>1056</v>
      </c>
      <c r="M122" s="47" t="s">
        <v>1056</v>
      </c>
      <c r="N122" s="47" t="s">
        <v>1026</v>
      </c>
      <c r="O122" s="47" t="s">
        <v>930</v>
      </c>
      <c r="P122" s="47" t="s">
        <v>930</v>
      </c>
      <c r="Q122" s="47" t="str">
        <f t="shared" si="5"/>
        <v xml:space="preserve"> Chiều T4</v>
      </c>
      <c r="R122" s="47" t="s">
        <v>973</v>
      </c>
      <c r="S122" s="47" t="s">
        <v>1059</v>
      </c>
      <c r="T122" s="47" t="s">
        <v>1809</v>
      </c>
      <c r="U122" s="47" t="s">
        <v>1810</v>
      </c>
      <c r="V122" s="47" t="s">
        <v>27</v>
      </c>
      <c r="W122" s="47" t="s">
        <v>931</v>
      </c>
      <c r="X122" s="47" t="s">
        <v>932</v>
      </c>
      <c r="Y122" s="47" t="s">
        <v>869</v>
      </c>
      <c r="Z122" s="47" t="s">
        <v>1763</v>
      </c>
      <c r="AA122" s="47" t="s">
        <v>1764</v>
      </c>
      <c r="AB122" s="47" t="s">
        <v>1811</v>
      </c>
      <c r="AC122" s="47" t="s">
        <v>382</v>
      </c>
      <c r="AD122" s="47" t="s">
        <v>1812</v>
      </c>
      <c r="AE122" s="47" t="s">
        <v>937</v>
      </c>
      <c r="AF122" s="47" t="s">
        <v>931</v>
      </c>
      <c r="AG122" s="47" t="s">
        <v>1779</v>
      </c>
      <c r="AH122" s="47" t="s">
        <v>364</v>
      </c>
      <c r="AI122" s="47" t="s">
        <v>931</v>
      </c>
      <c r="AJ122" s="47" t="s">
        <v>365</v>
      </c>
      <c r="AK122" s="47" t="s">
        <v>930</v>
      </c>
      <c r="AL122" s="47" t="s">
        <v>931</v>
      </c>
      <c r="AM122" s="47" t="s">
        <v>931</v>
      </c>
      <c r="AN122" s="37"/>
    </row>
    <row r="123" spans="1:40" hidden="1">
      <c r="A123" s="47" t="s">
        <v>982</v>
      </c>
      <c r="B123" s="47" t="s">
        <v>919</v>
      </c>
      <c r="C123" s="47" t="s">
        <v>1813</v>
      </c>
      <c r="D123" s="47">
        <f t="shared" si="4"/>
        <v>757087</v>
      </c>
      <c r="E123" s="47" t="s">
        <v>295</v>
      </c>
      <c r="F123" s="47" t="s">
        <v>296</v>
      </c>
      <c r="G123" s="47" t="s">
        <v>862</v>
      </c>
      <c r="H123" s="47" t="s">
        <v>1100</v>
      </c>
      <c r="I123" s="47" t="s">
        <v>1814</v>
      </c>
      <c r="J123" s="47" t="s">
        <v>1024</v>
      </c>
      <c r="K123" s="47" t="s">
        <v>163</v>
      </c>
      <c r="L123" s="47" t="s">
        <v>1392</v>
      </c>
      <c r="M123" s="47" t="s">
        <v>1056</v>
      </c>
      <c r="N123" s="47" t="s">
        <v>1026</v>
      </c>
      <c r="O123" s="47" t="s">
        <v>930</v>
      </c>
      <c r="P123" s="47" t="s">
        <v>930</v>
      </c>
      <c r="Q123" s="47" t="str">
        <f t="shared" si="5"/>
        <v xml:space="preserve"> Chiều T5</v>
      </c>
      <c r="R123" s="47" t="s">
        <v>973</v>
      </c>
      <c r="S123" s="47" t="s">
        <v>1027</v>
      </c>
      <c r="T123" s="47" t="s">
        <v>1815</v>
      </c>
      <c r="U123" s="47" t="s">
        <v>1816</v>
      </c>
      <c r="V123" s="47" t="s">
        <v>26</v>
      </c>
      <c r="W123" s="47" t="s">
        <v>931</v>
      </c>
      <c r="X123" s="47" t="s">
        <v>995</v>
      </c>
      <c r="Y123" s="47" t="s">
        <v>862</v>
      </c>
      <c r="Z123" s="47" t="s">
        <v>1747</v>
      </c>
      <c r="AA123" s="47" t="s">
        <v>1748</v>
      </c>
      <c r="AB123" s="47" t="s">
        <v>931</v>
      </c>
      <c r="AC123" s="47" t="s">
        <v>435</v>
      </c>
      <c r="AD123" s="47" t="s">
        <v>1817</v>
      </c>
      <c r="AE123" s="47" t="s">
        <v>1750</v>
      </c>
      <c r="AF123" s="47" t="s">
        <v>931</v>
      </c>
      <c r="AG123" s="47" t="s">
        <v>1818</v>
      </c>
      <c r="AH123" s="47" t="s">
        <v>364</v>
      </c>
      <c r="AI123" s="47" t="s">
        <v>931</v>
      </c>
      <c r="AJ123" s="47" t="s">
        <v>365</v>
      </c>
      <c r="AK123" s="47" t="s">
        <v>930</v>
      </c>
      <c r="AL123" s="47" t="s">
        <v>931</v>
      </c>
      <c r="AM123" s="47" t="s">
        <v>931</v>
      </c>
      <c r="AN123" s="37"/>
    </row>
    <row r="124" spans="1:40" hidden="1">
      <c r="A124" s="47" t="s">
        <v>982</v>
      </c>
      <c r="B124" s="47" t="s">
        <v>919</v>
      </c>
      <c r="C124" s="47" t="s">
        <v>1819</v>
      </c>
      <c r="D124" s="47">
        <f t="shared" si="4"/>
        <v>757059</v>
      </c>
      <c r="E124" s="47" t="s">
        <v>261</v>
      </c>
      <c r="F124" s="47" t="s">
        <v>262</v>
      </c>
      <c r="G124" s="47" t="s">
        <v>1590</v>
      </c>
      <c r="H124" s="47" t="s">
        <v>931</v>
      </c>
      <c r="I124" s="47" t="s">
        <v>1820</v>
      </c>
      <c r="J124" s="47" t="s">
        <v>1055</v>
      </c>
      <c r="K124" s="47" t="s">
        <v>163</v>
      </c>
      <c r="L124" s="47" t="s">
        <v>1289</v>
      </c>
      <c r="M124" s="47" t="s">
        <v>1056</v>
      </c>
      <c r="N124" s="47" t="s">
        <v>1026</v>
      </c>
      <c r="O124" s="47" t="s">
        <v>930</v>
      </c>
      <c r="P124" s="47" t="s">
        <v>930</v>
      </c>
      <c r="Q124" s="47" t="str">
        <f t="shared" si="5"/>
        <v xml:space="preserve"> Chiều T2</v>
      </c>
      <c r="R124" s="47" t="s">
        <v>973</v>
      </c>
      <c r="S124" s="47" t="s">
        <v>1103</v>
      </c>
      <c r="T124" s="47" t="s">
        <v>1821</v>
      </c>
      <c r="U124" s="47" t="s">
        <v>1822</v>
      </c>
      <c r="V124" s="47" t="s">
        <v>21</v>
      </c>
      <c r="W124" s="47" t="s">
        <v>931</v>
      </c>
      <c r="X124" s="47" t="s">
        <v>932</v>
      </c>
      <c r="Y124" s="47" t="s">
        <v>1590</v>
      </c>
      <c r="Z124" s="47" t="s">
        <v>1594</v>
      </c>
      <c r="AA124" s="47" t="s">
        <v>1595</v>
      </c>
      <c r="AB124" s="47" t="s">
        <v>1823</v>
      </c>
      <c r="AC124" s="47" t="s">
        <v>438</v>
      </c>
      <c r="AD124" s="47" t="s">
        <v>1824</v>
      </c>
      <c r="AE124" s="47" t="s">
        <v>937</v>
      </c>
      <c r="AF124" s="47" t="s">
        <v>931</v>
      </c>
      <c r="AG124" s="47" t="s">
        <v>931</v>
      </c>
      <c r="AH124" s="47" t="s">
        <v>364</v>
      </c>
      <c r="AI124" s="47" t="s">
        <v>931</v>
      </c>
      <c r="AJ124" s="47" t="s">
        <v>365</v>
      </c>
      <c r="AK124" s="47" t="s">
        <v>930</v>
      </c>
      <c r="AL124" s="47" t="s">
        <v>931</v>
      </c>
      <c r="AM124" s="47" t="s">
        <v>931</v>
      </c>
      <c r="AN124" s="37"/>
    </row>
    <row r="125" spans="1:40" hidden="1">
      <c r="A125" s="47" t="s">
        <v>982</v>
      </c>
      <c r="B125" s="47" t="s">
        <v>919</v>
      </c>
      <c r="C125" s="47" t="s">
        <v>1825</v>
      </c>
      <c r="D125" s="47">
        <f t="shared" si="4"/>
        <v>757069</v>
      </c>
      <c r="E125" s="47" t="s">
        <v>261</v>
      </c>
      <c r="F125" s="47" t="s">
        <v>262</v>
      </c>
      <c r="G125" s="47" t="s">
        <v>869</v>
      </c>
      <c r="H125" s="47" t="s">
        <v>1325</v>
      </c>
      <c r="I125" s="47" t="s">
        <v>1826</v>
      </c>
      <c r="J125" s="47" t="s">
        <v>1024</v>
      </c>
      <c r="K125" s="47" t="s">
        <v>163</v>
      </c>
      <c r="L125" s="47" t="s">
        <v>1056</v>
      </c>
      <c r="M125" s="47" t="s">
        <v>1056</v>
      </c>
      <c r="N125" s="47" t="s">
        <v>1026</v>
      </c>
      <c r="O125" s="47" t="s">
        <v>930</v>
      </c>
      <c r="P125" s="47" t="s">
        <v>930</v>
      </c>
      <c r="Q125" s="47" t="str">
        <f t="shared" si="5"/>
        <v xml:space="preserve"> Sáng T2:</v>
      </c>
      <c r="R125" s="47" t="s">
        <v>947</v>
      </c>
      <c r="S125" s="47" t="s">
        <v>1103</v>
      </c>
      <c r="T125" s="47" t="s">
        <v>1827</v>
      </c>
      <c r="U125" s="47" t="s">
        <v>1828</v>
      </c>
      <c r="V125" s="47" t="s">
        <v>19</v>
      </c>
      <c r="W125" s="47" t="s">
        <v>931</v>
      </c>
      <c r="X125" s="47" t="s">
        <v>932</v>
      </c>
      <c r="Y125" s="47" t="s">
        <v>869</v>
      </c>
      <c r="Z125" s="47" t="s">
        <v>1763</v>
      </c>
      <c r="AA125" s="47" t="s">
        <v>1764</v>
      </c>
      <c r="AB125" s="47" t="s">
        <v>1494</v>
      </c>
      <c r="AC125" s="47" t="s">
        <v>438</v>
      </c>
      <c r="AD125" s="47" t="s">
        <v>1829</v>
      </c>
      <c r="AE125" s="47" t="s">
        <v>937</v>
      </c>
      <c r="AF125" s="47" t="s">
        <v>931</v>
      </c>
      <c r="AG125" s="47" t="s">
        <v>1767</v>
      </c>
      <c r="AH125" s="47" t="s">
        <v>364</v>
      </c>
      <c r="AI125" s="47" t="s">
        <v>931</v>
      </c>
      <c r="AJ125" s="47" t="s">
        <v>365</v>
      </c>
      <c r="AK125" s="47" t="s">
        <v>930</v>
      </c>
      <c r="AL125" s="47" t="s">
        <v>931</v>
      </c>
      <c r="AM125" s="47" t="s">
        <v>931</v>
      </c>
      <c r="AN125" s="37"/>
    </row>
    <row r="126" spans="1:40" hidden="1">
      <c r="A126" s="47" t="s">
        <v>982</v>
      </c>
      <c r="B126" s="47" t="s">
        <v>919</v>
      </c>
      <c r="C126" s="47" t="s">
        <v>1830</v>
      </c>
      <c r="D126" s="47">
        <f t="shared" si="4"/>
        <v>757057</v>
      </c>
      <c r="E126" s="47" t="s">
        <v>261</v>
      </c>
      <c r="F126" s="47" t="s">
        <v>262</v>
      </c>
      <c r="G126" s="47" t="s">
        <v>1590</v>
      </c>
      <c r="H126" s="47" t="s">
        <v>931</v>
      </c>
      <c r="I126" s="47" t="s">
        <v>1831</v>
      </c>
      <c r="J126" s="47" t="s">
        <v>1055</v>
      </c>
      <c r="K126" s="47" t="s">
        <v>163</v>
      </c>
      <c r="L126" s="47" t="s">
        <v>1269</v>
      </c>
      <c r="M126" s="47" t="s">
        <v>1056</v>
      </c>
      <c r="N126" s="47" t="s">
        <v>1026</v>
      </c>
      <c r="O126" s="47" t="s">
        <v>930</v>
      </c>
      <c r="P126" s="47" t="s">
        <v>930</v>
      </c>
      <c r="Q126" s="47" t="str">
        <f t="shared" si="5"/>
        <v xml:space="preserve"> Chiều T2</v>
      </c>
      <c r="R126" s="47" t="s">
        <v>973</v>
      </c>
      <c r="S126" s="47" t="s">
        <v>1103</v>
      </c>
      <c r="T126" s="47" t="s">
        <v>1832</v>
      </c>
      <c r="U126" s="47" t="s">
        <v>1833</v>
      </c>
      <c r="V126" s="47" t="s">
        <v>21</v>
      </c>
      <c r="W126" s="47" t="s">
        <v>931</v>
      </c>
      <c r="X126" s="47" t="s">
        <v>932</v>
      </c>
      <c r="Y126" s="47" t="s">
        <v>1590</v>
      </c>
      <c r="Z126" s="47" t="s">
        <v>1594</v>
      </c>
      <c r="AA126" s="47" t="s">
        <v>1595</v>
      </c>
      <c r="AB126" s="47" t="s">
        <v>1732</v>
      </c>
      <c r="AC126" s="47" t="s">
        <v>438</v>
      </c>
      <c r="AD126" s="47" t="s">
        <v>1834</v>
      </c>
      <c r="AE126" s="47" t="s">
        <v>937</v>
      </c>
      <c r="AF126" s="47" t="s">
        <v>931</v>
      </c>
      <c r="AG126" s="47" t="s">
        <v>931</v>
      </c>
      <c r="AH126" s="47" t="s">
        <v>364</v>
      </c>
      <c r="AI126" s="47" t="s">
        <v>931</v>
      </c>
      <c r="AJ126" s="47" t="s">
        <v>365</v>
      </c>
      <c r="AK126" s="47" t="s">
        <v>930</v>
      </c>
      <c r="AL126" s="47" t="s">
        <v>931</v>
      </c>
      <c r="AM126" s="47" t="s">
        <v>931</v>
      </c>
      <c r="AN126" s="37"/>
    </row>
    <row r="127" spans="1:40" hidden="1">
      <c r="A127" s="47" t="s">
        <v>982</v>
      </c>
      <c r="B127" s="47" t="s">
        <v>919</v>
      </c>
      <c r="C127" s="47" t="s">
        <v>1835</v>
      </c>
      <c r="D127" s="47">
        <f t="shared" si="4"/>
        <v>757084</v>
      </c>
      <c r="E127" s="47" t="s">
        <v>295</v>
      </c>
      <c r="F127" s="47" t="s">
        <v>296</v>
      </c>
      <c r="G127" s="47" t="s">
        <v>862</v>
      </c>
      <c r="H127" s="47" t="s">
        <v>1100</v>
      </c>
      <c r="I127" s="47" t="s">
        <v>1836</v>
      </c>
      <c r="J127" s="47" t="s">
        <v>1024</v>
      </c>
      <c r="K127" s="47" t="s">
        <v>163</v>
      </c>
      <c r="L127" s="47" t="s">
        <v>1056</v>
      </c>
      <c r="M127" s="47" t="s">
        <v>1056</v>
      </c>
      <c r="N127" s="47" t="s">
        <v>1026</v>
      </c>
      <c r="O127" s="47" t="s">
        <v>930</v>
      </c>
      <c r="P127" s="47" t="s">
        <v>930</v>
      </c>
      <c r="Q127" s="47" t="str">
        <f t="shared" si="5"/>
        <v xml:space="preserve"> Chiều T4</v>
      </c>
      <c r="R127" s="47" t="s">
        <v>973</v>
      </c>
      <c r="S127" s="47" t="s">
        <v>1059</v>
      </c>
      <c r="T127" s="47" t="s">
        <v>1837</v>
      </c>
      <c r="U127" s="47" t="s">
        <v>1838</v>
      </c>
      <c r="V127" s="47" t="s">
        <v>27</v>
      </c>
      <c r="W127" s="47" t="s">
        <v>931</v>
      </c>
      <c r="X127" s="47" t="s">
        <v>995</v>
      </c>
      <c r="Y127" s="47" t="s">
        <v>862</v>
      </c>
      <c r="Z127" s="47" t="s">
        <v>1747</v>
      </c>
      <c r="AA127" s="47" t="s">
        <v>1748</v>
      </c>
      <c r="AB127" s="47" t="s">
        <v>931</v>
      </c>
      <c r="AC127" s="47" t="s">
        <v>435</v>
      </c>
      <c r="AD127" s="47" t="s">
        <v>1839</v>
      </c>
      <c r="AE127" s="47" t="s">
        <v>1750</v>
      </c>
      <c r="AF127" s="47" t="s">
        <v>931</v>
      </c>
      <c r="AG127" s="47" t="s">
        <v>1840</v>
      </c>
      <c r="AH127" s="47" t="s">
        <v>364</v>
      </c>
      <c r="AI127" s="47" t="s">
        <v>931</v>
      </c>
      <c r="AJ127" s="47" t="s">
        <v>365</v>
      </c>
      <c r="AK127" s="47" t="s">
        <v>930</v>
      </c>
      <c r="AL127" s="47" t="s">
        <v>931</v>
      </c>
      <c r="AM127" s="47" t="s">
        <v>931</v>
      </c>
      <c r="AN127" s="37"/>
    </row>
    <row r="128" spans="1:40" hidden="1">
      <c r="A128" s="47" t="s">
        <v>982</v>
      </c>
      <c r="B128" s="47" t="s">
        <v>919</v>
      </c>
      <c r="C128" s="47" t="s">
        <v>1841</v>
      </c>
      <c r="D128" s="47">
        <f t="shared" si="4"/>
        <v>757055</v>
      </c>
      <c r="E128" s="47" t="s">
        <v>247</v>
      </c>
      <c r="F128" s="47" t="s">
        <v>248</v>
      </c>
      <c r="G128" s="47" t="s">
        <v>1625</v>
      </c>
      <c r="H128" s="47" t="s">
        <v>1753</v>
      </c>
      <c r="I128" s="47" t="s">
        <v>1842</v>
      </c>
      <c r="J128" s="47" t="s">
        <v>944</v>
      </c>
      <c r="K128" s="47" t="s">
        <v>163</v>
      </c>
      <c r="L128" s="47" t="s">
        <v>1056</v>
      </c>
      <c r="M128" s="47" t="s">
        <v>1056</v>
      </c>
      <c r="N128" s="47" t="s">
        <v>1026</v>
      </c>
      <c r="O128" s="47" t="s">
        <v>930</v>
      </c>
      <c r="P128" s="47" t="s">
        <v>930</v>
      </c>
      <c r="Q128" s="47" t="str">
        <f t="shared" si="5"/>
        <v xml:space="preserve"> Chiều T6</v>
      </c>
      <c r="R128" s="47" t="s">
        <v>973</v>
      </c>
      <c r="S128" s="47" t="s">
        <v>1140</v>
      </c>
      <c r="T128" s="47" t="s">
        <v>1843</v>
      </c>
      <c r="U128" s="47" t="s">
        <v>1844</v>
      </c>
      <c r="V128" s="47" t="s">
        <v>27</v>
      </c>
      <c r="W128" s="47" t="s">
        <v>931</v>
      </c>
      <c r="X128" s="47" t="s">
        <v>932</v>
      </c>
      <c r="Y128" s="47" t="s">
        <v>1625</v>
      </c>
      <c r="Z128" s="47" t="s">
        <v>1629</v>
      </c>
      <c r="AA128" s="47" t="s">
        <v>1630</v>
      </c>
      <c r="AB128" s="47" t="s">
        <v>1845</v>
      </c>
      <c r="AC128" s="47" t="s">
        <v>382</v>
      </c>
      <c r="AD128" s="47" t="s">
        <v>1846</v>
      </c>
      <c r="AE128" s="47" t="s">
        <v>937</v>
      </c>
      <c r="AF128" s="47" t="s">
        <v>931</v>
      </c>
      <c r="AG128" s="47" t="s">
        <v>1847</v>
      </c>
      <c r="AH128" s="47" t="s">
        <v>364</v>
      </c>
      <c r="AI128" s="47" t="s">
        <v>931</v>
      </c>
      <c r="AJ128" s="47" t="s">
        <v>365</v>
      </c>
      <c r="AK128" s="47" t="s">
        <v>930</v>
      </c>
      <c r="AL128" s="47" t="s">
        <v>931</v>
      </c>
      <c r="AM128" s="47" t="s">
        <v>931</v>
      </c>
      <c r="AN128" s="37"/>
    </row>
    <row r="129" spans="1:40" hidden="1">
      <c r="A129" s="47" t="s">
        <v>982</v>
      </c>
      <c r="B129" s="47" t="s">
        <v>919</v>
      </c>
      <c r="C129" s="47" t="s">
        <v>1848</v>
      </c>
      <c r="D129" s="47">
        <f t="shared" si="4"/>
        <v>757062</v>
      </c>
      <c r="E129" s="47" t="s">
        <v>261</v>
      </c>
      <c r="F129" s="47" t="s">
        <v>262</v>
      </c>
      <c r="G129" s="47" t="s">
        <v>854</v>
      </c>
      <c r="H129" s="47" t="s">
        <v>931</v>
      </c>
      <c r="I129" s="47" t="s">
        <v>1849</v>
      </c>
      <c r="J129" s="47" t="s">
        <v>1055</v>
      </c>
      <c r="K129" s="47" t="s">
        <v>163</v>
      </c>
      <c r="L129" s="47" t="s">
        <v>1056</v>
      </c>
      <c r="M129" s="47" t="s">
        <v>1056</v>
      </c>
      <c r="N129" s="47" t="s">
        <v>1026</v>
      </c>
      <c r="O129" s="47" t="s">
        <v>930</v>
      </c>
      <c r="P129" s="47" t="s">
        <v>930</v>
      </c>
      <c r="Q129" s="47" t="str">
        <f t="shared" si="5"/>
        <v xml:space="preserve"> Chiều T6</v>
      </c>
      <c r="R129" s="47" t="s">
        <v>973</v>
      </c>
      <c r="S129" s="47" t="s">
        <v>1140</v>
      </c>
      <c r="T129" s="47" t="s">
        <v>1850</v>
      </c>
      <c r="U129" s="47" t="s">
        <v>1851</v>
      </c>
      <c r="V129" s="47" t="s">
        <v>21</v>
      </c>
      <c r="W129" s="47" t="s">
        <v>931</v>
      </c>
      <c r="X129" s="47" t="s">
        <v>932</v>
      </c>
      <c r="Y129" s="47" t="s">
        <v>854</v>
      </c>
      <c r="Z129" s="47" t="s">
        <v>1602</v>
      </c>
      <c r="AA129" s="47" t="s">
        <v>1603</v>
      </c>
      <c r="AB129" s="47" t="s">
        <v>1709</v>
      </c>
      <c r="AC129" s="47" t="s">
        <v>438</v>
      </c>
      <c r="AD129" s="47" t="s">
        <v>1852</v>
      </c>
      <c r="AE129" s="47" t="s">
        <v>937</v>
      </c>
      <c r="AF129" s="47" t="s">
        <v>931</v>
      </c>
      <c r="AG129" s="47" t="s">
        <v>931</v>
      </c>
      <c r="AH129" s="47" t="s">
        <v>364</v>
      </c>
      <c r="AI129" s="47" t="s">
        <v>931</v>
      </c>
      <c r="AJ129" s="47" t="s">
        <v>365</v>
      </c>
      <c r="AK129" s="47" t="s">
        <v>930</v>
      </c>
      <c r="AL129" s="47" t="s">
        <v>931</v>
      </c>
      <c r="AM129" s="47" t="s">
        <v>931</v>
      </c>
      <c r="AN129" s="37"/>
    </row>
    <row r="130" spans="1:40" hidden="1">
      <c r="A130" s="47" t="s">
        <v>982</v>
      </c>
      <c r="B130" s="47" t="s">
        <v>919</v>
      </c>
      <c r="C130" s="47" t="s">
        <v>1853</v>
      </c>
      <c r="D130" s="47">
        <f t="shared" si="4"/>
        <v>757066</v>
      </c>
      <c r="E130" s="47" t="s">
        <v>261</v>
      </c>
      <c r="F130" s="47" t="s">
        <v>262</v>
      </c>
      <c r="G130" s="47" t="s">
        <v>854</v>
      </c>
      <c r="H130" s="47" t="s">
        <v>931</v>
      </c>
      <c r="I130" s="47" t="s">
        <v>1854</v>
      </c>
      <c r="J130" s="47" t="s">
        <v>1024</v>
      </c>
      <c r="K130" s="47" t="s">
        <v>163</v>
      </c>
      <c r="L130" s="47" t="s">
        <v>1056</v>
      </c>
      <c r="M130" s="47" t="s">
        <v>1056</v>
      </c>
      <c r="N130" s="47" t="s">
        <v>1026</v>
      </c>
      <c r="O130" s="47" t="s">
        <v>930</v>
      </c>
      <c r="P130" s="47" t="s">
        <v>930</v>
      </c>
      <c r="Q130" s="47" t="str">
        <f t="shared" si="5"/>
        <v xml:space="preserve"> Sáng T2:</v>
      </c>
      <c r="R130" s="47" t="s">
        <v>947</v>
      </c>
      <c r="S130" s="47" t="s">
        <v>1103</v>
      </c>
      <c r="T130" s="47" t="s">
        <v>1855</v>
      </c>
      <c r="U130" s="47" t="s">
        <v>1856</v>
      </c>
      <c r="V130" s="47" t="s">
        <v>19</v>
      </c>
      <c r="W130" s="47" t="s">
        <v>931</v>
      </c>
      <c r="X130" s="47" t="s">
        <v>932</v>
      </c>
      <c r="Y130" s="47" t="s">
        <v>854</v>
      </c>
      <c r="Z130" s="47" t="s">
        <v>1602</v>
      </c>
      <c r="AA130" s="47" t="s">
        <v>1603</v>
      </c>
      <c r="AB130" s="47" t="s">
        <v>1857</v>
      </c>
      <c r="AC130" s="47" t="s">
        <v>438</v>
      </c>
      <c r="AD130" s="47" t="s">
        <v>1858</v>
      </c>
      <c r="AE130" s="47" t="s">
        <v>937</v>
      </c>
      <c r="AF130" s="47" t="s">
        <v>931</v>
      </c>
      <c r="AG130" s="47" t="s">
        <v>931</v>
      </c>
      <c r="AH130" s="47" t="s">
        <v>364</v>
      </c>
      <c r="AI130" s="47" t="s">
        <v>931</v>
      </c>
      <c r="AJ130" s="47" t="s">
        <v>365</v>
      </c>
      <c r="AK130" s="47" t="s">
        <v>930</v>
      </c>
      <c r="AL130" s="47" t="s">
        <v>931</v>
      </c>
      <c r="AM130" s="47" t="s">
        <v>931</v>
      </c>
      <c r="AN130" s="37"/>
    </row>
    <row r="131" spans="1:40" hidden="1">
      <c r="A131" s="47" t="s">
        <v>982</v>
      </c>
      <c r="B131" s="47" t="s">
        <v>919</v>
      </c>
      <c r="C131" s="47" t="s">
        <v>1859</v>
      </c>
      <c r="D131" s="47">
        <f t="shared" ref="D131:D194" si="6">VALUE(C131)</f>
        <v>756600</v>
      </c>
      <c r="E131" s="47" t="s">
        <v>1860</v>
      </c>
      <c r="F131" s="47" t="s">
        <v>1861</v>
      </c>
      <c r="G131" s="47" t="s">
        <v>1193</v>
      </c>
      <c r="H131" s="47" t="s">
        <v>1862</v>
      </c>
      <c r="I131" s="47" t="s">
        <v>1440</v>
      </c>
      <c r="J131" s="47" t="s">
        <v>1441</v>
      </c>
      <c r="K131" s="47" t="s">
        <v>163</v>
      </c>
      <c r="L131" s="47" t="s">
        <v>956</v>
      </c>
      <c r="M131" s="47" t="s">
        <v>1269</v>
      </c>
      <c r="N131" s="47" t="s">
        <v>946</v>
      </c>
      <c r="O131" s="47" t="s">
        <v>930</v>
      </c>
      <c r="P131" s="47" t="s">
        <v>930</v>
      </c>
      <c r="Q131" s="47" t="str">
        <f t="shared" si="5"/>
        <v xml:space="preserve"> Sáng T7:</v>
      </c>
      <c r="R131" s="47" t="s">
        <v>947</v>
      </c>
      <c r="S131" s="47"/>
      <c r="T131" s="47" t="s">
        <v>1863</v>
      </c>
      <c r="U131" s="47" t="s">
        <v>931</v>
      </c>
      <c r="V131" s="47" t="s">
        <v>931</v>
      </c>
      <c r="W131" s="47" t="s">
        <v>931</v>
      </c>
      <c r="X131" s="47" t="s">
        <v>931</v>
      </c>
      <c r="Y131" s="47" t="s">
        <v>1193</v>
      </c>
      <c r="Z131" s="47" t="s">
        <v>1200</v>
      </c>
      <c r="AA131" s="47" t="s">
        <v>1201</v>
      </c>
      <c r="AB131" s="47" t="s">
        <v>931</v>
      </c>
      <c r="AC131" s="47" t="s">
        <v>476</v>
      </c>
      <c r="AD131" s="47" t="s">
        <v>1444</v>
      </c>
      <c r="AE131" s="47" t="s">
        <v>937</v>
      </c>
      <c r="AF131" s="47" t="s">
        <v>931</v>
      </c>
      <c r="AG131" s="47" t="s">
        <v>931</v>
      </c>
      <c r="AH131" s="47" t="s">
        <v>931</v>
      </c>
      <c r="AI131" s="47" t="s">
        <v>931</v>
      </c>
      <c r="AJ131" s="47" t="s">
        <v>931</v>
      </c>
      <c r="AK131" s="47" t="s">
        <v>930</v>
      </c>
      <c r="AL131" s="47" t="s">
        <v>931</v>
      </c>
      <c r="AM131" s="47" t="s">
        <v>931</v>
      </c>
      <c r="AN131" s="37"/>
    </row>
    <row r="132" spans="1:40" hidden="1">
      <c r="A132" s="47" t="s">
        <v>982</v>
      </c>
      <c r="B132" s="47" t="s">
        <v>919</v>
      </c>
      <c r="C132" s="47" t="s">
        <v>1864</v>
      </c>
      <c r="D132" s="47">
        <f t="shared" si="6"/>
        <v>757089</v>
      </c>
      <c r="E132" s="47" t="s">
        <v>314</v>
      </c>
      <c r="F132" s="47" t="s">
        <v>315</v>
      </c>
      <c r="G132" s="47" t="s">
        <v>1736</v>
      </c>
      <c r="H132" s="47" t="s">
        <v>1100</v>
      </c>
      <c r="I132" s="47" t="s">
        <v>1865</v>
      </c>
      <c r="J132" s="47" t="s">
        <v>1055</v>
      </c>
      <c r="K132" s="47" t="s">
        <v>163</v>
      </c>
      <c r="L132" s="47" t="s">
        <v>1866</v>
      </c>
      <c r="M132" s="47" t="s">
        <v>1056</v>
      </c>
      <c r="N132" s="47" t="s">
        <v>1026</v>
      </c>
      <c r="O132" s="47" t="s">
        <v>930</v>
      </c>
      <c r="P132" s="47" t="s">
        <v>930</v>
      </c>
      <c r="Q132" s="47" t="str">
        <f t="shared" ref="Q132:Q195" si="7">LEFT(T132,9)</f>
        <v xml:space="preserve"> Sáng T2:</v>
      </c>
      <c r="R132" s="47" t="s">
        <v>947</v>
      </c>
      <c r="S132" s="47" t="s">
        <v>1103</v>
      </c>
      <c r="T132" s="47" t="s">
        <v>1867</v>
      </c>
      <c r="U132" s="47" t="s">
        <v>1868</v>
      </c>
      <c r="V132" s="47" t="s">
        <v>21</v>
      </c>
      <c r="W132" s="47" t="s">
        <v>931</v>
      </c>
      <c r="X132" s="47" t="s">
        <v>995</v>
      </c>
      <c r="Y132" s="47" t="s">
        <v>1736</v>
      </c>
      <c r="Z132" s="47" t="s">
        <v>1740</v>
      </c>
      <c r="AA132" s="47" t="s">
        <v>1741</v>
      </c>
      <c r="AB132" s="47" t="s">
        <v>931</v>
      </c>
      <c r="AC132" s="47" t="s">
        <v>359</v>
      </c>
      <c r="AD132" s="47" t="s">
        <v>1869</v>
      </c>
      <c r="AE132" s="47" t="s">
        <v>937</v>
      </c>
      <c r="AF132" s="47" t="s">
        <v>931</v>
      </c>
      <c r="AG132" s="47" t="s">
        <v>1870</v>
      </c>
      <c r="AH132" s="47" t="s">
        <v>364</v>
      </c>
      <c r="AI132" s="47" t="s">
        <v>931</v>
      </c>
      <c r="AJ132" s="47" t="s">
        <v>365</v>
      </c>
      <c r="AK132" s="47" t="s">
        <v>930</v>
      </c>
      <c r="AL132" s="47" t="s">
        <v>931</v>
      </c>
      <c r="AM132" s="47" t="s">
        <v>931</v>
      </c>
      <c r="AN132" s="37"/>
    </row>
    <row r="133" spans="1:40" hidden="1">
      <c r="A133" s="47" t="s">
        <v>982</v>
      </c>
      <c r="B133" s="47" t="s">
        <v>919</v>
      </c>
      <c r="C133" s="47" t="s">
        <v>1871</v>
      </c>
      <c r="D133" s="47">
        <f t="shared" si="6"/>
        <v>757088</v>
      </c>
      <c r="E133" s="47" t="s">
        <v>404</v>
      </c>
      <c r="F133" s="47" t="s">
        <v>405</v>
      </c>
      <c r="G133" s="47" t="s">
        <v>143</v>
      </c>
      <c r="H133" s="47" t="s">
        <v>931</v>
      </c>
      <c r="I133" s="47" t="s">
        <v>1872</v>
      </c>
      <c r="J133" s="47" t="s">
        <v>944</v>
      </c>
      <c r="K133" s="47" t="s">
        <v>163</v>
      </c>
      <c r="L133" s="47" t="s">
        <v>1015</v>
      </c>
      <c r="M133" s="47" t="s">
        <v>1173</v>
      </c>
      <c r="N133" s="47" t="s">
        <v>1026</v>
      </c>
      <c r="O133" s="47" t="s">
        <v>930</v>
      </c>
      <c r="P133" s="47" t="s">
        <v>930</v>
      </c>
      <c r="Q133" s="47" t="str">
        <f t="shared" si="7"/>
        <v xml:space="preserve"> Sáng T3:</v>
      </c>
      <c r="R133" s="47" t="s">
        <v>947</v>
      </c>
      <c r="S133" s="47" t="s">
        <v>1070</v>
      </c>
      <c r="T133" s="47" t="s">
        <v>1873</v>
      </c>
      <c r="U133" s="47" t="s">
        <v>1874</v>
      </c>
      <c r="V133" s="47" t="s">
        <v>20</v>
      </c>
      <c r="W133" s="47" t="s">
        <v>931</v>
      </c>
      <c r="X133" s="47" t="s">
        <v>995</v>
      </c>
      <c r="Y133" s="47" t="s">
        <v>143</v>
      </c>
      <c r="Z133" s="47" t="s">
        <v>1875</v>
      </c>
      <c r="AA133" s="47" t="s">
        <v>1876</v>
      </c>
      <c r="AB133" s="47" t="s">
        <v>931</v>
      </c>
      <c r="AC133" s="47" t="s">
        <v>359</v>
      </c>
      <c r="AD133" s="47" t="s">
        <v>1877</v>
      </c>
      <c r="AE133" s="47" t="s">
        <v>937</v>
      </c>
      <c r="AF133" s="47" t="s">
        <v>931</v>
      </c>
      <c r="AG133" s="47" t="s">
        <v>931</v>
      </c>
      <c r="AH133" s="47" t="s">
        <v>364</v>
      </c>
      <c r="AI133" s="47" t="s">
        <v>931</v>
      </c>
      <c r="AJ133" s="47" t="s">
        <v>365</v>
      </c>
      <c r="AK133" s="47" t="s">
        <v>930</v>
      </c>
      <c r="AL133" s="47" t="s">
        <v>931</v>
      </c>
      <c r="AM133" s="47" t="s">
        <v>931</v>
      </c>
      <c r="AN133" s="37"/>
    </row>
    <row r="134" spans="1:40" hidden="1">
      <c r="A134" s="47" t="s">
        <v>982</v>
      </c>
      <c r="B134" s="47" t="s">
        <v>919</v>
      </c>
      <c r="C134" s="47" t="s">
        <v>1878</v>
      </c>
      <c r="D134" s="47">
        <f t="shared" si="6"/>
        <v>757067</v>
      </c>
      <c r="E134" s="47" t="s">
        <v>261</v>
      </c>
      <c r="F134" s="47" t="s">
        <v>262</v>
      </c>
      <c r="G134" s="47" t="s">
        <v>854</v>
      </c>
      <c r="H134" s="47" t="s">
        <v>931</v>
      </c>
      <c r="I134" s="47" t="s">
        <v>1879</v>
      </c>
      <c r="J134" s="47" t="s">
        <v>1024</v>
      </c>
      <c r="K134" s="47" t="s">
        <v>163</v>
      </c>
      <c r="L134" s="47" t="s">
        <v>1056</v>
      </c>
      <c r="M134" s="47" t="s">
        <v>1056</v>
      </c>
      <c r="N134" s="47" t="s">
        <v>1026</v>
      </c>
      <c r="O134" s="47" t="s">
        <v>930</v>
      </c>
      <c r="P134" s="47" t="s">
        <v>930</v>
      </c>
      <c r="Q134" s="47" t="str">
        <f t="shared" si="7"/>
        <v xml:space="preserve"> Sáng T2:</v>
      </c>
      <c r="R134" s="47" t="s">
        <v>947</v>
      </c>
      <c r="S134" s="47" t="s">
        <v>1103</v>
      </c>
      <c r="T134" s="47" t="s">
        <v>1880</v>
      </c>
      <c r="U134" s="47" t="s">
        <v>1881</v>
      </c>
      <c r="V134" s="47" t="s">
        <v>19</v>
      </c>
      <c r="W134" s="47" t="s">
        <v>931</v>
      </c>
      <c r="X134" s="47" t="s">
        <v>932</v>
      </c>
      <c r="Y134" s="47" t="s">
        <v>854</v>
      </c>
      <c r="Z134" s="47" t="s">
        <v>1602</v>
      </c>
      <c r="AA134" s="47" t="s">
        <v>1603</v>
      </c>
      <c r="AB134" s="47" t="s">
        <v>1857</v>
      </c>
      <c r="AC134" s="47" t="s">
        <v>438</v>
      </c>
      <c r="AD134" s="47" t="s">
        <v>1882</v>
      </c>
      <c r="AE134" s="47" t="s">
        <v>937</v>
      </c>
      <c r="AF134" s="47" t="s">
        <v>931</v>
      </c>
      <c r="AG134" s="47" t="s">
        <v>931</v>
      </c>
      <c r="AH134" s="47" t="s">
        <v>364</v>
      </c>
      <c r="AI134" s="47" t="s">
        <v>931</v>
      </c>
      <c r="AJ134" s="47" t="s">
        <v>365</v>
      </c>
      <c r="AK134" s="47" t="s">
        <v>930</v>
      </c>
      <c r="AL134" s="47" t="s">
        <v>931</v>
      </c>
      <c r="AM134" s="47" t="s">
        <v>931</v>
      </c>
      <c r="AN134" s="37"/>
    </row>
    <row r="135" spans="1:40" hidden="1">
      <c r="A135" s="47" t="s">
        <v>982</v>
      </c>
      <c r="B135" s="47" t="s">
        <v>919</v>
      </c>
      <c r="C135" s="47" t="s">
        <v>1883</v>
      </c>
      <c r="D135" s="47">
        <f t="shared" si="6"/>
        <v>757064</v>
      </c>
      <c r="E135" s="47" t="s">
        <v>261</v>
      </c>
      <c r="F135" s="47" t="s">
        <v>262</v>
      </c>
      <c r="G135" s="47" t="s">
        <v>1590</v>
      </c>
      <c r="H135" s="47" t="s">
        <v>931</v>
      </c>
      <c r="I135" s="47" t="s">
        <v>1884</v>
      </c>
      <c r="J135" s="47" t="s">
        <v>1024</v>
      </c>
      <c r="K135" s="47" t="s">
        <v>163</v>
      </c>
      <c r="L135" s="47" t="s">
        <v>1057</v>
      </c>
      <c r="M135" s="47" t="s">
        <v>1056</v>
      </c>
      <c r="N135" s="47" t="s">
        <v>1026</v>
      </c>
      <c r="O135" s="47" t="s">
        <v>930</v>
      </c>
      <c r="P135" s="47" t="s">
        <v>930</v>
      </c>
      <c r="Q135" s="47" t="str">
        <f t="shared" si="7"/>
        <v xml:space="preserve"> Sáng T2:</v>
      </c>
      <c r="R135" s="47" t="s">
        <v>947</v>
      </c>
      <c r="S135" s="47" t="s">
        <v>1103</v>
      </c>
      <c r="T135" s="47" t="s">
        <v>1885</v>
      </c>
      <c r="U135" s="47" t="s">
        <v>1886</v>
      </c>
      <c r="V135" s="47" t="s">
        <v>21</v>
      </c>
      <c r="W135" s="47" t="s">
        <v>931</v>
      </c>
      <c r="X135" s="47" t="s">
        <v>932</v>
      </c>
      <c r="Y135" s="47" t="s">
        <v>1590</v>
      </c>
      <c r="Z135" s="47" t="s">
        <v>1594</v>
      </c>
      <c r="AA135" s="47" t="s">
        <v>1595</v>
      </c>
      <c r="AB135" s="47" t="s">
        <v>1765</v>
      </c>
      <c r="AC135" s="47" t="s">
        <v>438</v>
      </c>
      <c r="AD135" s="47" t="s">
        <v>1887</v>
      </c>
      <c r="AE135" s="47" t="s">
        <v>937</v>
      </c>
      <c r="AF135" s="47" t="s">
        <v>931</v>
      </c>
      <c r="AG135" s="47" t="s">
        <v>931</v>
      </c>
      <c r="AH135" s="47" t="s">
        <v>364</v>
      </c>
      <c r="AI135" s="47" t="s">
        <v>931</v>
      </c>
      <c r="AJ135" s="47" t="s">
        <v>365</v>
      </c>
      <c r="AK135" s="47" t="s">
        <v>930</v>
      </c>
      <c r="AL135" s="47" t="s">
        <v>931</v>
      </c>
      <c r="AM135" s="47" t="s">
        <v>931</v>
      </c>
      <c r="AN135" s="37"/>
    </row>
    <row r="136" spans="1:40" hidden="1">
      <c r="A136" s="47" t="s">
        <v>982</v>
      </c>
      <c r="B136" s="47" t="s">
        <v>919</v>
      </c>
      <c r="C136" s="47" t="s">
        <v>1888</v>
      </c>
      <c r="D136" s="47">
        <f t="shared" si="6"/>
        <v>757079</v>
      </c>
      <c r="E136" s="47" t="s">
        <v>499</v>
      </c>
      <c r="F136" s="47" t="s">
        <v>500</v>
      </c>
      <c r="G136" s="47" t="s">
        <v>1720</v>
      </c>
      <c r="H136" s="47" t="s">
        <v>931</v>
      </c>
      <c r="I136" s="47" t="s">
        <v>1889</v>
      </c>
      <c r="J136" s="47" t="s">
        <v>944</v>
      </c>
      <c r="K136" s="47" t="s">
        <v>163</v>
      </c>
      <c r="L136" s="47" t="s">
        <v>1269</v>
      </c>
      <c r="M136" s="47" t="s">
        <v>1056</v>
      </c>
      <c r="N136" s="47" t="s">
        <v>1026</v>
      </c>
      <c r="O136" s="47" t="s">
        <v>930</v>
      </c>
      <c r="P136" s="47" t="s">
        <v>930</v>
      </c>
      <c r="Q136" s="47" t="str">
        <f t="shared" si="7"/>
        <v xml:space="preserve"> Sáng T3:</v>
      </c>
      <c r="R136" s="47" t="s">
        <v>947</v>
      </c>
      <c r="S136" s="47" t="s">
        <v>1070</v>
      </c>
      <c r="T136" s="47" t="s">
        <v>1890</v>
      </c>
      <c r="U136" s="47" t="s">
        <v>1891</v>
      </c>
      <c r="V136" s="47" t="s">
        <v>24</v>
      </c>
      <c r="W136" s="47" t="s">
        <v>931</v>
      </c>
      <c r="X136" s="47" t="s">
        <v>932</v>
      </c>
      <c r="Y136" s="47" t="s">
        <v>1720</v>
      </c>
      <c r="Z136" s="47" t="s">
        <v>1724</v>
      </c>
      <c r="AA136" s="47" t="s">
        <v>1725</v>
      </c>
      <c r="AB136" s="47" t="s">
        <v>1805</v>
      </c>
      <c r="AC136" s="47" t="s">
        <v>438</v>
      </c>
      <c r="AD136" s="47" t="s">
        <v>1892</v>
      </c>
      <c r="AE136" s="47" t="s">
        <v>937</v>
      </c>
      <c r="AF136" s="47" t="s">
        <v>931</v>
      </c>
      <c r="AG136" s="47" t="s">
        <v>931</v>
      </c>
      <c r="AH136" s="47" t="s">
        <v>364</v>
      </c>
      <c r="AI136" s="47" t="s">
        <v>931</v>
      </c>
      <c r="AJ136" s="47" t="s">
        <v>365</v>
      </c>
      <c r="AK136" s="47" t="s">
        <v>930</v>
      </c>
      <c r="AL136" s="47" t="s">
        <v>931</v>
      </c>
      <c r="AM136" s="47" t="s">
        <v>931</v>
      </c>
      <c r="AN136" s="37"/>
    </row>
    <row r="137" spans="1:40" hidden="1">
      <c r="A137" s="47" t="s">
        <v>982</v>
      </c>
      <c r="B137" s="47" t="s">
        <v>919</v>
      </c>
      <c r="C137" s="47" t="s">
        <v>1893</v>
      </c>
      <c r="D137" s="47">
        <f t="shared" si="6"/>
        <v>757090</v>
      </c>
      <c r="E137" s="47" t="s">
        <v>314</v>
      </c>
      <c r="F137" s="47" t="s">
        <v>315</v>
      </c>
      <c r="G137" s="47" t="s">
        <v>1894</v>
      </c>
      <c r="H137" s="47" t="s">
        <v>931</v>
      </c>
      <c r="I137" s="47" t="s">
        <v>1895</v>
      </c>
      <c r="J137" s="47" t="s">
        <v>1055</v>
      </c>
      <c r="K137" s="47" t="s">
        <v>163</v>
      </c>
      <c r="L137" s="47" t="s">
        <v>1102</v>
      </c>
      <c r="M137" s="47" t="s">
        <v>1056</v>
      </c>
      <c r="N137" s="47" t="s">
        <v>1026</v>
      </c>
      <c r="O137" s="47" t="s">
        <v>930</v>
      </c>
      <c r="P137" s="47" t="s">
        <v>930</v>
      </c>
      <c r="Q137" s="47" t="str">
        <f t="shared" si="7"/>
        <v xml:space="preserve"> Sáng T6:</v>
      </c>
      <c r="R137" s="47" t="s">
        <v>947</v>
      </c>
      <c r="S137" s="47" t="s">
        <v>1140</v>
      </c>
      <c r="T137" s="47" t="s">
        <v>1896</v>
      </c>
      <c r="U137" s="47" t="s">
        <v>1897</v>
      </c>
      <c r="V137" s="47" t="s">
        <v>21</v>
      </c>
      <c r="W137" s="47" t="s">
        <v>931</v>
      </c>
      <c r="X137" s="47" t="s">
        <v>995</v>
      </c>
      <c r="Y137" s="47" t="s">
        <v>1894</v>
      </c>
      <c r="Z137" s="47" t="s">
        <v>1898</v>
      </c>
      <c r="AA137" s="47" t="s">
        <v>1899</v>
      </c>
      <c r="AB137" s="47" t="s">
        <v>1548</v>
      </c>
      <c r="AC137" s="47" t="s">
        <v>359</v>
      </c>
      <c r="AD137" s="47" t="s">
        <v>1900</v>
      </c>
      <c r="AE137" s="47" t="s">
        <v>937</v>
      </c>
      <c r="AF137" s="47" t="s">
        <v>931</v>
      </c>
      <c r="AG137" s="47" t="s">
        <v>931</v>
      </c>
      <c r="AH137" s="47" t="s">
        <v>364</v>
      </c>
      <c r="AI137" s="47" t="s">
        <v>931</v>
      </c>
      <c r="AJ137" s="47" t="s">
        <v>365</v>
      </c>
      <c r="AK137" s="47" t="s">
        <v>930</v>
      </c>
      <c r="AL137" s="47" t="s">
        <v>931</v>
      </c>
      <c r="AM137" s="47" t="s">
        <v>931</v>
      </c>
      <c r="AN137" s="37"/>
    </row>
    <row r="138" spans="1:40">
      <c r="A138" s="47" t="s">
        <v>982</v>
      </c>
      <c r="B138" s="47" t="s">
        <v>919</v>
      </c>
      <c r="C138" s="47" t="s">
        <v>1901</v>
      </c>
      <c r="D138" s="47">
        <f t="shared" si="6"/>
        <v>757023</v>
      </c>
      <c r="E138" s="47" t="s">
        <v>200</v>
      </c>
      <c r="F138" s="47" t="s">
        <v>191</v>
      </c>
      <c r="G138" s="47" t="s">
        <v>39</v>
      </c>
      <c r="H138" s="47" t="s">
        <v>931</v>
      </c>
      <c r="I138" s="47" t="s">
        <v>1902</v>
      </c>
      <c r="J138" s="47" t="s">
        <v>1024</v>
      </c>
      <c r="K138" s="47" t="s">
        <v>163</v>
      </c>
      <c r="L138" s="47" t="s">
        <v>1025</v>
      </c>
      <c r="M138" s="47" t="s">
        <v>1025</v>
      </c>
      <c r="N138" s="47" t="s">
        <v>1026</v>
      </c>
      <c r="O138" s="47" t="s">
        <v>930</v>
      </c>
      <c r="P138" s="47" t="s">
        <v>930</v>
      </c>
      <c r="Q138" s="47" t="str">
        <f t="shared" si="7"/>
        <v xml:space="preserve"> Chiều T3</v>
      </c>
      <c r="R138" s="47" t="s">
        <v>973</v>
      </c>
      <c r="S138" s="47" t="s">
        <v>1070</v>
      </c>
      <c r="T138" s="47" t="s">
        <v>1903</v>
      </c>
      <c r="U138" s="47" t="s">
        <v>1904</v>
      </c>
      <c r="V138" s="47" t="s">
        <v>25</v>
      </c>
      <c r="W138" s="47" t="s">
        <v>931</v>
      </c>
      <c r="X138" s="47" t="s">
        <v>1030</v>
      </c>
      <c r="Y138" s="47" t="s">
        <v>39</v>
      </c>
      <c r="Z138" s="47" t="s">
        <v>1031</v>
      </c>
      <c r="AA138" s="47" t="s">
        <v>1032</v>
      </c>
      <c r="AB138" s="47" t="s">
        <v>1905</v>
      </c>
      <c r="AC138" s="47" t="s">
        <v>447</v>
      </c>
      <c r="AD138" s="47" t="s">
        <v>1906</v>
      </c>
      <c r="AE138" s="47" t="s">
        <v>937</v>
      </c>
      <c r="AF138" s="47" t="s">
        <v>931</v>
      </c>
      <c r="AG138" s="47" t="s">
        <v>931</v>
      </c>
      <c r="AH138" s="47" t="s">
        <v>931</v>
      </c>
      <c r="AI138" s="47" t="s">
        <v>931</v>
      </c>
      <c r="AJ138" s="47" t="s">
        <v>931</v>
      </c>
      <c r="AK138" s="47" t="s">
        <v>930</v>
      </c>
      <c r="AL138" s="47" t="s">
        <v>931</v>
      </c>
      <c r="AM138" s="47" t="s">
        <v>931</v>
      </c>
      <c r="AN138" s="37"/>
    </row>
    <row r="139" spans="1:40" hidden="1">
      <c r="A139" s="47" t="s">
        <v>982</v>
      </c>
      <c r="B139" s="47" t="s">
        <v>919</v>
      </c>
      <c r="C139" s="47" t="s">
        <v>1907</v>
      </c>
      <c r="D139" s="47">
        <f t="shared" si="6"/>
        <v>757093</v>
      </c>
      <c r="E139" s="47" t="s">
        <v>314</v>
      </c>
      <c r="F139" s="47" t="s">
        <v>315</v>
      </c>
      <c r="G139" s="47" t="s">
        <v>1736</v>
      </c>
      <c r="H139" s="47" t="s">
        <v>931</v>
      </c>
      <c r="I139" s="47" t="s">
        <v>1908</v>
      </c>
      <c r="J139" s="47" t="s">
        <v>1024</v>
      </c>
      <c r="K139" s="47" t="s">
        <v>163</v>
      </c>
      <c r="L139" s="47" t="s">
        <v>1909</v>
      </c>
      <c r="M139" s="47" t="s">
        <v>1173</v>
      </c>
      <c r="N139" s="47" t="s">
        <v>1026</v>
      </c>
      <c r="O139" s="47" t="s">
        <v>930</v>
      </c>
      <c r="P139" s="47" t="s">
        <v>930</v>
      </c>
      <c r="Q139" s="47" t="str">
        <f t="shared" si="7"/>
        <v xml:space="preserve"> Chiều T7</v>
      </c>
      <c r="R139" s="47" t="s">
        <v>973</v>
      </c>
      <c r="S139" s="47" t="s">
        <v>1677</v>
      </c>
      <c r="T139" s="47" t="s">
        <v>1910</v>
      </c>
      <c r="U139" s="47" t="s">
        <v>1911</v>
      </c>
      <c r="V139" s="47" t="s">
        <v>27</v>
      </c>
      <c r="W139" s="47" t="s">
        <v>931</v>
      </c>
      <c r="X139" s="47" t="s">
        <v>995</v>
      </c>
      <c r="Y139" s="47" t="s">
        <v>1736</v>
      </c>
      <c r="Z139" s="47" t="s">
        <v>1740</v>
      </c>
      <c r="AA139" s="47" t="s">
        <v>1741</v>
      </c>
      <c r="AB139" s="47" t="s">
        <v>931</v>
      </c>
      <c r="AC139" s="47" t="s">
        <v>359</v>
      </c>
      <c r="AD139" s="47" t="s">
        <v>1912</v>
      </c>
      <c r="AE139" s="47" t="s">
        <v>937</v>
      </c>
      <c r="AF139" s="47" t="s">
        <v>931</v>
      </c>
      <c r="AG139" s="47" t="s">
        <v>931</v>
      </c>
      <c r="AH139" s="47" t="s">
        <v>364</v>
      </c>
      <c r="AI139" s="47" t="s">
        <v>931</v>
      </c>
      <c r="AJ139" s="47" t="s">
        <v>365</v>
      </c>
      <c r="AK139" s="47" t="s">
        <v>930</v>
      </c>
      <c r="AL139" s="47" t="s">
        <v>931</v>
      </c>
      <c r="AM139" s="47" t="s">
        <v>931</v>
      </c>
      <c r="AN139" s="37"/>
    </row>
    <row r="140" spans="1:40" hidden="1">
      <c r="A140" s="47" t="s">
        <v>982</v>
      </c>
      <c r="B140" s="47" t="s">
        <v>919</v>
      </c>
      <c r="C140" s="47" t="s">
        <v>1913</v>
      </c>
      <c r="D140" s="47">
        <f t="shared" si="6"/>
        <v>757072</v>
      </c>
      <c r="E140" s="47" t="s">
        <v>261</v>
      </c>
      <c r="F140" s="47" t="s">
        <v>262</v>
      </c>
      <c r="G140" s="47" t="s">
        <v>1607</v>
      </c>
      <c r="H140" s="47" t="s">
        <v>1325</v>
      </c>
      <c r="I140" s="47" t="s">
        <v>1914</v>
      </c>
      <c r="J140" s="47" t="s">
        <v>1024</v>
      </c>
      <c r="K140" s="47" t="s">
        <v>163</v>
      </c>
      <c r="L140" s="47" t="s">
        <v>1056</v>
      </c>
      <c r="M140" s="47" t="s">
        <v>1056</v>
      </c>
      <c r="N140" s="47" t="s">
        <v>1026</v>
      </c>
      <c r="O140" s="47" t="s">
        <v>930</v>
      </c>
      <c r="P140" s="47" t="s">
        <v>930</v>
      </c>
      <c r="Q140" s="47" t="str">
        <f t="shared" si="7"/>
        <v xml:space="preserve"> Chiều T4</v>
      </c>
      <c r="R140" s="47" t="s">
        <v>973</v>
      </c>
      <c r="S140" s="47" t="s">
        <v>1059</v>
      </c>
      <c r="T140" s="47" t="s">
        <v>1915</v>
      </c>
      <c r="U140" s="47" t="s">
        <v>1916</v>
      </c>
      <c r="V140" s="47" t="s">
        <v>19</v>
      </c>
      <c r="W140" s="47" t="s">
        <v>931</v>
      </c>
      <c r="X140" s="47" t="s">
        <v>932</v>
      </c>
      <c r="Y140" s="47" t="s">
        <v>1607</v>
      </c>
      <c r="Z140" s="47" t="s">
        <v>1612</v>
      </c>
      <c r="AA140" s="47" t="s">
        <v>1613</v>
      </c>
      <c r="AB140" s="47" t="s">
        <v>1622</v>
      </c>
      <c r="AC140" s="47" t="s">
        <v>438</v>
      </c>
      <c r="AD140" s="47" t="s">
        <v>1917</v>
      </c>
      <c r="AE140" s="47" t="s">
        <v>937</v>
      </c>
      <c r="AF140" s="47" t="s">
        <v>931</v>
      </c>
      <c r="AG140" s="47" t="s">
        <v>1711</v>
      </c>
      <c r="AH140" s="47" t="s">
        <v>364</v>
      </c>
      <c r="AI140" s="47" t="s">
        <v>931</v>
      </c>
      <c r="AJ140" s="47" t="s">
        <v>365</v>
      </c>
      <c r="AK140" s="47" t="s">
        <v>930</v>
      </c>
      <c r="AL140" s="47" t="s">
        <v>931</v>
      </c>
      <c r="AM140" s="47" t="s">
        <v>931</v>
      </c>
      <c r="AN140" s="37"/>
    </row>
    <row r="141" spans="1:40" hidden="1">
      <c r="A141" s="47" t="s">
        <v>982</v>
      </c>
      <c r="B141" s="47" t="s">
        <v>919</v>
      </c>
      <c r="C141" s="47" t="s">
        <v>1918</v>
      </c>
      <c r="D141" s="47">
        <f t="shared" si="6"/>
        <v>757074</v>
      </c>
      <c r="E141" s="47" t="s">
        <v>261</v>
      </c>
      <c r="F141" s="47" t="s">
        <v>262</v>
      </c>
      <c r="G141" s="47" t="s">
        <v>1607</v>
      </c>
      <c r="H141" s="47" t="s">
        <v>1325</v>
      </c>
      <c r="I141" s="47" t="s">
        <v>1919</v>
      </c>
      <c r="J141" s="47" t="s">
        <v>1024</v>
      </c>
      <c r="K141" s="47" t="s">
        <v>163</v>
      </c>
      <c r="L141" s="47" t="s">
        <v>1056</v>
      </c>
      <c r="M141" s="47" t="s">
        <v>1056</v>
      </c>
      <c r="N141" s="47" t="s">
        <v>1026</v>
      </c>
      <c r="O141" s="47" t="s">
        <v>930</v>
      </c>
      <c r="P141" s="47" t="s">
        <v>930</v>
      </c>
      <c r="Q141" s="47" t="str">
        <f t="shared" si="7"/>
        <v xml:space="preserve"> Chiều T4</v>
      </c>
      <c r="R141" s="47" t="s">
        <v>973</v>
      </c>
      <c r="S141" s="47" t="s">
        <v>1059</v>
      </c>
      <c r="T141" s="47" t="s">
        <v>1920</v>
      </c>
      <c r="U141" s="47" t="s">
        <v>1921</v>
      </c>
      <c r="V141" s="47" t="s">
        <v>20</v>
      </c>
      <c r="W141" s="47" t="s">
        <v>931</v>
      </c>
      <c r="X141" s="47" t="s">
        <v>932</v>
      </c>
      <c r="Y141" s="47" t="s">
        <v>1607</v>
      </c>
      <c r="Z141" s="47" t="s">
        <v>1612</v>
      </c>
      <c r="AA141" s="47" t="s">
        <v>1613</v>
      </c>
      <c r="AB141" s="47" t="s">
        <v>1622</v>
      </c>
      <c r="AC141" s="47" t="s">
        <v>438</v>
      </c>
      <c r="AD141" s="47" t="s">
        <v>1922</v>
      </c>
      <c r="AE141" s="47" t="s">
        <v>937</v>
      </c>
      <c r="AF141" s="47" t="s">
        <v>931</v>
      </c>
      <c r="AG141" s="47" t="s">
        <v>1711</v>
      </c>
      <c r="AH141" s="47" t="s">
        <v>364</v>
      </c>
      <c r="AI141" s="47" t="s">
        <v>931</v>
      </c>
      <c r="AJ141" s="47" t="s">
        <v>365</v>
      </c>
      <c r="AK141" s="47" t="s">
        <v>930</v>
      </c>
      <c r="AL141" s="47" t="s">
        <v>931</v>
      </c>
      <c r="AM141" s="47" t="s">
        <v>931</v>
      </c>
      <c r="AN141" s="37"/>
    </row>
    <row r="142" spans="1:40" hidden="1">
      <c r="A142" s="47" t="s">
        <v>982</v>
      </c>
      <c r="B142" s="47" t="s">
        <v>919</v>
      </c>
      <c r="C142" s="47" t="s">
        <v>1923</v>
      </c>
      <c r="D142" s="47">
        <f t="shared" si="6"/>
        <v>757029</v>
      </c>
      <c r="E142" s="47" t="s">
        <v>431</v>
      </c>
      <c r="F142" s="47" t="s">
        <v>432</v>
      </c>
      <c r="G142" s="47" t="s">
        <v>143</v>
      </c>
      <c r="H142" s="47" t="s">
        <v>931</v>
      </c>
      <c r="I142" s="47" t="s">
        <v>1924</v>
      </c>
      <c r="J142" s="47" t="s">
        <v>1354</v>
      </c>
      <c r="K142" s="47" t="s">
        <v>163</v>
      </c>
      <c r="L142" s="47" t="s">
        <v>928</v>
      </c>
      <c r="M142" s="47" t="s">
        <v>928</v>
      </c>
      <c r="N142" s="47" t="s">
        <v>1026</v>
      </c>
      <c r="O142" s="47" t="s">
        <v>930</v>
      </c>
      <c r="P142" s="47" t="s">
        <v>930</v>
      </c>
      <c r="Q142" s="47" t="str">
        <f t="shared" si="7"/>
        <v xml:space="preserve"> Chiều T2</v>
      </c>
      <c r="R142" s="47" t="s">
        <v>973</v>
      </c>
      <c r="S142" s="47"/>
      <c r="T142" s="47" t="s">
        <v>1925</v>
      </c>
      <c r="U142" s="47" t="s">
        <v>1926</v>
      </c>
      <c r="V142" s="47" t="s">
        <v>442</v>
      </c>
      <c r="W142" s="47" t="s">
        <v>931</v>
      </c>
      <c r="X142" s="47" t="s">
        <v>995</v>
      </c>
      <c r="Y142" s="47" t="s">
        <v>143</v>
      </c>
      <c r="Z142" s="47" t="s">
        <v>1875</v>
      </c>
      <c r="AA142" s="47" t="s">
        <v>1876</v>
      </c>
      <c r="AB142" s="47" t="s">
        <v>1659</v>
      </c>
      <c r="AC142" s="47" t="s">
        <v>1202</v>
      </c>
      <c r="AD142" s="47" t="s">
        <v>1927</v>
      </c>
      <c r="AE142" s="47" t="s">
        <v>937</v>
      </c>
      <c r="AF142" s="47" t="s">
        <v>931</v>
      </c>
      <c r="AG142" s="47" t="s">
        <v>931</v>
      </c>
      <c r="AH142" s="47" t="s">
        <v>364</v>
      </c>
      <c r="AI142" s="47" t="s">
        <v>931</v>
      </c>
      <c r="AJ142" s="47" t="s">
        <v>365</v>
      </c>
      <c r="AK142" s="47" t="s">
        <v>930</v>
      </c>
      <c r="AL142" s="47" t="s">
        <v>931</v>
      </c>
      <c r="AM142" s="47" t="s">
        <v>931</v>
      </c>
      <c r="AN142" s="37"/>
    </row>
    <row r="143" spans="1:40" hidden="1">
      <c r="A143" s="47" t="s">
        <v>982</v>
      </c>
      <c r="B143" s="47" t="s">
        <v>919</v>
      </c>
      <c r="C143" s="47" t="s">
        <v>1928</v>
      </c>
      <c r="D143" s="47">
        <f t="shared" si="6"/>
        <v>757075</v>
      </c>
      <c r="E143" s="47" t="s">
        <v>261</v>
      </c>
      <c r="F143" s="47" t="s">
        <v>262</v>
      </c>
      <c r="G143" s="47" t="s">
        <v>854</v>
      </c>
      <c r="H143" s="47" t="s">
        <v>931</v>
      </c>
      <c r="I143" s="47" t="s">
        <v>1929</v>
      </c>
      <c r="J143" s="47" t="s">
        <v>1024</v>
      </c>
      <c r="K143" s="47" t="s">
        <v>163</v>
      </c>
      <c r="L143" s="47" t="s">
        <v>1056</v>
      </c>
      <c r="M143" s="47" t="s">
        <v>1056</v>
      </c>
      <c r="N143" s="47" t="s">
        <v>1026</v>
      </c>
      <c r="O143" s="47" t="s">
        <v>930</v>
      </c>
      <c r="P143" s="47" t="s">
        <v>930</v>
      </c>
      <c r="Q143" s="47" t="str">
        <f t="shared" si="7"/>
        <v xml:space="preserve"> Chiều T4</v>
      </c>
      <c r="R143" s="47" t="s">
        <v>973</v>
      </c>
      <c r="S143" s="47" t="s">
        <v>1059</v>
      </c>
      <c r="T143" s="47" t="s">
        <v>1930</v>
      </c>
      <c r="U143" s="47" t="s">
        <v>1931</v>
      </c>
      <c r="V143" s="47" t="s">
        <v>20</v>
      </c>
      <c r="W143" s="47" t="s">
        <v>931</v>
      </c>
      <c r="X143" s="47" t="s">
        <v>932</v>
      </c>
      <c r="Y143" s="47" t="s">
        <v>854</v>
      </c>
      <c r="Z143" s="47" t="s">
        <v>1602</v>
      </c>
      <c r="AA143" s="47" t="s">
        <v>1603</v>
      </c>
      <c r="AB143" s="47" t="s">
        <v>931</v>
      </c>
      <c r="AC143" s="47" t="s">
        <v>438</v>
      </c>
      <c r="AD143" s="47" t="s">
        <v>1932</v>
      </c>
      <c r="AE143" s="47" t="s">
        <v>937</v>
      </c>
      <c r="AF143" s="47" t="s">
        <v>931</v>
      </c>
      <c r="AG143" s="47" t="s">
        <v>931</v>
      </c>
      <c r="AH143" s="47" t="s">
        <v>364</v>
      </c>
      <c r="AI143" s="47" t="s">
        <v>931</v>
      </c>
      <c r="AJ143" s="47" t="s">
        <v>365</v>
      </c>
      <c r="AK143" s="47" t="s">
        <v>930</v>
      </c>
      <c r="AL143" s="47" t="s">
        <v>931</v>
      </c>
      <c r="AM143" s="47" t="s">
        <v>931</v>
      </c>
      <c r="AN143" s="37"/>
    </row>
    <row r="144" spans="1:40">
      <c r="A144" s="47" t="s">
        <v>982</v>
      </c>
      <c r="B144" s="47" t="s">
        <v>919</v>
      </c>
      <c r="C144" s="47" t="s">
        <v>1933</v>
      </c>
      <c r="D144" s="47">
        <f t="shared" si="6"/>
        <v>757013</v>
      </c>
      <c r="E144" s="47" t="s">
        <v>200</v>
      </c>
      <c r="F144" s="47" t="s">
        <v>191</v>
      </c>
      <c r="G144" s="47" t="s">
        <v>43</v>
      </c>
      <c r="H144" s="47" t="s">
        <v>931</v>
      </c>
      <c r="I144" s="47" t="s">
        <v>1934</v>
      </c>
      <c r="J144" s="47" t="s">
        <v>1024</v>
      </c>
      <c r="K144" s="47" t="s">
        <v>163</v>
      </c>
      <c r="L144" s="47" t="s">
        <v>1025</v>
      </c>
      <c r="M144" s="47" t="s">
        <v>1025</v>
      </c>
      <c r="N144" s="47" t="s">
        <v>1026</v>
      </c>
      <c r="O144" s="47" t="s">
        <v>930</v>
      </c>
      <c r="P144" s="47" t="s">
        <v>930</v>
      </c>
      <c r="Q144" s="47" t="str">
        <f t="shared" si="7"/>
        <v xml:space="preserve"> Chiều T3</v>
      </c>
      <c r="R144" s="47" t="s">
        <v>973</v>
      </c>
      <c r="S144" s="47" t="s">
        <v>1070</v>
      </c>
      <c r="T144" s="47" t="s">
        <v>1935</v>
      </c>
      <c r="U144" s="47" t="s">
        <v>1936</v>
      </c>
      <c r="V144" s="47" t="s">
        <v>25</v>
      </c>
      <c r="W144" s="47" t="s">
        <v>931</v>
      </c>
      <c r="X144" s="47" t="s">
        <v>1030</v>
      </c>
      <c r="Y144" s="47" t="s">
        <v>43</v>
      </c>
      <c r="Z144" s="47" t="s">
        <v>1463</v>
      </c>
      <c r="AA144" s="47" t="s">
        <v>1464</v>
      </c>
      <c r="AB144" s="47" t="s">
        <v>1905</v>
      </c>
      <c r="AC144" s="47" t="s">
        <v>447</v>
      </c>
      <c r="AD144" s="47" t="s">
        <v>1937</v>
      </c>
      <c r="AE144" s="47" t="s">
        <v>937</v>
      </c>
      <c r="AF144" s="47" t="s">
        <v>931</v>
      </c>
      <c r="AG144" s="47" t="s">
        <v>931</v>
      </c>
      <c r="AH144" s="47" t="s">
        <v>931</v>
      </c>
      <c r="AI144" s="47" t="s">
        <v>931</v>
      </c>
      <c r="AJ144" s="47" t="s">
        <v>931</v>
      </c>
      <c r="AK144" s="47" t="s">
        <v>930</v>
      </c>
      <c r="AL144" s="47" t="s">
        <v>931</v>
      </c>
      <c r="AM144" s="47" t="s">
        <v>931</v>
      </c>
      <c r="AN144" s="37"/>
    </row>
    <row r="145" spans="1:40" hidden="1">
      <c r="A145" s="47" t="s">
        <v>982</v>
      </c>
      <c r="B145" s="47" t="s">
        <v>919</v>
      </c>
      <c r="C145" s="47" t="s">
        <v>1938</v>
      </c>
      <c r="D145" s="47">
        <f t="shared" si="6"/>
        <v>757071</v>
      </c>
      <c r="E145" s="47" t="s">
        <v>261</v>
      </c>
      <c r="F145" s="47" t="s">
        <v>262</v>
      </c>
      <c r="G145" s="47" t="s">
        <v>1625</v>
      </c>
      <c r="H145" s="47" t="s">
        <v>1325</v>
      </c>
      <c r="I145" s="47" t="s">
        <v>1939</v>
      </c>
      <c r="J145" s="47" t="s">
        <v>1024</v>
      </c>
      <c r="K145" s="47" t="s">
        <v>163</v>
      </c>
      <c r="L145" s="47" t="s">
        <v>1056</v>
      </c>
      <c r="M145" s="47" t="s">
        <v>1056</v>
      </c>
      <c r="N145" s="47" t="s">
        <v>1026</v>
      </c>
      <c r="O145" s="47" t="s">
        <v>930</v>
      </c>
      <c r="P145" s="47" t="s">
        <v>930</v>
      </c>
      <c r="Q145" s="47" t="str">
        <f t="shared" si="7"/>
        <v xml:space="preserve"> Chiều T4</v>
      </c>
      <c r="R145" s="47" t="s">
        <v>973</v>
      </c>
      <c r="S145" s="47" t="s">
        <v>1059</v>
      </c>
      <c r="T145" s="47" t="s">
        <v>1940</v>
      </c>
      <c r="U145" s="47" t="s">
        <v>1941</v>
      </c>
      <c r="V145" s="47" t="s">
        <v>19</v>
      </c>
      <c r="W145" s="47" t="s">
        <v>931</v>
      </c>
      <c r="X145" s="47" t="s">
        <v>932</v>
      </c>
      <c r="Y145" s="47" t="s">
        <v>1625</v>
      </c>
      <c r="Z145" s="47" t="s">
        <v>1629</v>
      </c>
      <c r="AA145" s="47" t="s">
        <v>1630</v>
      </c>
      <c r="AB145" s="47" t="s">
        <v>931</v>
      </c>
      <c r="AC145" s="47" t="s">
        <v>438</v>
      </c>
      <c r="AD145" s="47" t="s">
        <v>1942</v>
      </c>
      <c r="AE145" s="47" t="s">
        <v>937</v>
      </c>
      <c r="AF145" s="47" t="s">
        <v>931</v>
      </c>
      <c r="AG145" s="47" t="s">
        <v>1943</v>
      </c>
      <c r="AH145" s="47" t="s">
        <v>364</v>
      </c>
      <c r="AI145" s="47" t="s">
        <v>931</v>
      </c>
      <c r="AJ145" s="47" t="s">
        <v>365</v>
      </c>
      <c r="AK145" s="47" t="s">
        <v>930</v>
      </c>
      <c r="AL145" s="47" t="s">
        <v>931</v>
      </c>
      <c r="AM145" s="47" t="s">
        <v>931</v>
      </c>
      <c r="AN145" s="37"/>
    </row>
    <row r="146" spans="1:40">
      <c r="A146" s="47" t="s">
        <v>982</v>
      </c>
      <c r="B146" s="47" t="s">
        <v>919</v>
      </c>
      <c r="C146" s="47" t="s">
        <v>1944</v>
      </c>
      <c r="D146" s="47">
        <f t="shared" si="6"/>
        <v>757001</v>
      </c>
      <c r="E146" s="47" t="s">
        <v>200</v>
      </c>
      <c r="F146" s="47" t="s">
        <v>191</v>
      </c>
      <c r="G146" s="47" t="s">
        <v>40</v>
      </c>
      <c r="H146" s="47" t="s">
        <v>931</v>
      </c>
      <c r="I146" s="47" t="s">
        <v>1945</v>
      </c>
      <c r="J146" s="47" t="s">
        <v>1024</v>
      </c>
      <c r="K146" s="47" t="s">
        <v>163</v>
      </c>
      <c r="L146" s="47" t="s">
        <v>1371</v>
      </c>
      <c r="M146" s="47" t="s">
        <v>1025</v>
      </c>
      <c r="N146" s="47" t="s">
        <v>1026</v>
      </c>
      <c r="O146" s="47" t="s">
        <v>930</v>
      </c>
      <c r="P146" s="47" t="s">
        <v>930</v>
      </c>
      <c r="Q146" s="47" t="str">
        <f t="shared" si="7"/>
        <v xml:space="preserve"> Chiều T6</v>
      </c>
      <c r="R146" s="47" t="s">
        <v>973</v>
      </c>
      <c r="S146" s="47" t="s">
        <v>1140</v>
      </c>
      <c r="T146" s="47" t="s">
        <v>1946</v>
      </c>
      <c r="U146" s="47" t="s">
        <v>1947</v>
      </c>
      <c r="V146" s="47" t="s">
        <v>18</v>
      </c>
      <c r="W146" s="47" t="s">
        <v>931</v>
      </c>
      <c r="X146" s="47" t="s">
        <v>1030</v>
      </c>
      <c r="Y146" s="47" t="s">
        <v>40</v>
      </c>
      <c r="Z146" s="47" t="s">
        <v>1357</v>
      </c>
      <c r="AA146" s="47" t="s">
        <v>1358</v>
      </c>
      <c r="AB146" s="47" t="s">
        <v>1948</v>
      </c>
      <c r="AC146" s="47" t="s">
        <v>447</v>
      </c>
      <c r="AD146" s="47" t="s">
        <v>1949</v>
      </c>
      <c r="AE146" s="47" t="s">
        <v>937</v>
      </c>
      <c r="AF146" s="47" t="s">
        <v>931</v>
      </c>
      <c r="AG146" s="47" t="s">
        <v>931</v>
      </c>
      <c r="AH146" s="47" t="s">
        <v>931</v>
      </c>
      <c r="AI146" s="47" t="s">
        <v>931</v>
      </c>
      <c r="AJ146" s="47" t="s">
        <v>931</v>
      </c>
      <c r="AK146" s="47" t="s">
        <v>930</v>
      </c>
      <c r="AL146" s="47" t="s">
        <v>931</v>
      </c>
      <c r="AM146" s="47" t="s">
        <v>931</v>
      </c>
      <c r="AN146" s="37"/>
    </row>
    <row r="147" spans="1:40" hidden="1">
      <c r="A147" s="47" t="s">
        <v>982</v>
      </c>
      <c r="B147" s="47" t="s">
        <v>919</v>
      </c>
      <c r="C147" s="47" t="s">
        <v>1950</v>
      </c>
      <c r="D147" s="47">
        <f t="shared" si="6"/>
        <v>757076</v>
      </c>
      <c r="E147" s="47" t="s">
        <v>261</v>
      </c>
      <c r="F147" s="47" t="s">
        <v>262</v>
      </c>
      <c r="G147" s="47" t="s">
        <v>1625</v>
      </c>
      <c r="H147" s="47" t="s">
        <v>1325</v>
      </c>
      <c r="I147" s="47" t="s">
        <v>1951</v>
      </c>
      <c r="J147" s="47" t="s">
        <v>1024</v>
      </c>
      <c r="K147" s="47" t="s">
        <v>163</v>
      </c>
      <c r="L147" s="47" t="s">
        <v>1056</v>
      </c>
      <c r="M147" s="47" t="s">
        <v>1056</v>
      </c>
      <c r="N147" s="47" t="s">
        <v>1026</v>
      </c>
      <c r="O147" s="47" t="s">
        <v>930</v>
      </c>
      <c r="P147" s="47" t="s">
        <v>930</v>
      </c>
      <c r="Q147" s="47" t="str">
        <f t="shared" si="7"/>
        <v xml:space="preserve"> Sáng T2:</v>
      </c>
      <c r="R147" s="47" t="s">
        <v>947</v>
      </c>
      <c r="S147" s="47" t="s">
        <v>1103</v>
      </c>
      <c r="T147" s="47" t="s">
        <v>1952</v>
      </c>
      <c r="U147" s="47" t="s">
        <v>1953</v>
      </c>
      <c r="V147" s="47" t="s">
        <v>20</v>
      </c>
      <c r="W147" s="47" t="s">
        <v>931</v>
      </c>
      <c r="X147" s="47" t="s">
        <v>932</v>
      </c>
      <c r="Y147" s="47" t="s">
        <v>1625</v>
      </c>
      <c r="Z147" s="47" t="s">
        <v>1629</v>
      </c>
      <c r="AA147" s="47" t="s">
        <v>1630</v>
      </c>
      <c r="AB147" s="47" t="s">
        <v>1494</v>
      </c>
      <c r="AC147" s="47" t="s">
        <v>438</v>
      </c>
      <c r="AD147" s="47" t="s">
        <v>1954</v>
      </c>
      <c r="AE147" s="47" t="s">
        <v>937</v>
      </c>
      <c r="AF147" s="47" t="s">
        <v>931</v>
      </c>
      <c r="AG147" s="47" t="s">
        <v>1955</v>
      </c>
      <c r="AH147" s="47" t="s">
        <v>364</v>
      </c>
      <c r="AI147" s="47" t="s">
        <v>931</v>
      </c>
      <c r="AJ147" s="47" t="s">
        <v>365</v>
      </c>
      <c r="AK147" s="47" t="s">
        <v>930</v>
      </c>
      <c r="AL147" s="47" t="s">
        <v>931</v>
      </c>
      <c r="AM147" s="47" t="s">
        <v>931</v>
      </c>
      <c r="AN147" s="37"/>
    </row>
    <row r="148" spans="1:40">
      <c r="A148" s="47" t="s">
        <v>982</v>
      </c>
      <c r="B148" s="47" t="s">
        <v>919</v>
      </c>
      <c r="C148" s="47" t="s">
        <v>1956</v>
      </c>
      <c r="D148" s="47">
        <f t="shared" si="6"/>
        <v>757024</v>
      </c>
      <c r="E148" s="47" t="s">
        <v>200</v>
      </c>
      <c r="F148" s="47" t="s">
        <v>191</v>
      </c>
      <c r="G148" s="47" t="s">
        <v>35</v>
      </c>
      <c r="H148" s="47" t="s">
        <v>1518</v>
      </c>
      <c r="I148" s="47" t="s">
        <v>1957</v>
      </c>
      <c r="J148" s="47" t="s">
        <v>1024</v>
      </c>
      <c r="K148" s="47" t="s">
        <v>163</v>
      </c>
      <c r="L148" s="47" t="s">
        <v>1025</v>
      </c>
      <c r="M148" s="47" t="s">
        <v>1025</v>
      </c>
      <c r="N148" s="47" t="s">
        <v>1026</v>
      </c>
      <c r="O148" s="47" t="s">
        <v>930</v>
      </c>
      <c r="P148" s="47" t="s">
        <v>930</v>
      </c>
      <c r="Q148" s="47" t="str">
        <f t="shared" si="7"/>
        <v xml:space="preserve"> Chiều T4</v>
      </c>
      <c r="R148" s="47" t="s">
        <v>973</v>
      </c>
      <c r="S148" s="47" t="s">
        <v>1059</v>
      </c>
      <c r="T148" s="47" t="s">
        <v>1958</v>
      </c>
      <c r="U148" s="47" t="s">
        <v>1959</v>
      </c>
      <c r="V148" s="47" t="s">
        <v>25</v>
      </c>
      <c r="W148" s="47" t="s">
        <v>931</v>
      </c>
      <c r="X148" s="47" t="s">
        <v>1030</v>
      </c>
      <c r="Y148" s="47" t="s">
        <v>35</v>
      </c>
      <c r="Z148" s="47" t="s">
        <v>1133</v>
      </c>
      <c r="AA148" s="47" t="s">
        <v>1134</v>
      </c>
      <c r="AB148" s="47" t="s">
        <v>1120</v>
      </c>
      <c r="AC148" s="47" t="s">
        <v>447</v>
      </c>
      <c r="AD148" s="47" t="s">
        <v>1960</v>
      </c>
      <c r="AE148" s="47" t="s">
        <v>937</v>
      </c>
      <c r="AF148" s="47" t="s">
        <v>931</v>
      </c>
      <c r="AG148" s="47" t="s">
        <v>1961</v>
      </c>
      <c r="AH148" s="47" t="s">
        <v>931</v>
      </c>
      <c r="AI148" s="47" t="s">
        <v>931</v>
      </c>
      <c r="AJ148" s="47" t="s">
        <v>931</v>
      </c>
      <c r="AK148" s="47" t="s">
        <v>930</v>
      </c>
      <c r="AL148" s="47" t="s">
        <v>931</v>
      </c>
      <c r="AM148" s="47" t="s">
        <v>931</v>
      </c>
      <c r="AN148" s="37"/>
    </row>
    <row r="149" spans="1:40" hidden="1">
      <c r="A149" s="47" t="s">
        <v>982</v>
      </c>
      <c r="B149" s="47" t="s">
        <v>919</v>
      </c>
      <c r="C149" s="47" t="s">
        <v>1962</v>
      </c>
      <c r="D149" s="47">
        <f t="shared" si="6"/>
        <v>757078</v>
      </c>
      <c r="E149" s="47" t="s">
        <v>499</v>
      </c>
      <c r="F149" s="47" t="s">
        <v>500</v>
      </c>
      <c r="G149" s="47" t="s">
        <v>1607</v>
      </c>
      <c r="H149" s="47" t="s">
        <v>1325</v>
      </c>
      <c r="I149" s="47" t="s">
        <v>1963</v>
      </c>
      <c r="J149" s="47" t="s">
        <v>944</v>
      </c>
      <c r="K149" s="47" t="s">
        <v>163</v>
      </c>
      <c r="L149" s="47" t="s">
        <v>1025</v>
      </c>
      <c r="M149" s="47" t="s">
        <v>1056</v>
      </c>
      <c r="N149" s="47" t="s">
        <v>1026</v>
      </c>
      <c r="O149" s="47" t="s">
        <v>930</v>
      </c>
      <c r="P149" s="47" t="s">
        <v>930</v>
      </c>
      <c r="Q149" s="47" t="str">
        <f t="shared" si="7"/>
        <v xml:space="preserve"> Sáng T4:</v>
      </c>
      <c r="R149" s="47" t="s">
        <v>947</v>
      </c>
      <c r="S149" s="47" t="s">
        <v>1059</v>
      </c>
      <c r="T149" s="47" t="s">
        <v>1964</v>
      </c>
      <c r="U149" s="47" t="s">
        <v>1965</v>
      </c>
      <c r="V149" s="47" t="s">
        <v>24</v>
      </c>
      <c r="W149" s="47" t="s">
        <v>931</v>
      </c>
      <c r="X149" s="47" t="s">
        <v>932</v>
      </c>
      <c r="Y149" s="47" t="s">
        <v>1607</v>
      </c>
      <c r="Z149" s="47" t="s">
        <v>1612</v>
      </c>
      <c r="AA149" s="47" t="s">
        <v>1613</v>
      </c>
      <c r="AB149" s="47" t="s">
        <v>1703</v>
      </c>
      <c r="AC149" s="47" t="s">
        <v>438</v>
      </c>
      <c r="AD149" s="47" t="s">
        <v>1966</v>
      </c>
      <c r="AE149" s="47" t="s">
        <v>937</v>
      </c>
      <c r="AF149" s="47" t="s">
        <v>931</v>
      </c>
      <c r="AG149" s="47" t="s">
        <v>1967</v>
      </c>
      <c r="AH149" s="47" t="s">
        <v>364</v>
      </c>
      <c r="AI149" s="47" t="s">
        <v>931</v>
      </c>
      <c r="AJ149" s="47" t="s">
        <v>365</v>
      </c>
      <c r="AK149" s="47" t="s">
        <v>930</v>
      </c>
      <c r="AL149" s="47" t="s">
        <v>931</v>
      </c>
      <c r="AM149" s="47" t="s">
        <v>931</v>
      </c>
      <c r="AN149" s="37"/>
    </row>
    <row r="150" spans="1:40">
      <c r="A150" s="47" t="s">
        <v>982</v>
      </c>
      <c r="B150" s="47" t="s">
        <v>919</v>
      </c>
      <c r="C150" s="47" t="s">
        <v>1968</v>
      </c>
      <c r="D150" s="47">
        <f t="shared" si="6"/>
        <v>757015</v>
      </c>
      <c r="E150" s="47" t="s">
        <v>200</v>
      </c>
      <c r="F150" s="47" t="s">
        <v>191</v>
      </c>
      <c r="G150" s="47" t="s">
        <v>35</v>
      </c>
      <c r="H150" s="47" t="s">
        <v>1518</v>
      </c>
      <c r="I150" s="47" t="s">
        <v>1969</v>
      </c>
      <c r="J150" s="47" t="s">
        <v>1024</v>
      </c>
      <c r="K150" s="47" t="s">
        <v>163</v>
      </c>
      <c r="L150" s="47" t="s">
        <v>1432</v>
      </c>
      <c r="M150" s="47" t="s">
        <v>1025</v>
      </c>
      <c r="N150" s="47" t="s">
        <v>1026</v>
      </c>
      <c r="O150" s="47" t="s">
        <v>930</v>
      </c>
      <c r="P150" s="47" t="s">
        <v>930</v>
      </c>
      <c r="Q150" s="47" t="str">
        <f t="shared" si="7"/>
        <v xml:space="preserve"> Chiều T5</v>
      </c>
      <c r="R150" s="47" t="s">
        <v>973</v>
      </c>
      <c r="S150" s="47" t="s">
        <v>1027</v>
      </c>
      <c r="T150" s="47" t="s">
        <v>1970</v>
      </c>
      <c r="U150" s="47" t="s">
        <v>1971</v>
      </c>
      <c r="V150" s="47" t="s">
        <v>25</v>
      </c>
      <c r="W150" s="47" t="s">
        <v>931</v>
      </c>
      <c r="X150" s="47" t="s">
        <v>1030</v>
      </c>
      <c r="Y150" s="47" t="s">
        <v>35</v>
      </c>
      <c r="Z150" s="47" t="s">
        <v>1133</v>
      </c>
      <c r="AA150" s="47" t="s">
        <v>1134</v>
      </c>
      <c r="AB150" s="47" t="s">
        <v>1489</v>
      </c>
      <c r="AC150" s="47" t="s">
        <v>447</v>
      </c>
      <c r="AD150" s="47" t="s">
        <v>1972</v>
      </c>
      <c r="AE150" s="47" t="s">
        <v>937</v>
      </c>
      <c r="AF150" s="47" t="s">
        <v>931</v>
      </c>
      <c r="AG150" s="47" t="s">
        <v>1973</v>
      </c>
      <c r="AH150" s="47" t="s">
        <v>931</v>
      </c>
      <c r="AI150" s="47" t="s">
        <v>931</v>
      </c>
      <c r="AJ150" s="47" t="s">
        <v>931</v>
      </c>
      <c r="AK150" s="47" t="s">
        <v>930</v>
      </c>
      <c r="AL150" s="47" t="s">
        <v>931</v>
      </c>
      <c r="AM150" s="47" t="s">
        <v>931</v>
      </c>
      <c r="AN150" s="37"/>
    </row>
    <row r="151" spans="1:40">
      <c r="A151" s="47" t="s">
        <v>982</v>
      </c>
      <c r="B151" s="47" t="s">
        <v>919</v>
      </c>
      <c r="C151" s="47" t="s">
        <v>1974</v>
      </c>
      <c r="D151" s="47">
        <f t="shared" si="6"/>
        <v>757018</v>
      </c>
      <c r="E151" s="47" t="s">
        <v>200</v>
      </c>
      <c r="F151" s="47" t="s">
        <v>191</v>
      </c>
      <c r="G151" s="47" t="s">
        <v>35</v>
      </c>
      <c r="H151" s="47" t="s">
        <v>1518</v>
      </c>
      <c r="I151" s="47" t="s">
        <v>1975</v>
      </c>
      <c r="J151" s="47" t="s">
        <v>1024</v>
      </c>
      <c r="K151" s="47" t="s">
        <v>163</v>
      </c>
      <c r="L151" s="47" t="s">
        <v>1447</v>
      </c>
      <c r="M151" s="47" t="s">
        <v>1025</v>
      </c>
      <c r="N151" s="47" t="s">
        <v>1026</v>
      </c>
      <c r="O151" s="47" t="s">
        <v>930</v>
      </c>
      <c r="P151" s="47" t="s">
        <v>930</v>
      </c>
      <c r="Q151" s="47" t="str">
        <f t="shared" si="7"/>
        <v xml:space="preserve"> Chiều T5</v>
      </c>
      <c r="R151" s="47" t="s">
        <v>973</v>
      </c>
      <c r="S151" s="47" t="s">
        <v>1027</v>
      </c>
      <c r="T151" s="47" t="s">
        <v>1976</v>
      </c>
      <c r="U151" s="47" t="s">
        <v>1977</v>
      </c>
      <c r="V151" s="47" t="s">
        <v>25</v>
      </c>
      <c r="W151" s="47" t="s">
        <v>931</v>
      </c>
      <c r="X151" s="47" t="s">
        <v>1030</v>
      </c>
      <c r="Y151" s="47" t="s">
        <v>35</v>
      </c>
      <c r="Z151" s="47" t="s">
        <v>1133</v>
      </c>
      <c r="AA151" s="47" t="s">
        <v>1134</v>
      </c>
      <c r="AB151" s="47" t="s">
        <v>1489</v>
      </c>
      <c r="AC151" s="47" t="s">
        <v>447</v>
      </c>
      <c r="AD151" s="47" t="s">
        <v>1978</v>
      </c>
      <c r="AE151" s="47" t="s">
        <v>937</v>
      </c>
      <c r="AF151" s="47" t="s">
        <v>931</v>
      </c>
      <c r="AG151" s="47" t="s">
        <v>1979</v>
      </c>
      <c r="AH151" s="47" t="s">
        <v>931</v>
      </c>
      <c r="AI151" s="47" t="s">
        <v>931</v>
      </c>
      <c r="AJ151" s="47" t="s">
        <v>931</v>
      </c>
      <c r="AK151" s="47" t="s">
        <v>930</v>
      </c>
      <c r="AL151" s="47" t="s">
        <v>931</v>
      </c>
      <c r="AM151" s="47" t="s">
        <v>931</v>
      </c>
      <c r="AN151" s="37"/>
    </row>
    <row r="152" spans="1:40">
      <c r="A152" s="47" t="s">
        <v>982</v>
      </c>
      <c r="B152" s="47" t="s">
        <v>919</v>
      </c>
      <c r="C152" s="47" t="s">
        <v>1980</v>
      </c>
      <c r="D152" s="47">
        <f t="shared" si="6"/>
        <v>757021</v>
      </c>
      <c r="E152" s="47" t="s">
        <v>200</v>
      </c>
      <c r="F152" s="47" t="s">
        <v>191</v>
      </c>
      <c r="G152" s="47" t="s">
        <v>39</v>
      </c>
      <c r="H152" s="47" t="s">
        <v>931</v>
      </c>
      <c r="I152" s="47" t="s">
        <v>1981</v>
      </c>
      <c r="J152" s="47" t="s">
        <v>1024</v>
      </c>
      <c r="K152" s="47" t="s">
        <v>163</v>
      </c>
      <c r="L152" s="47" t="s">
        <v>1025</v>
      </c>
      <c r="M152" s="47" t="s">
        <v>1025</v>
      </c>
      <c r="N152" s="47" t="s">
        <v>1026</v>
      </c>
      <c r="O152" s="47" t="s">
        <v>930</v>
      </c>
      <c r="P152" s="47" t="s">
        <v>930</v>
      </c>
      <c r="Q152" s="47" t="str">
        <f t="shared" si="7"/>
        <v xml:space="preserve"> Sáng T3:</v>
      </c>
      <c r="R152" s="47" t="s">
        <v>947</v>
      </c>
      <c r="S152" s="47" t="s">
        <v>1070</v>
      </c>
      <c r="T152" s="47" t="s">
        <v>1982</v>
      </c>
      <c r="U152" s="47" t="s">
        <v>1983</v>
      </c>
      <c r="V152" s="47" t="s">
        <v>25</v>
      </c>
      <c r="W152" s="47" t="s">
        <v>931</v>
      </c>
      <c r="X152" s="47" t="s">
        <v>1030</v>
      </c>
      <c r="Y152" s="47" t="s">
        <v>39</v>
      </c>
      <c r="Z152" s="47" t="s">
        <v>1031</v>
      </c>
      <c r="AA152" s="47" t="s">
        <v>1032</v>
      </c>
      <c r="AB152" s="47" t="s">
        <v>1409</v>
      </c>
      <c r="AC152" s="47" t="s">
        <v>447</v>
      </c>
      <c r="AD152" s="47" t="s">
        <v>1984</v>
      </c>
      <c r="AE152" s="47" t="s">
        <v>937</v>
      </c>
      <c r="AF152" s="47" t="s">
        <v>931</v>
      </c>
      <c r="AG152" s="47" t="s">
        <v>931</v>
      </c>
      <c r="AH152" s="47" t="s">
        <v>931</v>
      </c>
      <c r="AI152" s="47" t="s">
        <v>931</v>
      </c>
      <c r="AJ152" s="47" t="s">
        <v>931</v>
      </c>
      <c r="AK152" s="47" t="s">
        <v>930</v>
      </c>
      <c r="AL152" s="47" t="s">
        <v>931</v>
      </c>
      <c r="AM152" s="47" t="s">
        <v>931</v>
      </c>
      <c r="AN152" s="37"/>
    </row>
    <row r="153" spans="1:40">
      <c r="A153" s="47" t="s">
        <v>982</v>
      </c>
      <c r="B153" s="47" t="s">
        <v>919</v>
      </c>
      <c r="C153" s="47" t="s">
        <v>1985</v>
      </c>
      <c r="D153" s="47">
        <f t="shared" si="6"/>
        <v>757003</v>
      </c>
      <c r="E153" s="47" t="s">
        <v>200</v>
      </c>
      <c r="F153" s="47" t="s">
        <v>191</v>
      </c>
      <c r="G153" s="47" t="s">
        <v>1986</v>
      </c>
      <c r="H153" s="47" t="s">
        <v>1518</v>
      </c>
      <c r="I153" s="47" t="s">
        <v>1987</v>
      </c>
      <c r="J153" s="47" t="s">
        <v>1024</v>
      </c>
      <c r="K153" s="47" t="s">
        <v>163</v>
      </c>
      <c r="L153" s="47" t="s">
        <v>1511</v>
      </c>
      <c r="M153" s="47" t="s">
        <v>1025</v>
      </c>
      <c r="N153" s="47" t="s">
        <v>1026</v>
      </c>
      <c r="O153" s="47" t="s">
        <v>930</v>
      </c>
      <c r="P153" s="47" t="s">
        <v>930</v>
      </c>
      <c r="Q153" s="47" t="str">
        <f t="shared" si="7"/>
        <v xml:space="preserve"> Chiều T3</v>
      </c>
      <c r="R153" s="47" t="s">
        <v>973</v>
      </c>
      <c r="S153" s="47" t="s">
        <v>1070</v>
      </c>
      <c r="T153" s="47" t="s">
        <v>1988</v>
      </c>
      <c r="U153" s="47" t="s">
        <v>1989</v>
      </c>
      <c r="V153" s="47" t="s">
        <v>18</v>
      </c>
      <c r="W153" s="47" t="s">
        <v>931</v>
      </c>
      <c r="X153" s="47" t="s">
        <v>1030</v>
      </c>
      <c r="Y153" s="47" t="s">
        <v>1986</v>
      </c>
      <c r="Z153" s="47" t="s">
        <v>1990</v>
      </c>
      <c r="AA153" s="47" t="s">
        <v>1991</v>
      </c>
      <c r="AB153" s="47" t="s">
        <v>1948</v>
      </c>
      <c r="AC153" s="47" t="s">
        <v>447</v>
      </c>
      <c r="AD153" s="47" t="s">
        <v>1992</v>
      </c>
      <c r="AE153" s="47" t="s">
        <v>937</v>
      </c>
      <c r="AF153" s="47" t="s">
        <v>931</v>
      </c>
      <c r="AG153" s="47" t="s">
        <v>1993</v>
      </c>
      <c r="AH153" s="47" t="s">
        <v>931</v>
      </c>
      <c r="AI153" s="47" t="s">
        <v>931</v>
      </c>
      <c r="AJ153" s="47" t="s">
        <v>931</v>
      </c>
      <c r="AK153" s="47" t="s">
        <v>930</v>
      </c>
      <c r="AL153" s="47" t="s">
        <v>931</v>
      </c>
      <c r="AM153" s="47" t="s">
        <v>931</v>
      </c>
      <c r="AN153" s="37"/>
    </row>
    <row r="154" spans="1:40" hidden="1">
      <c r="A154" s="47" t="s">
        <v>982</v>
      </c>
      <c r="B154" s="47" t="s">
        <v>919</v>
      </c>
      <c r="C154" s="47" t="s">
        <v>1994</v>
      </c>
      <c r="D154" s="47">
        <f t="shared" si="6"/>
        <v>757094</v>
      </c>
      <c r="E154" s="47" t="s">
        <v>314</v>
      </c>
      <c r="F154" s="47" t="s">
        <v>315</v>
      </c>
      <c r="G154" s="47" t="s">
        <v>832</v>
      </c>
      <c r="H154" s="47" t="s">
        <v>1100</v>
      </c>
      <c r="I154" s="47" t="s">
        <v>1995</v>
      </c>
      <c r="J154" s="47" t="s">
        <v>1024</v>
      </c>
      <c r="K154" s="47" t="s">
        <v>163</v>
      </c>
      <c r="L154" s="47" t="s">
        <v>1056</v>
      </c>
      <c r="M154" s="47" t="s">
        <v>1056</v>
      </c>
      <c r="N154" s="47" t="s">
        <v>1026</v>
      </c>
      <c r="O154" s="47" t="s">
        <v>930</v>
      </c>
      <c r="P154" s="47" t="s">
        <v>930</v>
      </c>
      <c r="Q154" s="47" t="str">
        <f t="shared" si="7"/>
        <v xml:space="preserve"> Chiều T5</v>
      </c>
      <c r="R154" s="47" t="s">
        <v>973</v>
      </c>
      <c r="S154" s="47" t="s">
        <v>1027</v>
      </c>
      <c r="T154" s="47" t="s">
        <v>1996</v>
      </c>
      <c r="U154" s="47" t="s">
        <v>1997</v>
      </c>
      <c r="V154" s="47" t="s">
        <v>25</v>
      </c>
      <c r="W154" s="47" t="s">
        <v>931</v>
      </c>
      <c r="X154" s="47" t="s">
        <v>995</v>
      </c>
      <c r="Y154" s="47" t="s">
        <v>832</v>
      </c>
      <c r="Z154" s="47" t="s">
        <v>1998</v>
      </c>
      <c r="AA154" s="47" t="s">
        <v>1999</v>
      </c>
      <c r="AB154" s="47" t="s">
        <v>1687</v>
      </c>
      <c r="AC154" s="47" t="s">
        <v>359</v>
      </c>
      <c r="AD154" s="47" t="s">
        <v>2000</v>
      </c>
      <c r="AE154" s="47" t="s">
        <v>937</v>
      </c>
      <c r="AF154" s="47" t="s">
        <v>931</v>
      </c>
      <c r="AG154" s="47" t="s">
        <v>2001</v>
      </c>
      <c r="AH154" s="47" t="s">
        <v>364</v>
      </c>
      <c r="AI154" s="47" t="s">
        <v>931</v>
      </c>
      <c r="AJ154" s="47" t="s">
        <v>365</v>
      </c>
      <c r="AK154" s="47" t="s">
        <v>930</v>
      </c>
      <c r="AL154" s="47" t="s">
        <v>931</v>
      </c>
      <c r="AM154" s="47" t="s">
        <v>931</v>
      </c>
      <c r="AN154" s="37"/>
    </row>
    <row r="155" spans="1:40" hidden="1">
      <c r="A155" s="47" t="s">
        <v>982</v>
      </c>
      <c r="B155" s="47" t="s">
        <v>919</v>
      </c>
      <c r="C155" s="47" t="s">
        <v>2002</v>
      </c>
      <c r="D155" s="47">
        <f t="shared" si="6"/>
        <v>757073</v>
      </c>
      <c r="E155" s="47" t="s">
        <v>261</v>
      </c>
      <c r="F155" s="47" t="s">
        <v>262</v>
      </c>
      <c r="G155" s="47" t="s">
        <v>1607</v>
      </c>
      <c r="H155" s="47" t="s">
        <v>1325</v>
      </c>
      <c r="I155" s="47" t="s">
        <v>2003</v>
      </c>
      <c r="J155" s="47" t="s">
        <v>1024</v>
      </c>
      <c r="K155" s="47" t="s">
        <v>163</v>
      </c>
      <c r="L155" s="47" t="s">
        <v>1056</v>
      </c>
      <c r="M155" s="47" t="s">
        <v>1056</v>
      </c>
      <c r="N155" s="47" t="s">
        <v>1026</v>
      </c>
      <c r="O155" s="47" t="s">
        <v>930</v>
      </c>
      <c r="P155" s="47" t="s">
        <v>930</v>
      </c>
      <c r="Q155" s="47" t="str">
        <f t="shared" si="7"/>
        <v xml:space="preserve"> Chiều T4</v>
      </c>
      <c r="R155" s="47" t="s">
        <v>973</v>
      </c>
      <c r="S155" s="47" t="s">
        <v>1059</v>
      </c>
      <c r="T155" s="47" t="s">
        <v>2004</v>
      </c>
      <c r="U155" s="47" t="s">
        <v>2005</v>
      </c>
      <c r="V155" s="47" t="s">
        <v>19</v>
      </c>
      <c r="W155" s="47" t="s">
        <v>931</v>
      </c>
      <c r="X155" s="47" t="s">
        <v>932</v>
      </c>
      <c r="Y155" s="47" t="s">
        <v>1607</v>
      </c>
      <c r="Z155" s="47" t="s">
        <v>1612</v>
      </c>
      <c r="AA155" s="47" t="s">
        <v>1613</v>
      </c>
      <c r="AB155" s="47" t="s">
        <v>931</v>
      </c>
      <c r="AC155" s="47" t="s">
        <v>438</v>
      </c>
      <c r="AD155" s="47" t="s">
        <v>2006</v>
      </c>
      <c r="AE155" s="47" t="s">
        <v>937</v>
      </c>
      <c r="AF155" s="47" t="s">
        <v>931</v>
      </c>
      <c r="AG155" s="47" t="s">
        <v>1711</v>
      </c>
      <c r="AH155" s="47" t="s">
        <v>364</v>
      </c>
      <c r="AI155" s="47" t="s">
        <v>931</v>
      </c>
      <c r="AJ155" s="47" t="s">
        <v>365</v>
      </c>
      <c r="AK155" s="47" t="s">
        <v>930</v>
      </c>
      <c r="AL155" s="47" t="s">
        <v>931</v>
      </c>
      <c r="AM155" s="47" t="s">
        <v>931</v>
      </c>
      <c r="AN155" s="37"/>
    </row>
    <row r="156" spans="1:40">
      <c r="A156" s="47" t="s">
        <v>982</v>
      </c>
      <c r="B156" s="47" t="s">
        <v>919</v>
      </c>
      <c r="C156" s="47" t="s">
        <v>2007</v>
      </c>
      <c r="D156" s="47">
        <f t="shared" si="6"/>
        <v>757000</v>
      </c>
      <c r="E156" s="47" t="s">
        <v>200</v>
      </c>
      <c r="F156" s="47" t="s">
        <v>191</v>
      </c>
      <c r="G156" s="47" t="s">
        <v>40</v>
      </c>
      <c r="H156" s="47" t="s">
        <v>931</v>
      </c>
      <c r="I156" s="47" t="s">
        <v>2008</v>
      </c>
      <c r="J156" s="47" t="s">
        <v>1024</v>
      </c>
      <c r="K156" s="47" t="s">
        <v>163</v>
      </c>
      <c r="L156" s="47" t="s">
        <v>1025</v>
      </c>
      <c r="M156" s="47" t="s">
        <v>1025</v>
      </c>
      <c r="N156" s="47" t="s">
        <v>1026</v>
      </c>
      <c r="O156" s="47" t="s">
        <v>930</v>
      </c>
      <c r="P156" s="47" t="s">
        <v>930</v>
      </c>
      <c r="Q156" s="47" t="str">
        <f t="shared" si="7"/>
        <v xml:space="preserve"> Chiều T5</v>
      </c>
      <c r="R156" s="47" t="s">
        <v>973</v>
      </c>
      <c r="S156" s="47" t="s">
        <v>1027</v>
      </c>
      <c r="T156" s="47" t="s">
        <v>2009</v>
      </c>
      <c r="U156" s="47" t="s">
        <v>2010</v>
      </c>
      <c r="V156" s="47" t="s">
        <v>18</v>
      </c>
      <c r="W156" s="47" t="s">
        <v>931</v>
      </c>
      <c r="X156" s="47" t="s">
        <v>1030</v>
      </c>
      <c r="Y156" s="47" t="s">
        <v>40</v>
      </c>
      <c r="Z156" s="47" t="s">
        <v>1357</v>
      </c>
      <c r="AA156" s="47" t="s">
        <v>1358</v>
      </c>
      <c r="AB156" s="47" t="s">
        <v>1120</v>
      </c>
      <c r="AC156" s="47" t="s">
        <v>447</v>
      </c>
      <c r="AD156" s="47" t="s">
        <v>2011</v>
      </c>
      <c r="AE156" s="47" t="s">
        <v>937</v>
      </c>
      <c r="AF156" s="47" t="s">
        <v>931</v>
      </c>
      <c r="AG156" s="47" t="s">
        <v>931</v>
      </c>
      <c r="AH156" s="47" t="s">
        <v>931</v>
      </c>
      <c r="AI156" s="47" t="s">
        <v>931</v>
      </c>
      <c r="AJ156" s="47" t="s">
        <v>931</v>
      </c>
      <c r="AK156" s="47" t="s">
        <v>930</v>
      </c>
      <c r="AL156" s="47" t="s">
        <v>931</v>
      </c>
      <c r="AM156" s="47" t="s">
        <v>931</v>
      </c>
      <c r="AN156" s="37"/>
    </row>
    <row r="157" spans="1:40" hidden="1">
      <c r="A157" s="47" t="s">
        <v>982</v>
      </c>
      <c r="B157" s="47" t="s">
        <v>919</v>
      </c>
      <c r="C157" s="47" t="s">
        <v>2012</v>
      </c>
      <c r="D157" s="47">
        <f t="shared" si="6"/>
        <v>757070</v>
      </c>
      <c r="E157" s="47" t="s">
        <v>261</v>
      </c>
      <c r="F157" s="47" t="s">
        <v>262</v>
      </c>
      <c r="G157" s="47" t="s">
        <v>1625</v>
      </c>
      <c r="H157" s="47" t="s">
        <v>1325</v>
      </c>
      <c r="I157" s="47" t="s">
        <v>2013</v>
      </c>
      <c r="J157" s="47" t="s">
        <v>1024</v>
      </c>
      <c r="K157" s="47" t="s">
        <v>163</v>
      </c>
      <c r="L157" s="47" t="s">
        <v>1056</v>
      </c>
      <c r="M157" s="47" t="s">
        <v>1056</v>
      </c>
      <c r="N157" s="47" t="s">
        <v>1026</v>
      </c>
      <c r="O157" s="47" t="s">
        <v>930</v>
      </c>
      <c r="P157" s="47" t="s">
        <v>930</v>
      </c>
      <c r="Q157" s="47" t="str">
        <f t="shared" si="7"/>
        <v xml:space="preserve"> Chiều T4</v>
      </c>
      <c r="R157" s="47" t="s">
        <v>973</v>
      </c>
      <c r="S157" s="47" t="s">
        <v>1059</v>
      </c>
      <c r="T157" s="47" t="s">
        <v>2014</v>
      </c>
      <c r="U157" s="47" t="s">
        <v>2015</v>
      </c>
      <c r="V157" s="47" t="s">
        <v>19</v>
      </c>
      <c r="W157" s="47" t="s">
        <v>931</v>
      </c>
      <c r="X157" s="47" t="s">
        <v>932</v>
      </c>
      <c r="Y157" s="47" t="s">
        <v>1625</v>
      </c>
      <c r="Z157" s="47" t="s">
        <v>1629</v>
      </c>
      <c r="AA157" s="47" t="s">
        <v>1630</v>
      </c>
      <c r="AB157" s="47" t="s">
        <v>2016</v>
      </c>
      <c r="AC157" s="47" t="s">
        <v>438</v>
      </c>
      <c r="AD157" s="47" t="s">
        <v>2017</v>
      </c>
      <c r="AE157" s="47" t="s">
        <v>937</v>
      </c>
      <c r="AF157" s="47" t="s">
        <v>931</v>
      </c>
      <c r="AG157" s="47" t="s">
        <v>2018</v>
      </c>
      <c r="AH157" s="47" t="s">
        <v>364</v>
      </c>
      <c r="AI157" s="47" t="s">
        <v>931</v>
      </c>
      <c r="AJ157" s="47" t="s">
        <v>365</v>
      </c>
      <c r="AK157" s="47" t="s">
        <v>930</v>
      </c>
      <c r="AL157" s="47" t="s">
        <v>931</v>
      </c>
      <c r="AM157" s="47" t="s">
        <v>931</v>
      </c>
      <c r="AN157" s="37"/>
    </row>
    <row r="158" spans="1:40" hidden="1">
      <c r="A158" s="47" t="s">
        <v>982</v>
      </c>
      <c r="B158" s="47" t="s">
        <v>919</v>
      </c>
      <c r="C158" s="47" t="s">
        <v>2019</v>
      </c>
      <c r="D158" s="47">
        <f t="shared" si="6"/>
        <v>757027</v>
      </c>
      <c r="E158" s="47" t="s">
        <v>431</v>
      </c>
      <c r="F158" s="47" t="s">
        <v>432</v>
      </c>
      <c r="G158" s="47" t="s">
        <v>835</v>
      </c>
      <c r="H158" s="47" t="s">
        <v>931</v>
      </c>
      <c r="I158" s="47" t="s">
        <v>2020</v>
      </c>
      <c r="J158" s="47" t="s">
        <v>1354</v>
      </c>
      <c r="K158" s="47" t="s">
        <v>163</v>
      </c>
      <c r="L158" s="47" t="s">
        <v>928</v>
      </c>
      <c r="M158" s="47" t="s">
        <v>928</v>
      </c>
      <c r="N158" s="47" t="s">
        <v>1026</v>
      </c>
      <c r="O158" s="47" t="s">
        <v>930</v>
      </c>
      <c r="P158" s="47" t="s">
        <v>930</v>
      </c>
      <c r="Q158" s="47" t="str">
        <f t="shared" si="7"/>
        <v xml:space="preserve"> Chiều T2</v>
      </c>
      <c r="R158" s="47" t="s">
        <v>973</v>
      </c>
      <c r="S158" s="47"/>
      <c r="T158" s="47" t="s">
        <v>2021</v>
      </c>
      <c r="U158" s="47" t="s">
        <v>2022</v>
      </c>
      <c r="V158" s="47" t="s">
        <v>442</v>
      </c>
      <c r="W158" s="47" t="s">
        <v>931</v>
      </c>
      <c r="X158" s="47" t="s">
        <v>995</v>
      </c>
      <c r="Y158" s="47" t="s">
        <v>835</v>
      </c>
      <c r="Z158" s="47" t="s">
        <v>2023</v>
      </c>
      <c r="AA158" s="47" t="s">
        <v>2024</v>
      </c>
      <c r="AB158" s="47" t="s">
        <v>2025</v>
      </c>
      <c r="AC158" s="47" t="s">
        <v>1202</v>
      </c>
      <c r="AD158" s="47" t="s">
        <v>2026</v>
      </c>
      <c r="AE158" s="47" t="s">
        <v>937</v>
      </c>
      <c r="AF158" s="47" t="s">
        <v>931</v>
      </c>
      <c r="AG158" s="47" t="s">
        <v>931</v>
      </c>
      <c r="AH158" s="47" t="s">
        <v>364</v>
      </c>
      <c r="AI158" s="47" t="s">
        <v>931</v>
      </c>
      <c r="AJ158" s="47" t="s">
        <v>365</v>
      </c>
      <c r="AK158" s="47" t="s">
        <v>930</v>
      </c>
      <c r="AL158" s="47" t="s">
        <v>931</v>
      </c>
      <c r="AM158" s="47" t="s">
        <v>931</v>
      </c>
      <c r="AN158" s="37"/>
    </row>
    <row r="159" spans="1:40" hidden="1">
      <c r="A159" s="47" t="s">
        <v>982</v>
      </c>
      <c r="B159" s="47" t="s">
        <v>919</v>
      </c>
      <c r="C159" s="47" t="s">
        <v>2027</v>
      </c>
      <c r="D159" s="47">
        <f t="shared" si="6"/>
        <v>757092</v>
      </c>
      <c r="E159" s="47" t="s">
        <v>314</v>
      </c>
      <c r="F159" s="47" t="s">
        <v>315</v>
      </c>
      <c r="G159" s="47" t="s">
        <v>1617</v>
      </c>
      <c r="H159" s="47" t="s">
        <v>931</v>
      </c>
      <c r="I159" s="47" t="s">
        <v>2028</v>
      </c>
      <c r="J159" s="47" t="s">
        <v>1024</v>
      </c>
      <c r="K159" s="47" t="s">
        <v>163</v>
      </c>
      <c r="L159" s="47" t="s">
        <v>1025</v>
      </c>
      <c r="M159" s="47" t="s">
        <v>1173</v>
      </c>
      <c r="N159" s="47" t="s">
        <v>1026</v>
      </c>
      <c r="O159" s="47" t="s">
        <v>930</v>
      </c>
      <c r="P159" s="47" t="s">
        <v>930</v>
      </c>
      <c r="Q159" s="47" t="str">
        <f t="shared" si="7"/>
        <v xml:space="preserve"> Chiều T7</v>
      </c>
      <c r="R159" s="47" t="s">
        <v>973</v>
      </c>
      <c r="S159" s="47" t="s">
        <v>1677</v>
      </c>
      <c r="T159" s="47" t="s">
        <v>2029</v>
      </c>
      <c r="U159" s="47" t="s">
        <v>2030</v>
      </c>
      <c r="V159" s="47" t="s">
        <v>27</v>
      </c>
      <c r="W159" s="47" t="s">
        <v>931</v>
      </c>
      <c r="X159" s="47" t="s">
        <v>995</v>
      </c>
      <c r="Y159" s="47" t="s">
        <v>1617</v>
      </c>
      <c r="Z159" s="47" t="s">
        <v>1620</v>
      </c>
      <c r="AA159" s="47" t="s">
        <v>1621</v>
      </c>
      <c r="AB159" s="47" t="s">
        <v>2031</v>
      </c>
      <c r="AC159" s="47" t="s">
        <v>359</v>
      </c>
      <c r="AD159" s="47" t="s">
        <v>2032</v>
      </c>
      <c r="AE159" s="47" t="s">
        <v>937</v>
      </c>
      <c r="AF159" s="47" t="s">
        <v>931</v>
      </c>
      <c r="AG159" s="47" t="s">
        <v>931</v>
      </c>
      <c r="AH159" s="47" t="s">
        <v>364</v>
      </c>
      <c r="AI159" s="47" t="s">
        <v>931</v>
      </c>
      <c r="AJ159" s="47" t="s">
        <v>365</v>
      </c>
      <c r="AK159" s="47" t="s">
        <v>930</v>
      </c>
      <c r="AL159" s="47" t="s">
        <v>931</v>
      </c>
      <c r="AM159" s="47" t="s">
        <v>931</v>
      </c>
      <c r="AN159" s="37"/>
    </row>
    <row r="160" spans="1:40" hidden="1">
      <c r="A160" s="47" t="s">
        <v>982</v>
      </c>
      <c r="B160" s="47" t="s">
        <v>919</v>
      </c>
      <c r="C160" s="47" t="s">
        <v>2033</v>
      </c>
      <c r="D160" s="47">
        <f t="shared" si="6"/>
        <v>757096</v>
      </c>
      <c r="E160" s="47" t="s">
        <v>339</v>
      </c>
      <c r="F160" s="47" t="s">
        <v>340</v>
      </c>
      <c r="G160" s="47" t="s">
        <v>835</v>
      </c>
      <c r="H160" s="47" t="s">
        <v>931</v>
      </c>
      <c r="I160" s="47" t="s">
        <v>2034</v>
      </c>
      <c r="J160" s="47" t="s">
        <v>944</v>
      </c>
      <c r="K160" s="47" t="s">
        <v>163</v>
      </c>
      <c r="L160" s="47" t="s">
        <v>1015</v>
      </c>
      <c r="M160" s="47" t="s">
        <v>1173</v>
      </c>
      <c r="N160" s="47" t="s">
        <v>1026</v>
      </c>
      <c r="O160" s="47" t="s">
        <v>930</v>
      </c>
      <c r="P160" s="47" t="s">
        <v>930</v>
      </c>
      <c r="Q160" s="47" t="str">
        <f t="shared" si="7"/>
        <v xml:space="preserve"> Chiều T3</v>
      </c>
      <c r="R160" s="47" t="s">
        <v>973</v>
      </c>
      <c r="S160" s="47"/>
      <c r="T160" s="47" t="s">
        <v>2035</v>
      </c>
      <c r="U160" s="47" t="s">
        <v>2036</v>
      </c>
      <c r="V160" s="47" t="s">
        <v>442</v>
      </c>
      <c r="W160" s="47" t="s">
        <v>931</v>
      </c>
      <c r="X160" s="47" t="s">
        <v>995</v>
      </c>
      <c r="Y160" s="47" t="s">
        <v>835</v>
      </c>
      <c r="Z160" s="47" t="s">
        <v>2023</v>
      </c>
      <c r="AA160" s="47" t="s">
        <v>2024</v>
      </c>
      <c r="AB160" s="47" t="s">
        <v>2037</v>
      </c>
      <c r="AC160" s="47" t="s">
        <v>2038</v>
      </c>
      <c r="AD160" s="47" t="s">
        <v>2039</v>
      </c>
      <c r="AE160" s="47" t="s">
        <v>937</v>
      </c>
      <c r="AF160" s="47" t="s">
        <v>931</v>
      </c>
      <c r="AG160" s="47" t="s">
        <v>931</v>
      </c>
      <c r="AH160" s="47" t="s">
        <v>931</v>
      </c>
      <c r="AI160" s="47" t="s">
        <v>931</v>
      </c>
      <c r="AJ160" s="47" t="s">
        <v>931</v>
      </c>
      <c r="AK160" s="47" t="s">
        <v>930</v>
      </c>
      <c r="AL160" s="47" t="s">
        <v>931</v>
      </c>
      <c r="AM160" s="47" t="s">
        <v>931</v>
      </c>
      <c r="AN160" s="37"/>
    </row>
    <row r="161" spans="1:40" hidden="1">
      <c r="A161" s="47" t="s">
        <v>982</v>
      </c>
      <c r="B161" s="47" t="s">
        <v>919</v>
      </c>
      <c r="C161" s="47" t="s">
        <v>2040</v>
      </c>
      <c r="D161" s="47">
        <f t="shared" si="6"/>
        <v>757091</v>
      </c>
      <c r="E161" s="47" t="s">
        <v>314</v>
      </c>
      <c r="F161" s="47" t="s">
        <v>315</v>
      </c>
      <c r="G161" s="47" t="s">
        <v>832</v>
      </c>
      <c r="H161" s="47" t="s">
        <v>1100</v>
      </c>
      <c r="I161" s="47" t="s">
        <v>2041</v>
      </c>
      <c r="J161" s="47" t="s">
        <v>1055</v>
      </c>
      <c r="K161" s="47" t="s">
        <v>163</v>
      </c>
      <c r="L161" s="47" t="s">
        <v>1003</v>
      </c>
      <c r="M161" s="47" t="s">
        <v>1056</v>
      </c>
      <c r="N161" s="47" t="s">
        <v>1026</v>
      </c>
      <c r="O161" s="47" t="s">
        <v>930</v>
      </c>
      <c r="P161" s="47" t="s">
        <v>930</v>
      </c>
      <c r="Q161" s="47" t="str">
        <f t="shared" si="7"/>
        <v xml:space="preserve"> Sáng T6:</v>
      </c>
      <c r="R161" s="47" t="s">
        <v>947</v>
      </c>
      <c r="S161" s="47" t="s">
        <v>1140</v>
      </c>
      <c r="T161" s="47" t="s">
        <v>2042</v>
      </c>
      <c r="U161" s="47" t="s">
        <v>2043</v>
      </c>
      <c r="V161" s="47" t="s">
        <v>21</v>
      </c>
      <c r="W161" s="47" t="s">
        <v>931</v>
      </c>
      <c r="X161" s="47" t="s">
        <v>995</v>
      </c>
      <c r="Y161" s="47" t="s">
        <v>832</v>
      </c>
      <c r="Z161" s="47" t="s">
        <v>1998</v>
      </c>
      <c r="AA161" s="47" t="s">
        <v>1999</v>
      </c>
      <c r="AB161" s="47" t="s">
        <v>1548</v>
      </c>
      <c r="AC161" s="47" t="s">
        <v>359</v>
      </c>
      <c r="AD161" s="47" t="s">
        <v>2044</v>
      </c>
      <c r="AE161" s="47" t="s">
        <v>937</v>
      </c>
      <c r="AF161" s="47" t="s">
        <v>931</v>
      </c>
      <c r="AG161" s="47" t="s">
        <v>2045</v>
      </c>
      <c r="AH161" s="47" t="s">
        <v>364</v>
      </c>
      <c r="AI161" s="47" t="s">
        <v>931</v>
      </c>
      <c r="AJ161" s="47" t="s">
        <v>365</v>
      </c>
      <c r="AK161" s="47" t="s">
        <v>930</v>
      </c>
      <c r="AL161" s="47" t="s">
        <v>931</v>
      </c>
      <c r="AM161" s="47" t="s">
        <v>931</v>
      </c>
      <c r="AN161" s="37"/>
    </row>
    <row r="162" spans="1:40">
      <c r="A162" s="47" t="s">
        <v>982</v>
      </c>
      <c r="B162" s="47" t="s">
        <v>919</v>
      </c>
      <c r="C162" s="47" t="s">
        <v>2046</v>
      </c>
      <c r="D162" s="47">
        <f t="shared" si="6"/>
        <v>757025</v>
      </c>
      <c r="E162" s="47" t="s">
        <v>200</v>
      </c>
      <c r="F162" s="47" t="s">
        <v>191</v>
      </c>
      <c r="G162" s="47" t="s">
        <v>39</v>
      </c>
      <c r="H162" s="47" t="s">
        <v>931</v>
      </c>
      <c r="I162" s="47" t="s">
        <v>2047</v>
      </c>
      <c r="J162" s="47" t="s">
        <v>1024</v>
      </c>
      <c r="K162" s="47" t="s">
        <v>163</v>
      </c>
      <c r="L162" s="47" t="s">
        <v>1432</v>
      </c>
      <c r="M162" s="47" t="s">
        <v>1025</v>
      </c>
      <c r="N162" s="47" t="s">
        <v>1026</v>
      </c>
      <c r="O162" s="47" t="s">
        <v>930</v>
      </c>
      <c r="P162" s="47" t="s">
        <v>930</v>
      </c>
      <c r="Q162" s="47" t="str">
        <f t="shared" si="7"/>
        <v xml:space="preserve"> Chiều T3</v>
      </c>
      <c r="R162" s="47" t="s">
        <v>973</v>
      </c>
      <c r="S162" s="47" t="s">
        <v>1070</v>
      </c>
      <c r="T162" s="47" t="s">
        <v>2048</v>
      </c>
      <c r="U162" s="47" t="s">
        <v>2049</v>
      </c>
      <c r="V162" s="47" t="s">
        <v>25</v>
      </c>
      <c r="W162" s="47" t="s">
        <v>931</v>
      </c>
      <c r="X162" s="47" t="s">
        <v>1030</v>
      </c>
      <c r="Y162" s="47" t="s">
        <v>39</v>
      </c>
      <c r="Z162" s="47" t="s">
        <v>1031</v>
      </c>
      <c r="AA162" s="47" t="s">
        <v>1032</v>
      </c>
      <c r="AB162" s="47" t="s">
        <v>1905</v>
      </c>
      <c r="AC162" s="47" t="s">
        <v>447</v>
      </c>
      <c r="AD162" s="47" t="s">
        <v>2050</v>
      </c>
      <c r="AE162" s="47" t="s">
        <v>937</v>
      </c>
      <c r="AF162" s="47" t="s">
        <v>931</v>
      </c>
      <c r="AG162" s="47" t="s">
        <v>931</v>
      </c>
      <c r="AH162" s="47" t="s">
        <v>931</v>
      </c>
      <c r="AI162" s="47" t="s">
        <v>931</v>
      </c>
      <c r="AJ162" s="47" t="s">
        <v>931</v>
      </c>
      <c r="AK162" s="47" t="s">
        <v>930</v>
      </c>
      <c r="AL162" s="47" t="s">
        <v>931</v>
      </c>
      <c r="AM162" s="47" t="s">
        <v>931</v>
      </c>
      <c r="AN162" s="37"/>
    </row>
    <row r="163" spans="1:40">
      <c r="A163" s="47" t="s">
        <v>982</v>
      </c>
      <c r="B163" s="47" t="s">
        <v>919</v>
      </c>
      <c r="C163" s="47" t="s">
        <v>2051</v>
      </c>
      <c r="D163" s="47">
        <f t="shared" si="6"/>
        <v>757026</v>
      </c>
      <c r="E163" s="47" t="s">
        <v>200</v>
      </c>
      <c r="F163" s="47" t="s">
        <v>191</v>
      </c>
      <c r="G163" s="47" t="s">
        <v>35</v>
      </c>
      <c r="H163" s="47" t="s">
        <v>1518</v>
      </c>
      <c r="I163" s="47" t="s">
        <v>2052</v>
      </c>
      <c r="J163" s="47" t="s">
        <v>1024</v>
      </c>
      <c r="K163" s="47" t="s">
        <v>163</v>
      </c>
      <c r="L163" s="47" t="s">
        <v>1432</v>
      </c>
      <c r="M163" s="47" t="s">
        <v>1025</v>
      </c>
      <c r="N163" s="47" t="s">
        <v>1026</v>
      </c>
      <c r="O163" s="47" t="s">
        <v>930</v>
      </c>
      <c r="P163" s="47" t="s">
        <v>930</v>
      </c>
      <c r="Q163" s="47" t="str">
        <f t="shared" si="7"/>
        <v xml:space="preserve"> Chiều T4</v>
      </c>
      <c r="R163" s="47" t="s">
        <v>973</v>
      </c>
      <c r="S163" s="47" t="s">
        <v>1059</v>
      </c>
      <c r="T163" s="47" t="s">
        <v>2053</v>
      </c>
      <c r="U163" s="47" t="s">
        <v>2054</v>
      </c>
      <c r="V163" s="47" t="s">
        <v>25</v>
      </c>
      <c r="W163" s="47" t="s">
        <v>931</v>
      </c>
      <c r="X163" s="47" t="s">
        <v>1030</v>
      </c>
      <c r="Y163" s="47" t="s">
        <v>35</v>
      </c>
      <c r="Z163" s="47" t="s">
        <v>1133</v>
      </c>
      <c r="AA163" s="47" t="s">
        <v>1134</v>
      </c>
      <c r="AB163" s="47" t="s">
        <v>1120</v>
      </c>
      <c r="AC163" s="47" t="s">
        <v>447</v>
      </c>
      <c r="AD163" s="47" t="s">
        <v>2055</v>
      </c>
      <c r="AE163" s="47" t="s">
        <v>937</v>
      </c>
      <c r="AF163" s="47" t="s">
        <v>931</v>
      </c>
      <c r="AG163" s="47" t="s">
        <v>2056</v>
      </c>
      <c r="AH163" s="47" t="s">
        <v>931</v>
      </c>
      <c r="AI163" s="47" t="s">
        <v>931</v>
      </c>
      <c r="AJ163" s="47" t="s">
        <v>931</v>
      </c>
      <c r="AK163" s="47" t="s">
        <v>930</v>
      </c>
      <c r="AL163" s="47" t="s">
        <v>931</v>
      </c>
      <c r="AM163" s="47" t="s">
        <v>931</v>
      </c>
      <c r="AN163" s="37"/>
    </row>
    <row r="164" spans="1:40" hidden="1">
      <c r="A164" s="47" t="s">
        <v>982</v>
      </c>
      <c r="B164" s="47" t="s">
        <v>919</v>
      </c>
      <c r="C164" s="47" t="s">
        <v>2057</v>
      </c>
      <c r="D164" s="47">
        <f t="shared" si="6"/>
        <v>757028</v>
      </c>
      <c r="E164" s="47" t="s">
        <v>431</v>
      </c>
      <c r="F164" s="47" t="s">
        <v>432</v>
      </c>
      <c r="G164" s="47" t="s">
        <v>835</v>
      </c>
      <c r="H164" s="47" t="s">
        <v>931</v>
      </c>
      <c r="I164" s="47" t="s">
        <v>2058</v>
      </c>
      <c r="J164" s="47" t="s">
        <v>1354</v>
      </c>
      <c r="K164" s="47" t="s">
        <v>163</v>
      </c>
      <c r="L164" s="47" t="s">
        <v>928</v>
      </c>
      <c r="M164" s="47" t="s">
        <v>928</v>
      </c>
      <c r="N164" s="47" t="s">
        <v>1026</v>
      </c>
      <c r="O164" s="47" t="s">
        <v>930</v>
      </c>
      <c r="P164" s="47" t="s">
        <v>930</v>
      </c>
      <c r="Q164" s="47" t="str">
        <f t="shared" si="7"/>
        <v xml:space="preserve"> Chiều T2</v>
      </c>
      <c r="R164" s="47" t="s">
        <v>973</v>
      </c>
      <c r="S164" s="47"/>
      <c r="T164" s="47" t="s">
        <v>2059</v>
      </c>
      <c r="U164" s="47" t="s">
        <v>2060</v>
      </c>
      <c r="V164" s="47" t="s">
        <v>442</v>
      </c>
      <c r="W164" s="47" t="s">
        <v>931</v>
      </c>
      <c r="X164" s="47" t="s">
        <v>995</v>
      </c>
      <c r="Y164" s="47" t="s">
        <v>835</v>
      </c>
      <c r="Z164" s="47" t="s">
        <v>2023</v>
      </c>
      <c r="AA164" s="47" t="s">
        <v>2024</v>
      </c>
      <c r="AB164" s="47" t="s">
        <v>2061</v>
      </c>
      <c r="AC164" s="47" t="s">
        <v>1202</v>
      </c>
      <c r="AD164" s="47" t="s">
        <v>2062</v>
      </c>
      <c r="AE164" s="47" t="s">
        <v>937</v>
      </c>
      <c r="AF164" s="47" t="s">
        <v>931</v>
      </c>
      <c r="AG164" s="47" t="s">
        <v>931</v>
      </c>
      <c r="AH164" s="47" t="s">
        <v>364</v>
      </c>
      <c r="AI164" s="47" t="s">
        <v>931</v>
      </c>
      <c r="AJ164" s="47" t="s">
        <v>365</v>
      </c>
      <c r="AK164" s="47" t="s">
        <v>930</v>
      </c>
      <c r="AL164" s="47" t="s">
        <v>931</v>
      </c>
      <c r="AM164" s="47" t="s">
        <v>931</v>
      </c>
      <c r="AN164" s="37"/>
    </row>
    <row r="165" spans="1:40">
      <c r="A165" s="47" t="s">
        <v>982</v>
      </c>
      <c r="B165" s="47" t="s">
        <v>919</v>
      </c>
      <c r="C165" s="47" t="s">
        <v>2063</v>
      </c>
      <c r="D165" s="47">
        <f t="shared" si="6"/>
        <v>757016</v>
      </c>
      <c r="E165" s="47" t="s">
        <v>200</v>
      </c>
      <c r="F165" s="47" t="s">
        <v>191</v>
      </c>
      <c r="G165" s="47" t="s">
        <v>43</v>
      </c>
      <c r="H165" s="47" t="s">
        <v>931</v>
      </c>
      <c r="I165" s="47" t="s">
        <v>2064</v>
      </c>
      <c r="J165" s="47" t="s">
        <v>1024</v>
      </c>
      <c r="K165" s="47" t="s">
        <v>163</v>
      </c>
      <c r="L165" s="47" t="s">
        <v>1003</v>
      </c>
      <c r="M165" s="47" t="s">
        <v>1025</v>
      </c>
      <c r="N165" s="47" t="s">
        <v>1026</v>
      </c>
      <c r="O165" s="47" t="s">
        <v>930</v>
      </c>
      <c r="P165" s="47" t="s">
        <v>930</v>
      </c>
      <c r="Q165" s="47" t="str">
        <f t="shared" si="7"/>
        <v xml:space="preserve"> Chiều T3</v>
      </c>
      <c r="R165" s="47" t="s">
        <v>973</v>
      </c>
      <c r="S165" s="47" t="s">
        <v>1070</v>
      </c>
      <c r="T165" s="47" t="s">
        <v>2065</v>
      </c>
      <c r="U165" s="47" t="s">
        <v>2066</v>
      </c>
      <c r="V165" s="47" t="s">
        <v>25</v>
      </c>
      <c r="W165" s="47" t="s">
        <v>931</v>
      </c>
      <c r="X165" s="47" t="s">
        <v>1030</v>
      </c>
      <c r="Y165" s="47" t="s">
        <v>43</v>
      </c>
      <c r="Z165" s="47" t="s">
        <v>1463</v>
      </c>
      <c r="AA165" s="47" t="s">
        <v>1464</v>
      </c>
      <c r="AB165" s="47" t="s">
        <v>1905</v>
      </c>
      <c r="AC165" s="47" t="s">
        <v>447</v>
      </c>
      <c r="AD165" s="47" t="s">
        <v>2067</v>
      </c>
      <c r="AE165" s="47" t="s">
        <v>937</v>
      </c>
      <c r="AF165" s="47" t="s">
        <v>931</v>
      </c>
      <c r="AG165" s="47" t="s">
        <v>931</v>
      </c>
      <c r="AH165" s="47" t="s">
        <v>931</v>
      </c>
      <c r="AI165" s="47" t="s">
        <v>931</v>
      </c>
      <c r="AJ165" s="47" t="s">
        <v>931</v>
      </c>
      <c r="AK165" s="47" t="s">
        <v>930</v>
      </c>
      <c r="AL165" s="47" t="s">
        <v>931</v>
      </c>
      <c r="AM165" s="47" t="s">
        <v>931</v>
      </c>
      <c r="AN165" s="37"/>
    </row>
    <row r="166" spans="1:40" hidden="1">
      <c r="A166" s="47" t="s">
        <v>982</v>
      </c>
      <c r="B166" s="47" t="s">
        <v>919</v>
      </c>
      <c r="C166" s="47" t="s">
        <v>2068</v>
      </c>
      <c r="D166" s="47">
        <f t="shared" si="6"/>
        <v>757095</v>
      </c>
      <c r="E166" s="47" t="s">
        <v>136</v>
      </c>
      <c r="F166" s="47" t="s">
        <v>324</v>
      </c>
      <c r="G166" s="47" t="s">
        <v>143</v>
      </c>
      <c r="H166" s="47" t="s">
        <v>931</v>
      </c>
      <c r="I166" s="47" t="s">
        <v>2069</v>
      </c>
      <c r="J166" s="47" t="s">
        <v>1024</v>
      </c>
      <c r="K166" s="47" t="s">
        <v>163</v>
      </c>
      <c r="L166" s="47" t="s">
        <v>956</v>
      </c>
      <c r="M166" s="47" t="s">
        <v>1056</v>
      </c>
      <c r="N166" s="47" t="s">
        <v>1026</v>
      </c>
      <c r="O166" s="47" t="s">
        <v>930</v>
      </c>
      <c r="P166" s="47" t="s">
        <v>930</v>
      </c>
      <c r="Q166" s="47" t="str">
        <f t="shared" si="7"/>
        <v xml:space="preserve"> Chiều T4</v>
      </c>
      <c r="R166" s="47" t="s">
        <v>973</v>
      </c>
      <c r="S166" s="47" t="s">
        <v>1059</v>
      </c>
      <c r="T166" s="47" t="s">
        <v>2070</v>
      </c>
      <c r="U166" s="47" t="s">
        <v>2071</v>
      </c>
      <c r="V166" s="47" t="s">
        <v>20</v>
      </c>
      <c r="W166" s="47" t="s">
        <v>931</v>
      </c>
      <c r="X166" s="47" t="s">
        <v>995</v>
      </c>
      <c r="Y166" s="47" t="s">
        <v>143</v>
      </c>
      <c r="Z166" s="47" t="s">
        <v>1875</v>
      </c>
      <c r="AA166" s="47" t="s">
        <v>1876</v>
      </c>
      <c r="AB166" s="47" t="s">
        <v>931</v>
      </c>
      <c r="AC166" s="47" t="s">
        <v>2072</v>
      </c>
      <c r="AD166" s="47" t="s">
        <v>2073</v>
      </c>
      <c r="AE166" s="47" t="s">
        <v>937</v>
      </c>
      <c r="AF166" s="47" t="s">
        <v>931</v>
      </c>
      <c r="AG166" s="47" t="s">
        <v>931</v>
      </c>
      <c r="AH166" s="47" t="s">
        <v>364</v>
      </c>
      <c r="AI166" s="47" t="s">
        <v>931</v>
      </c>
      <c r="AJ166" s="47" t="s">
        <v>365</v>
      </c>
      <c r="AK166" s="47" t="s">
        <v>930</v>
      </c>
      <c r="AL166" s="47" t="s">
        <v>931</v>
      </c>
      <c r="AM166" s="47" t="s">
        <v>931</v>
      </c>
      <c r="AN166" s="37"/>
    </row>
    <row r="167" spans="1:40">
      <c r="A167" s="47" t="s">
        <v>982</v>
      </c>
      <c r="B167" s="47" t="s">
        <v>919</v>
      </c>
      <c r="C167" s="47" t="s">
        <v>2074</v>
      </c>
      <c r="D167" s="47">
        <f t="shared" si="6"/>
        <v>757022</v>
      </c>
      <c r="E167" s="47" t="s">
        <v>200</v>
      </c>
      <c r="F167" s="47" t="s">
        <v>191</v>
      </c>
      <c r="G167" s="47" t="s">
        <v>41</v>
      </c>
      <c r="H167" s="47" t="s">
        <v>1518</v>
      </c>
      <c r="I167" s="47" t="s">
        <v>2075</v>
      </c>
      <c r="J167" s="47" t="s">
        <v>1024</v>
      </c>
      <c r="K167" s="47" t="s">
        <v>163</v>
      </c>
      <c r="L167" s="47" t="s">
        <v>1025</v>
      </c>
      <c r="M167" s="47" t="s">
        <v>1025</v>
      </c>
      <c r="N167" s="47" t="s">
        <v>1026</v>
      </c>
      <c r="O167" s="47" t="s">
        <v>930</v>
      </c>
      <c r="P167" s="47" t="s">
        <v>930</v>
      </c>
      <c r="Q167" s="47" t="str">
        <f t="shared" si="7"/>
        <v xml:space="preserve"> Sáng T4:</v>
      </c>
      <c r="R167" s="47" t="s">
        <v>947</v>
      </c>
      <c r="S167" s="47" t="s">
        <v>1059</v>
      </c>
      <c r="T167" s="47" t="s">
        <v>2076</v>
      </c>
      <c r="U167" s="47" t="s">
        <v>2077</v>
      </c>
      <c r="V167" s="47" t="s">
        <v>25</v>
      </c>
      <c r="W167" s="47" t="s">
        <v>931</v>
      </c>
      <c r="X167" s="47" t="s">
        <v>1030</v>
      </c>
      <c r="Y167" s="47" t="s">
        <v>41</v>
      </c>
      <c r="Z167" s="47" t="s">
        <v>1111</v>
      </c>
      <c r="AA167" s="47" t="s">
        <v>1112</v>
      </c>
      <c r="AB167" s="47" t="s">
        <v>2078</v>
      </c>
      <c r="AC167" s="47" t="s">
        <v>447</v>
      </c>
      <c r="AD167" s="47" t="s">
        <v>2079</v>
      </c>
      <c r="AE167" s="47" t="s">
        <v>937</v>
      </c>
      <c r="AF167" s="47" t="s">
        <v>931</v>
      </c>
      <c r="AG167" s="47" t="s">
        <v>2080</v>
      </c>
      <c r="AH167" s="47" t="s">
        <v>931</v>
      </c>
      <c r="AI167" s="47" t="s">
        <v>931</v>
      </c>
      <c r="AJ167" s="47" t="s">
        <v>931</v>
      </c>
      <c r="AK167" s="47" t="s">
        <v>930</v>
      </c>
      <c r="AL167" s="47" t="s">
        <v>931</v>
      </c>
      <c r="AM167" s="47" t="s">
        <v>931</v>
      </c>
      <c r="AN167" s="37"/>
    </row>
    <row r="168" spans="1:40">
      <c r="A168" s="47" t="s">
        <v>982</v>
      </c>
      <c r="B168" s="47" t="s">
        <v>919</v>
      </c>
      <c r="C168" s="47" t="s">
        <v>2081</v>
      </c>
      <c r="D168" s="47">
        <f t="shared" si="6"/>
        <v>757005</v>
      </c>
      <c r="E168" s="47" t="s">
        <v>200</v>
      </c>
      <c r="F168" s="47" t="s">
        <v>191</v>
      </c>
      <c r="G168" s="47" t="s">
        <v>40</v>
      </c>
      <c r="H168" s="47" t="s">
        <v>931</v>
      </c>
      <c r="I168" s="47" t="s">
        <v>2082</v>
      </c>
      <c r="J168" s="47" t="s">
        <v>1024</v>
      </c>
      <c r="K168" s="47" t="s">
        <v>163</v>
      </c>
      <c r="L168" s="47" t="s">
        <v>1447</v>
      </c>
      <c r="M168" s="47" t="s">
        <v>1025</v>
      </c>
      <c r="N168" s="47" t="s">
        <v>1026</v>
      </c>
      <c r="O168" s="47" t="s">
        <v>930</v>
      </c>
      <c r="P168" s="47" t="s">
        <v>930</v>
      </c>
      <c r="Q168" s="47" t="str">
        <f t="shared" si="7"/>
        <v xml:space="preserve"> Chiều T5</v>
      </c>
      <c r="R168" s="47" t="s">
        <v>973</v>
      </c>
      <c r="S168" s="47" t="s">
        <v>1027</v>
      </c>
      <c r="T168" s="47" t="s">
        <v>2083</v>
      </c>
      <c r="U168" s="47" t="s">
        <v>2084</v>
      </c>
      <c r="V168" s="47" t="s">
        <v>18</v>
      </c>
      <c r="W168" s="47" t="s">
        <v>931</v>
      </c>
      <c r="X168" s="47" t="s">
        <v>1030</v>
      </c>
      <c r="Y168" s="47" t="s">
        <v>40</v>
      </c>
      <c r="Z168" s="47" t="s">
        <v>1357</v>
      </c>
      <c r="AA168" s="47" t="s">
        <v>1358</v>
      </c>
      <c r="AB168" s="47" t="s">
        <v>1530</v>
      </c>
      <c r="AC168" s="47" t="s">
        <v>447</v>
      </c>
      <c r="AD168" s="47" t="s">
        <v>2085</v>
      </c>
      <c r="AE168" s="47" t="s">
        <v>937</v>
      </c>
      <c r="AF168" s="47" t="s">
        <v>931</v>
      </c>
      <c r="AG168" s="47" t="s">
        <v>931</v>
      </c>
      <c r="AH168" s="47" t="s">
        <v>931</v>
      </c>
      <c r="AI168" s="47" t="s">
        <v>931</v>
      </c>
      <c r="AJ168" s="47" t="s">
        <v>931</v>
      </c>
      <c r="AK168" s="47" t="s">
        <v>930</v>
      </c>
      <c r="AL168" s="47" t="s">
        <v>931</v>
      </c>
      <c r="AM168" s="47" t="s">
        <v>931</v>
      </c>
      <c r="AN168" s="37"/>
    </row>
    <row r="169" spans="1:40" hidden="1">
      <c r="A169" s="47" t="s">
        <v>982</v>
      </c>
      <c r="B169" s="47" t="s">
        <v>919</v>
      </c>
      <c r="C169" s="47" t="s">
        <v>2086</v>
      </c>
      <c r="D169" s="47">
        <f t="shared" si="6"/>
        <v>757077</v>
      </c>
      <c r="E169" s="47" t="s">
        <v>499</v>
      </c>
      <c r="F169" s="47" t="s">
        <v>500</v>
      </c>
      <c r="G169" s="47" t="s">
        <v>1590</v>
      </c>
      <c r="H169" s="47" t="s">
        <v>931</v>
      </c>
      <c r="I169" s="47" t="s">
        <v>2087</v>
      </c>
      <c r="J169" s="47" t="s">
        <v>944</v>
      </c>
      <c r="K169" s="47" t="s">
        <v>163</v>
      </c>
      <c r="L169" s="47" t="s">
        <v>1269</v>
      </c>
      <c r="M169" s="47" t="s">
        <v>1056</v>
      </c>
      <c r="N169" s="47" t="s">
        <v>1026</v>
      </c>
      <c r="O169" s="47" t="s">
        <v>930</v>
      </c>
      <c r="P169" s="47" t="s">
        <v>930</v>
      </c>
      <c r="Q169" s="47" t="str">
        <f t="shared" si="7"/>
        <v xml:space="preserve"> Sáng T3:</v>
      </c>
      <c r="R169" s="47" t="s">
        <v>947</v>
      </c>
      <c r="S169" s="47" t="s">
        <v>1070</v>
      </c>
      <c r="T169" s="47" t="s">
        <v>2088</v>
      </c>
      <c r="U169" s="47" t="s">
        <v>2089</v>
      </c>
      <c r="V169" s="47" t="s">
        <v>24</v>
      </c>
      <c r="W169" s="47" t="s">
        <v>931</v>
      </c>
      <c r="X169" s="47" t="s">
        <v>932</v>
      </c>
      <c r="Y169" s="47" t="s">
        <v>1590</v>
      </c>
      <c r="Z169" s="47" t="s">
        <v>1594</v>
      </c>
      <c r="AA169" s="47" t="s">
        <v>1595</v>
      </c>
      <c r="AB169" s="47" t="s">
        <v>1823</v>
      </c>
      <c r="AC169" s="47" t="s">
        <v>438</v>
      </c>
      <c r="AD169" s="47" t="s">
        <v>2090</v>
      </c>
      <c r="AE169" s="47" t="s">
        <v>937</v>
      </c>
      <c r="AF169" s="47" t="s">
        <v>931</v>
      </c>
      <c r="AG169" s="47" t="s">
        <v>931</v>
      </c>
      <c r="AH169" s="47" t="s">
        <v>364</v>
      </c>
      <c r="AI169" s="47" t="s">
        <v>931</v>
      </c>
      <c r="AJ169" s="47" t="s">
        <v>365</v>
      </c>
      <c r="AK169" s="47" t="s">
        <v>930</v>
      </c>
      <c r="AL169" s="47" t="s">
        <v>931</v>
      </c>
      <c r="AM169" s="47" t="s">
        <v>931</v>
      </c>
      <c r="AN169" s="37"/>
    </row>
    <row r="170" spans="1:40">
      <c r="A170" s="47" t="s">
        <v>982</v>
      </c>
      <c r="B170" s="47" t="s">
        <v>919</v>
      </c>
      <c r="C170" s="47" t="s">
        <v>2091</v>
      </c>
      <c r="D170" s="47">
        <f t="shared" si="6"/>
        <v>757011</v>
      </c>
      <c r="E170" s="47" t="s">
        <v>200</v>
      </c>
      <c r="F170" s="47" t="s">
        <v>191</v>
      </c>
      <c r="G170" s="47" t="s">
        <v>41</v>
      </c>
      <c r="H170" s="47" t="s">
        <v>1518</v>
      </c>
      <c r="I170" s="47" t="s">
        <v>2092</v>
      </c>
      <c r="J170" s="47" t="s">
        <v>1024</v>
      </c>
      <c r="K170" s="47" t="s">
        <v>163</v>
      </c>
      <c r="L170" s="47" t="s">
        <v>1003</v>
      </c>
      <c r="M170" s="47" t="s">
        <v>1025</v>
      </c>
      <c r="N170" s="47" t="s">
        <v>1026</v>
      </c>
      <c r="O170" s="47" t="s">
        <v>930</v>
      </c>
      <c r="P170" s="47" t="s">
        <v>930</v>
      </c>
      <c r="Q170" s="47" t="str">
        <f t="shared" si="7"/>
        <v xml:space="preserve"> Sáng T4:</v>
      </c>
      <c r="R170" s="47" t="s">
        <v>947</v>
      </c>
      <c r="S170" s="47" t="s">
        <v>1059</v>
      </c>
      <c r="T170" s="47" t="s">
        <v>2093</v>
      </c>
      <c r="U170" s="47" t="s">
        <v>2094</v>
      </c>
      <c r="V170" s="47" t="s">
        <v>25</v>
      </c>
      <c r="W170" s="47" t="s">
        <v>931</v>
      </c>
      <c r="X170" s="47" t="s">
        <v>1030</v>
      </c>
      <c r="Y170" s="47" t="s">
        <v>41</v>
      </c>
      <c r="Z170" s="47" t="s">
        <v>1111</v>
      </c>
      <c r="AA170" s="47" t="s">
        <v>1112</v>
      </c>
      <c r="AB170" s="47" t="s">
        <v>2078</v>
      </c>
      <c r="AC170" s="47" t="s">
        <v>447</v>
      </c>
      <c r="AD170" s="47" t="s">
        <v>2095</v>
      </c>
      <c r="AE170" s="47" t="s">
        <v>937</v>
      </c>
      <c r="AF170" s="47" t="s">
        <v>931</v>
      </c>
      <c r="AG170" s="47" t="s">
        <v>2096</v>
      </c>
      <c r="AH170" s="47" t="s">
        <v>931</v>
      </c>
      <c r="AI170" s="47" t="s">
        <v>931</v>
      </c>
      <c r="AJ170" s="47" t="s">
        <v>931</v>
      </c>
      <c r="AK170" s="47" t="s">
        <v>930</v>
      </c>
      <c r="AL170" s="47" t="s">
        <v>931</v>
      </c>
      <c r="AM170" s="47" t="s">
        <v>931</v>
      </c>
      <c r="AN170" s="37"/>
    </row>
    <row r="171" spans="1:40">
      <c r="A171" s="47" t="s">
        <v>982</v>
      </c>
      <c r="B171" s="47" t="s">
        <v>919</v>
      </c>
      <c r="C171" s="47" t="s">
        <v>2097</v>
      </c>
      <c r="D171" s="47">
        <f t="shared" si="6"/>
        <v>757006</v>
      </c>
      <c r="E171" s="47" t="s">
        <v>200</v>
      </c>
      <c r="F171" s="47" t="s">
        <v>191</v>
      </c>
      <c r="G171" s="47" t="s">
        <v>1986</v>
      </c>
      <c r="H171" s="47" t="s">
        <v>1518</v>
      </c>
      <c r="I171" s="47" t="s">
        <v>2098</v>
      </c>
      <c r="J171" s="47" t="s">
        <v>1024</v>
      </c>
      <c r="K171" s="47" t="s">
        <v>163</v>
      </c>
      <c r="L171" s="47" t="s">
        <v>1109</v>
      </c>
      <c r="M171" s="47" t="s">
        <v>1025</v>
      </c>
      <c r="N171" s="47" t="s">
        <v>1026</v>
      </c>
      <c r="O171" s="47" t="s">
        <v>930</v>
      </c>
      <c r="P171" s="47" t="s">
        <v>930</v>
      </c>
      <c r="Q171" s="47" t="str">
        <f t="shared" si="7"/>
        <v xml:space="preserve"> Chiều T6</v>
      </c>
      <c r="R171" s="47" t="s">
        <v>973</v>
      </c>
      <c r="S171" s="47" t="s">
        <v>1140</v>
      </c>
      <c r="T171" s="47" t="s">
        <v>2099</v>
      </c>
      <c r="U171" s="47" t="s">
        <v>2100</v>
      </c>
      <c r="V171" s="47" t="s">
        <v>18</v>
      </c>
      <c r="W171" s="47" t="s">
        <v>931</v>
      </c>
      <c r="X171" s="47" t="s">
        <v>1030</v>
      </c>
      <c r="Y171" s="47" t="s">
        <v>1986</v>
      </c>
      <c r="Z171" s="47" t="s">
        <v>1990</v>
      </c>
      <c r="AA171" s="47" t="s">
        <v>1991</v>
      </c>
      <c r="AB171" s="47" t="s">
        <v>2101</v>
      </c>
      <c r="AC171" s="47" t="s">
        <v>447</v>
      </c>
      <c r="AD171" s="47" t="s">
        <v>2102</v>
      </c>
      <c r="AE171" s="47" t="s">
        <v>937</v>
      </c>
      <c r="AF171" s="47" t="s">
        <v>931</v>
      </c>
      <c r="AG171" s="47" t="s">
        <v>2103</v>
      </c>
      <c r="AH171" s="47" t="s">
        <v>931</v>
      </c>
      <c r="AI171" s="47" t="s">
        <v>931</v>
      </c>
      <c r="AJ171" s="47" t="s">
        <v>931</v>
      </c>
      <c r="AK171" s="47" t="s">
        <v>930</v>
      </c>
      <c r="AL171" s="47" t="s">
        <v>931</v>
      </c>
      <c r="AM171" s="47" t="s">
        <v>931</v>
      </c>
      <c r="AN171" s="37"/>
    </row>
    <row r="172" spans="1:40">
      <c r="A172" s="47" t="s">
        <v>982</v>
      </c>
      <c r="B172" s="47" t="s">
        <v>919</v>
      </c>
      <c r="C172" s="47" t="s">
        <v>2104</v>
      </c>
      <c r="D172" s="47">
        <f t="shared" si="6"/>
        <v>757014</v>
      </c>
      <c r="E172" s="47" t="s">
        <v>200</v>
      </c>
      <c r="F172" s="47" t="s">
        <v>191</v>
      </c>
      <c r="G172" s="47" t="s">
        <v>35</v>
      </c>
      <c r="H172" s="47" t="s">
        <v>1518</v>
      </c>
      <c r="I172" s="47" t="s">
        <v>2105</v>
      </c>
      <c r="J172" s="47" t="s">
        <v>1024</v>
      </c>
      <c r="K172" s="47" t="s">
        <v>163</v>
      </c>
      <c r="L172" s="47" t="s">
        <v>1109</v>
      </c>
      <c r="M172" s="47" t="s">
        <v>1025</v>
      </c>
      <c r="N172" s="47" t="s">
        <v>1026</v>
      </c>
      <c r="O172" s="47" t="s">
        <v>930</v>
      </c>
      <c r="P172" s="47" t="s">
        <v>930</v>
      </c>
      <c r="Q172" s="47" t="str">
        <f t="shared" si="7"/>
        <v xml:space="preserve"> Chiều T4</v>
      </c>
      <c r="R172" s="47" t="s">
        <v>973</v>
      </c>
      <c r="S172" s="47" t="s">
        <v>1059</v>
      </c>
      <c r="T172" s="47" t="s">
        <v>2106</v>
      </c>
      <c r="U172" s="47" t="s">
        <v>2107</v>
      </c>
      <c r="V172" s="47" t="s">
        <v>25</v>
      </c>
      <c r="W172" s="47" t="s">
        <v>931</v>
      </c>
      <c r="X172" s="47" t="s">
        <v>1030</v>
      </c>
      <c r="Y172" s="47" t="s">
        <v>35</v>
      </c>
      <c r="Z172" s="47" t="s">
        <v>1133</v>
      </c>
      <c r="AA172" s="47" t="s">
        <v>1134</v>
      </c>
      <c r="AB172" s="47" t="s">
        <v>1120</v>
      </c>
      <c r="AC172" s="47" t="s">
        <v>447</v>
      </c>
      <c r="AD172" s="47" t="s">
        <v>2108</v>
      </c>
      <c r="AE172" s="47" t="s">
        <v>937</v>
      </c>
      <c r="AF172" s="47" t="s">
        <v>931</v>
      </c>
      <c r="AG172" s="47" t="s">
        <v>2109</v>
      </c>
      <c r="AH172" s="47" t="s">
        <v>931</v>
      </c>
      <c r="AI172" s="47" t="s">
        <v>931</v>
      </c>
      <c r="AJ172" s="47" t="s">
        <v>931</v>
      </c>
      <c r="AK172" s="47" t="s">
        <v>930</v>
      </c>
      <c r="AL172" s="47" t="s">
        <v>931</v>
      </c>
      <c r="AM172" s="47" t="s">
        <v>931</v>
      </c>
      <c r="AN172" s="37"/>
    </row>
    <row r="173" spans="1:40">
      <c r="A173" s="47" t="s">
        <v>982</v>
      </c>
      <c r="B173" s="47" t="s">
        <v>919</v>
      </c>
      <c r="C173" s="47" t="s">
        <v>2110</v>
      </c>
      <c r="D173" s="47">
        <f t="shared" si="6"/>
        <v>757012</v>
      </c>
      <c r="E173" s="47" t="s">
        <v>200</v>
      </c>
      <c r="F173" s="47" t="s">
        <v>191</v>
      </c>
      <c r="G173" s="47" t="s">
        <v>39</v>
      </c>
      <c r="H173" s="47" t="s">
        <v>931</v>
      </c>
      <c r="I173" s="47" t="s">
        <v>2111</v>
      </c>
      <c r="J173" s="47" t="s">
        <v>1024</v>
      </c>
      <c r="K173" s="47" t="s">
        <v>163</v>
      </c>
      <c r="L173" s="47" t="s">
        <v>1432</v>
      </c>
      <c r="M173" s="47" t="s">
        <v>1025</v>
      </c>
      <c r="N173" s="47" t="s">
        <v>1026</v>
      </c>
      <c r="O173" s="47" t="s">
        <v>930</v>
      </c>
      <c r="P173" s="47" t="s">
        <v>930</v>
      </c>
      <c r="Q173" s="47" t="str">
        <f t="shared" si="7"/>
        <v xml:space="preserve"> Sáng T5:</v>
      </c>
      <c r="R173" s="47" t="s">
        <v>947</v>
      </c>
      <c r="S173" s="47" t="s">
        <v>1027</v>
      </c>
      <c r="T173" s="47" t="s">
        <v>2112</v>
      </c>
      <c r="U173" s="47" t="s">
        <v>2113</v>
      </c>
      <c r="V173" s="47" t="s">
        <v>25</v>
      </c>
      <c r="W173" s="47" t="s">
        <v>931</v>
      </c>
      <c r="X173" s="47" t="s">
        <v>1030</v>
      </c>
      <c r="Y173" s="47" t="s">
        <v>39</v>
      </c>
      <c r="Z173" s="47" t="s">
        <v>1031</v>
      </c>
      <c r="AA173" s="47" t="s">
        <v>1032</v>
      </c>
      <c r="AB173" s="47" t="s">
        <v>1120</v>
      </c>
      <c r="AC173" s="47" t="s">
        <v>447</v>
      </c>
      <c r="AD173" s="47" t="s">
        <v>2114</v>
      </c>
      <c r="AE173" s="47" t="s">
        <v>937</v>
      </c>
      <c r="AF173" s="47" t="s">
        <v>931</v>
      </c>
      <c r="AG173" s="47" t="s">
        <v>931</v>
      </c>
      <c r="AH173" s="47" t="s">
        <v>931</v>
      </c>
      <c r="AI173" s="47" t="s">
        <v>931</v>
      </c>
      <c r="AJ173" s="47" t="s">
        <v>931</v>
      </c>
      <c r="AK173" s="47" t="s">
        <v>930</v>
      </c>
      <c r="AL173" s="47" t="s">
        <v>931</v>
      </c>
      <c r="AM173" s="47" t="s">
        <v>931</v>
      </c>
      <c r="AN173" s="37"/>
    </row>
    <row r="174" spans="1:40" hidden="1">
      <c r="A174" s="47" t="s">
        <v>982</v>
      </c>
      <c r="B174" s="47" t="s">
        <v>919</v>
      </c>
      <c r="C174" s="47" t="s">
        <v>2115</v>
      </c>
      <c r="D174" s="47">
        <f t="shared" si="6"/>
        <v>757035</v>
      </c>
      <c r="E174" s="47" t="s">
        <v>239</v>
      </c>
      <c r="F174" s="47" t="s">
        <v>240</v>
      </c>
      <c r="G174" s="47" t="s">
        <v>833</v>
      </c>
      <c r="H174" s="47" t="s">
        <v>931</v>
      </c>
      <c r="I174" s="47" t="s">
        <v>2116</v>
      </c>
      <c r="J174" s="47" t="s">
        <v>944</v>
      </c>
      <c r="K174" s="47" t="s">
        <v>163</v>
      </c>
      <c r="L174" s="47" t="s">
        <v>1109</v>
      </c>
      <c r="M174" s="47" t="s">
        <v>1056</v>
      </c>
      <c r="N174" s="47" t="s">
        <v>1026</v>
      </c>
      <c r="O174" s="47" t="s">
        <v>930</v>
      </c>
      <c r="P174" s="47" t="s">
        <v>930</v>
      </c>
      <c r="Q174" s="47" t="str">
        <f t="shared" si="7"/>
        <v xml:space="preserve"> Sáng T3:</v>
      </c>
      <c r="R174" s="47" t="s">
        <v>947</v>
      </c>
      <c r="S174" s="47"/>
      <c r="T174" s="47" t="s">
        <v>2117</v>
      </c>
      <c r="U174" s="47" t="s">
        <v>2118</v>
      </c>
      <c r="V174" s="47" t="s">
        <v>442</v>
      </c>
      <c r="W174" s="47" t="s">
        <v>931</v>
      </c>
      <c r="X174" s="47" t="s">
        <v>995</v>
      </c>
      <c r="Y174" s="47" t="s">
        <v>833</v>
      </c>
      <c r="Z174" s="47" t="s">
        <v>2119</v>
      </c>
      <c r="AA174" s="47" t="s">
        <v>2120</v>
      </c>
      <c r="AB174" s="47" t="s">
        <v>931</v>
      </c>
      <c r="AC174" s="47" t="s">
        <v>1202</v>
      </c>
      <c r="AD174" s="47" t="s">
        <v>2121</v>
      </c>
      <c r="AE174" s="47" t="s">
        <v>937</v>
      </c>
      <c r="AF174" s="47" t="s">
        <v>931</v>
      </c>
      <c r="AG174" s="47" t="s">
        <v>931</v>
      </c>
      <c r="AH174" s="47" t="s">
        <v>364</v>
      </c>
      <c r="AI174" s="47" t="s">
        <v>931</v>
      </c>
      <c r="AJ174" s="47" t="s">
        <v>365</v>
      </c>
      <c r="AK174" s="47" t="s">
        <v>930</v>
      </c>
      <c r="AL174" s="47" t="s">
        <v>931</v>
      </c>
      <c r="AM174" s="47" t="s">
        <v>931</v>
      </c>
      <c r="AN174" s="37"/>
    </row>
    <row r="175" spans="1:40" hidden="1">
      <c r="A175" s="47" t="s">
        <v>982</v>
      </c>
      <c r="B175" s="47" t="s">
        <v>919</v>
      </c>
      <c r="C175" s="47" t="s">
        <v>2122</v>
      </c>
      <c r="D175" s="47">
        <f t="shared" si="6"/>
        <v>757048</v>
      </c>
      <c r="E175" s="47" t="s">
        <v>1718</v>
      </c>
      <c r="F175" s="47" t="s">
        <v>1719</v>
      </c>
      <c r="G175" s="47" t="s">
        <v>1590</v>
      </c>
      <c r="H175" s="47" t="s">
        <v>931</v>
      </c>
      <c r="I175" s="47" t="s">
        <v>2123</v>
      </c>
      <c r="J175" s="47" t="s">
        <v>1024</v>
      </c>
      <c r="K175" s="47" t="s">
        <v>163</v>
      </c>
      <c r="L175" s="47" t="s">
        <v>1015</v>
      </c>
      <c r="M175" s="47" t="s">
        <v>928</v>
      </c>
      <c r="N175" s="47" t="s">
        <v>1026</v>
      </c>
      <c r="O175" s="47" t="s">
        <v>930</v>
      </c>
      <c r="P175" s="47" t="s">
        <v>930</v>
      </c>
      <c r="Q175" s="47" t="str">
        <f t="shared" si="7"/>
        <v xml:space="preserve"> Chiều T4</v>
      </c>
      <c r="R175" s="47" t="s">
        <v>973</v>
      </c>
      <c r="S175" s="47"/>
      <c r="T175" s="47" t="s">
        <v>2124</v>
      </c>
      <c r="U175" s="47" t="s">
        <v>2125</v>
      </c>
      <c r="V175" s="47" t="s">
        <v>442</v>
      </c>
      <c r="W175" s="47" t="s">
        <v>931</v>
      </c>
      <c r="X175" s="47" t="s">
        <v>932</v>
      </c>
      <c r="Y175" s="47" t="s">
        <v>1590</v>
      </c>
      <c r="Z175" s="47" t="s">
        <v>1594</v>
      </c>
      <c r="AA175" s="47" t="s">
        <v>1595</v>
      </c>
      <c r="AB175" s="47" t="s">
        <v>1726</v>
      </c>
      <c r="AC175" s="47" t="s">
        <v>451</v>
      </c>
      <c r="AD175" s="47" t="s">
        <v>2126</v>
      </c>
      <c r="AE175" s="47" t="s">
        <v>937</v>
      </c>
      <c r="AF175" s="47" t="s">
        <v>931</v>
      </c>
      <c r="AG175" s="47" t="s">
        <v>931</v>
      </c>
      <c r="AH175" s="47" t="s">
        <v>1067</v>
      </c>
      <c r="AI175" s="47" t="s">
        <v>931</v>
      </c>
      <c r="AJ175" s="47" t="s">
        <v>365</v>
      </c>
      <c r="AK175" s="47" t="s">
        <v>930</v>
      </c>
      <c r="AL175" s="47" t="s">
        <v>931</v>
      </c>
      <c r="AM175" s="47" t="s">
        <v>931</v>
      </c>
      <c r="AN175" s="37"/>
    </row>
    <row r="176" spans="1:40">
      <c r="A176" s="47" t="s">
        <v>982</v>
      </c>
      <c r="B176" s="47" t="s">
        <v>919</v>
      </c>
      <c r="C176" s="47" t="s">
        <v>2127</v>
      </c>
      <c r="D176" s="47">
        <f t="shared" si="6"/>
        <v>756999</v>
      </c>
      <c r="E176" s="47" t="s">
        <v>200</v>
      </c>
      <c r="F176" s="47" t="s">
        <v>191</v>
      </c>
      <c r="G176" s="47" t="s">
        <v>40</v>
      </c>
      <c r="H176" s="47" t="s">
        <v>931</v>
      </c>
      <c r="I176" s="47" t="s">
        <v>2128</v>
      </c>
      <c r="J176" s="47" t="s">
        <v>1024</v>
      </c>
      <c r="K176" s="47" t="s">
        <v>163</v>
      </c>
      <c r="L176" s="47" t="s">
        <v>1025</v>
      </c>
      <c r="M176" s="47" t="s">
        <v>1025</v>
      </c>
      <c r="N176" s="47" t="s">
        <v>1026</v>
      </c>
      <c r="O176" s="47" t="s">
        <v>930</v>
      </c>
      <c r="P176" s="47" t="s">
        <v>930</v>
      </c>
      <c r="Q176" s="47" t="str">
        <f t="shared" si="7"/>
        <v xml:space="preserve"> Chiều T4</v>
      </c>
      <c r="R176" s="47" t="s">
        <v>973</v>
      </c>
      <c r="S176" s="47" t="s">
        <v>1059</v>
      </c>
      <c r="T176" s="47" t="s">
        <v>2129</v>
      </c>
      <c r="U176" s="47" t="s">
        <v>2130</v>
      </c>
      <c r="V176" s="47" t="s">
        <v>18</v>
      </c>
      <c r="W176" s="47" t="s">
        <v>931</v>
      </c>
      <c r="X176" s="47" t="s">
        <v>1030</v>
      </c>
      <c r="Y176" s="47" t="s">
        <v>40</v>
      </c>
      <c r="Z176" s="47" t="s">
        <v>1357</v>
      </c>
      <c r="AA176" s="47" t="s">
        <v>1358</v>
      </c>
      <c r="AB176" s="47" t="s">
        <v>2101</v>
      </c>
      <c r="AC176" s="47" t="s">
        <v>447</v>
      </c>
      <c r="AD176" s="47" t="s">
        <v>2131</v>
      </c>
      <c r="AE176" s="47" t="s">
        <v>937</v>
      </c>
      <c r="AF176" s="47" t="s">
        <v>931</v>
      </c>
      <c r="AG176" s="47" t="s">
        <v>931</v>
      </c>
      <c r="AH176" s="47" t="s">
        <v>931</v>
      </c>
      <c r="AI176" s="47" t="s">
        <v>931</v>
      </c>
      <c r="AJ176" s="47" t="s">
        <v>931</v>
      </c>
      <c r="AK176" s="47" t="s">
        <v>930</v>
      </c>
      <c r="AL176" s="47" t="s">
        <v>931</v>
      </c>
      <c r="AM176" s="47" t="s">
        <v>931</v>
      </c>
      <c r="AN176" s="37"/>
    </row>
    <row r="177" spans="1:40" hidden="1">
      <c r="A177" s="47" t="s">
        <v>982</v>
      </c>
      <c r="B177" s="47" t="s">
        <v>919</v>
      </c>
      <c r="C177" s="47" t="s">
        <v>2132</v>
      </c>
      <c r="D177" s="47">
        <f t="shared" si="6"/>
        <v>757032</v>
      </c>
      <c r="E177" s="47" t="s">
        <v>431</v>
      </c>
      <c r="F177" s="47" t="s">
        <v>432</v>
      </c>
      <c r="G177" s="47" t="s">
        <v>1617</v>
      </c>
      <c r="H177" s="47" t="s">
        <v>931</v>
      </c>
      <c r="I177" s="47" t="s">
        <v>2133</v>
      </c>
      <c r="J177" s="47" t="s">
        <v>1354</v>
      </c>
      <c r="K177" s="47" t="s">
        <v>163</v>
      </c>
      <c r="L177" s="47" t="s">
        <v>1015</v>
      </c>
      <c r="M177" s="47" t="s">
        <v>928</v>
      </c>
      <c r="N177" s="47" t="s">
        <v>1026</v>
      </c>
      <c r="O177" s="47" t="s">
        <v>930</v>
      </c>
      <c r="P177" s="47" t="s">
        <v>930</v>
      </c>
      <c r="Q177" s="47" t="str">
        <f t="shared" si="7"/>
        <v xml:space="preserve"> Chiều T3</v>
      </c>
      <c r="R177" s="47" t="s">
        <v>973</v>
      </c>
      <c r="S177" s="47"/>
      <c r="T177" s="47" t="s">
        <v>2134</v>
      </c>
      <c r="U177" s="47" t="s">
        <v>2135</v>
      </c>
      <c r="V177" s="47" t="s">
        <v>442</v>
      </c>
      <c r="W177" s="47" t="s">
        <v>931</v>
      </c>
      <c r="X177" s="47" t="s">
        <v>995</v>
      </c>
      <c r="Y177" s="47" t="s">
        <v>1617</v>
      </c>
      <c r="Z177" s="47" t="s">
        <v>1620</v>
      </c>
      <c r="AA177" s="47" t="s">
        <v>1621</v>
      </c>
      <c r="AB177" s="47" t="s">
        <v>2136</v>
      </c>
      <c r="AC177" s="47" t="s">
        <v>1202</v>
      </c>
      <c r="AD177" s="47" t="s">
        <v>2137</v>
      </c>
      <c r="AE177" s="47" t="s">
        <v>937</v>
      </c>
      <c r="AF177" s="47" t="s">
        <v>931</v>
      </c>
      <c r="AG177" s="47" t="s">
        <v>931</v>
      </c>
      <c r="AH177" s="47" t="s">
        <v>364</v>
      </c>
      <c r="AI177" s="47" t="s">
        <v>931</v>
      </c>
      <c r="AJ177" s="47" t="s">
        <v>365</v>
      </c>
      <c r="AK177" s="47" t="s">
        <v>930</v>
      </c>
      <c r="AL177" s="47" t="s">
        <v>931</v>
      </c>
      <c r="AM177" s="47" t="s">
        <v>931</v>
      </c>
      <c r="AN177" s="37"/>
    </row>
    <row r="178" spans="1:40" hidden="1">
      <c r="A178" s="47" t="s">
        <v>982</v>
      </c>
      <c r="B178" s="47" t="s">
        <v>919</v>
      </c>
      <c r="C178" s="47" t="s">
        <v>2138</v>
      </c>
      <c r="D178" s="47">
        <f t="shared" si="6"/>
        <v>757049</v>
      </c>
      <c r="E178" s="47" t="s">
        <v>1718</v>
      </c>
      <c r="F178" s="47" t="s">
        <v>1719</v>
      </c>
      <c r="G178" s="47" t="s">
        <v>1720</v>
      </c>
      <c r="H178" s="47" t="s">
        <v>931</v>
      </c>
      <c r="I178" s="47" t="s">
        <v>2139</v>
      </c>
      <c r="J178" s="47" t="s">
        <v>1024</v>
      </c>
      <c r="K178" s="47" t="s">
        <v>163</v>
      </c>
      <c r="L178" s="47" t="s">
        <v>1015</v>
      </c>
      <c r="M178" s="47" t="s">
        <v>928</v>
      </c>
      <c r="N178" s="47" t="s">
        <v>1026</v>
      </c>
      <c r="O178" s="47" t="s">
        <v>930</v>
      </c>
      <c r="P178" s="47" t="s">
        <v>930</v>
      </c>
      <c r="Q178" s="47" t="str">
        <f t="shared" si="7"/>
        <v xml:space="preserve"> Chiều T4</v>
      </c>
      <c r="R178" s="47" t="s">
        <v>973</v>
      </c>
      <c r="S178" s="47"/>
      <c r="T178" s="47" t="s">
        <v>2140</v>
      </c>
      <c r="U178" s="47" t="s">
        <v>2141</v>
      </c>
      <c r="V178" s="47" t="s">
        <v>442</v>
      </c>
      <c r="W178" s="47" t="s">
        <v>931</v>
      </c>
      <c r="X178" s="47" t="s">
        <v>932</v>
      </c>
      <c r="Y178" s="47" t="s">
        <v>1720</v>
      </c>
      <c r="Z178" s="47" t="s">
        <v>1724</v>
      </c>
      <c r="AA178" s="47" t="s">
        <v>1725</v>
      </c>
      <c r="AB178" s="47" t="s">
        <v>2078</v>
      </c>
      <c r="AC178" s="47" t="s">
        <v>451</v>
      </c>
      <c r="AD178" s="47" t="s">
        <v>2142</v>
      </c>
      <c r="AE178" s="47" t="s">
        <v>937</v>
      </c>
      <c r="AF178" s="47" t="s">
        <v>931</v>
      </c>
      <c r="AG178" s="47" t="s">
        <v>931</v>
      </c>
      <c r="AH178" s="47" t="s">
        <v>1067</v>
      </c>
      <c r="AI178" s="47" t="s">
        <v>931</v>
      </c>
      <c r="AJ178" s="47" t="s">
        <v>365</v>
      </c>
      <c r="AK178" s="47" t="s">
        <v>930</v>
      </c>
      <c r="AL178" s="47" t="s">
        <v>931</v>
      </c>
      <c r="AM178" s="47" t="s">
        <v>931</v>
      </c>
      <c r="AN178" s="37"/>
    </row>
    <row r="179" spans="1:40" hidden="1">
      <c r="A179" s="47" t="s">
        <v>982</v>
      </c>
      <c r="B179" s="47" t="s">
        <v>919</v>
      </c>
      <c r="C179" s="47" t="s">
        <v>2143</v>
      </c>
      <c r="D179" s="47">
        <f t="shared" si="6"/>
        <v>757044</v>
      </c>
      <c r="E179" s="47" t="s">
        <v>1718</v>
      </c>
      <c r="F179" s="47" t="s">
        <v>1719</v>
      </c>
      <c r="G179" s="47" t="s">
        <v>1625</v>
      </c>
      <c r="H179" s="47" t="s">
        <v>1753</v>
      </c>
      <c r="I179" s="47" t="s">
        <v>2144</v>
      </c>
      <c r="J179" s="47" t="s">
        <v>1024</v>
      </c>
      <c r="K179" s="47" t="s">
        <v>163</v>
      </c>
      <c r="L179" s="47" t="s">
        <v>1015</v>
      </c>
      <c r="M179" s="47" t="s">
        <v>928</v>
      </c>
      <c r="N179" s="47" t="s">
        <v>1026</v>
      </c>
      <c r="O179" s="47" t="s">
        <v>930</v>
      </c>
      <c r="P179" s="47" t="s">
        <v>930</v>
      </c>
      <c r="Q179" s="47" t="str">
        <f t="shared" si="7"/>
        <v xml:space="preserve"> Sáng T6:</v>
      </c>
      <c r="R179" s="47" t="s">
        <v>947</v>
      </c>
      <c r="S179" s="47"/>
      <c r="T179" s="47" t="s">
        <v>2145</v>
      </c>
      <c r="U179" s="47" t="s">
        <v>2146</v>
      </c>
      <c r="V179" s="47" t="s">
        <v>442</v>
      </c>
      <c r="W179" s="47" t="s">
        <v>931</v>
      </c>
      <c r="X179" s="47" t="s">
        <v>932</v>
      </c>
      <c r="Y179" s="47" t="s">
        <v>1625</v>
      </c>
      <c r="Z179" s="47" t="s">
        <v>1629</v>
      </c>
      <c r="AA179" s="47" t="s">
        <v>1630</v>
      </c>
      <c r="AB179" s="47" t="s">
        <v>1522</v>
      </c>
      <c r="AC179" s="47" t="s">
        <v>451</v>
      </c>
      <c r="AD179" s="47" t="s">
        <v>2147</v>
      </c>
      <c r="AE179" s="47" t="s">
        <v>937</v>
      </c>
      <c r="AF179" s="47" t="s">
        <v>931</v>
      </c>
      <c r="AG179" s="47" t="s">
        <v>2148</v>
      </c>
      <c r="AH179" s="47" t="s">
        <v>1067</v>
      </c>
      <c r="AI179" s="47" t="s">
        <v>931</v>
      </c>
      <c r="AJ179" s="47" t="s">
        <v>365</v>
      </c>
      <c r="AK179" s="47" t="s">
        <v>930</v>
      </c>
      <c r="AL179" s="47" t="s">
        <v>931</v>
      </c>
      <c r="AM179" s="47" t="s">
        <v>931</v>
      </c>
      <c r="AN179" s="37"/>
    </row>
    <row r="180" spans="1:40" hidden="1">
      <c r="A180" s="47" t="s">
        <v>982</v>
      </c>
      <c r="B180" s="47" t="s">
        <v>919</v>
      </c>
      <c r="C180" s="47" t="s">
        <v>2149</v>
      </c>
      <c r="D180" s="47">
        <f t="shared" si="6"/>
        <v>757041</v>
      </c>
      <c r="E180" s="47" t="s">
        <v>239</v>
      </c>
      <c r="F180" s="47" t="s">
        <v>240</v>
      </c>
      <c r="G180" s="47" t="s">
        <v>833</v>
      </c>
      <c r="H180" s="47" t="s">
        <v>931</v>
      </c>
      <c r="I180" s="47" t="s">
        <v>2150</v>
      </c>
      <c r="J180" s="47" t="s">
        <v>944</v>
      </c>
      <c r="K180" s="47" t="s">
        <v>163</v>
      </c>
      <c r="L180" s="47" t="s">
        <v>1015</v>
      </c>
      <c r="M180" s="47" t="s">
        <v>928</v>
      </c>
      <c r="N180" s="47" t="s">
        <v>1026</v>
      </c>
      <c r="O180" s="47" t="s">
        <v>930</v>
      </c>
      <c r="P180" s="47" t="s">
        <v>930</v>
      </c>
      <c r="Q180" s="47" t="str">
        <f t="shared" si="7"/>
        <v xml:space="preserve"> Sáng T5:</v>
      </c>
      <c r="R180" s="47" t="s">
        <v>947</v>
      </c>
      <c r="S180" s="47"/>
      <c r="T180" s="47" t="s">
        <v>2151</v>
      </c>
      <c r="U180" s="47" t="s">
        <v>2152</v>
      </c>
      <c r="V180" s="47" t="s">
        <v>442</v>
      </c>
      <c r="W180" s="47" t="s">
        <v>931</v>
      </c>
      <c r="X180" s="47" t="s">
        <v>995</v>
      </c>
      <c r="Y180" s="47" t="s">
        <v>833</v>
      </c>
      <c r="Z180" s="47" t="s">
        <v>2119</v>
      </c>
      <c r="AA180" s="47" t="s">
        <v>2120</v>
      </c>
      <c r="AB180" s="47" t="s">
        <v>931</v>
      </c>
      <c r="AC180" s="47" t="s">
        <v>1202</v>
      </c>
      <c r="AD180" s="47" t="s">
        <v>2153</v>
      </c>
      <c r="AE180" s="47" t="s">
        <v>937</v>
      </c>
      <c r="AF180" s="47" t="s">
        <v>931</v>
      </c>
      <c r="AG180" s="47" t="s">
        <v>931</v>
      </c>
      <c r="AH180" s="47" t="s">
        <v>364</v>
      </c>
      <c r="AI180" s="47" t="s">
        <v>931</v>
      </c>
      <c r="AJ180" s="47" t="s">
        <v>365</v>
      </c>
      <c r="AK180" s="47" t="s">
        <v>930</v>
      </c>
      <c r="AL180" s="47" t="s">
        <v>931</v>
      </c>
      <c r="AM180" s="47" t="s">
        <v>931</v>
      </c>
      <c r="AN180" s="37"/>
    </row>
    <row r="181" spans="1:40" hidden="1">
      <c r="A181" s="47" t="s">
        <v>982</v>
      </c>
      <c r="B181" s="47" t="s">
        <v>919</v>
      </c>
      <c r="C181" s="47" t="s">
        <v>2154</v>
      </c>
      <c r="D181" s="47">
        <f t="shared" si="6"/>
        <v>757039</v>
      </c>
      <c r="E181" s="47" t="s">
        <v>239</v>
      </c>
      <c r="F181" s="47" t="s">
        <v>240</v>
      </c>
      <c r="G181" s="47" t="s">
        <v>833</v>
      </c>
      <c r="H181" s="47" t="s">
        <v>931</v>
      </c>
      <c r="I181" s="47" t="s">
        <v>2155</v>
      </c>
      <c r="J181" s="47" t="s">
        <v>944</v>
      </c>
      <c r="K181" s="47" t="s">
        <v>163</v>
      </c>
      <c r="L181" s="47" t="s">
        <v>1057</v>
      </c>
      <c r="M181" s="47" t="s">
        <v>1056</v>
      </c>
      <c r="N181" s="47" t="s">
        <v>1026</v>
      </c>
      <c r="O181" s="47" t="s">
        <v>930</v>
      </c>
      <c r="P181" s="47" t="s">
        <v>930</v>
      </c>
      <c r="Q181" s="47" t="str">
        <f t="shared" si="7"/>
        <v xml:space="preserve"> Sáng T2:</v>
      </c>
      <c r="R181" s="47" t="s">
        <v>947</v>
      </c>
      <c r="S181" s="47" t="s">
        <v>1103</v>
      </c>
      <c r="T181" s="47" t="s">
        <v>2156</v>
      </c>
      <c r="U181" s="47" t="s">
        <v>2157</v>
      </c>
      <c r="V181" s="47" t="s">
        <v>27</v>
      </c>
      <c r="W181" s="47" t="s">
        <v>931</v>
      </c>
      <c r="X181" s="47" t="s">
        <v>995</v>
      </c>
      <c r="Y181" s="47" t="s">
        <v>833</v>
      </c>
      <c r="Z181" s="47" t="s">
        <v>2119</v>
      </c>
      <c r="AA181" s="47" t="s">
        <v>2120</v>
      </c>
      <c r="AB181" s="47" t="s">
        <v>931</v>
      </c>
      <c r="AC181" s="47" t="s">
        <v>1202</v>
      </c>
      <c r="AD181" s="47" t="s">
        <v>2158</v>
      </c>
      <c r="AE181" s="47" t="s">
        <v>937</v>
      </c>
      <c r="AF181" s="47" t="s">
        <v>931</v>
      </c>
      <c r="AG181" s="47" t="s">
        <v>931</v>
      </c>
      <c r="AH181" s="47" t="s">
        <v>364</v>
      </c>
      <c r="AI181" s="47" t="s">
        <v>931</v>
      </c>
      <c r="AJ181" s="47" t="s">
        <v>365</v>
      </c>
      <c r="AK181" s="47" t="s">
        <v>930</v>
      </c>
      <c r="AL181" s="47" t="s">
        <v>931</v>
      </c>
      <c r="AM181" s="47" t="s">
        <v>931</v>
      </c>
      <c r="AN181" s="37"/>
    </row>
    <row r="182" spans="1:40" hidden="1">
      <c r="A182" s="47" t="s">
        <v>982</v>
      </c>
      <c r="B182" s="47" t="s">
        <v>919</v>
      </c>
      <c r="C182" s="47" t="s">
        <v>2159</v>
      </c>
      <c r="D182" s="47">
        <f t="shared" si="6"/>
        <v>757030</v>
      </c>
      <c r="E182" s="47" t="s">
        <v>431</v>
      </c>
      <c r="F182" s="47" t="s">
        <v>432</v>
      </c>
      <c r="G182" s="47" t="s">
        <v>1617</v>
      </c>
      <c r="H182" s="47" t="s">
        <v>931</v>
      </c>
      <c r="I182" s="47" t="s">
        <v>2160</v>
      </c>
      <c r="J182" s="47" t="s">
        <v>1354</v>
      </c>
      <c r="K182" s="47" t="s">
        <v>163</v>
      </c>
      <c r="L182" s="47" t="s">
        <v>2161</v>
      </c>
      <c r="M182" s="47" t="s">
        <v>928</v>
      </c>
      <c r="N182" s="47" t="s">
        <v>1026</v>
      </c>
      <c r="O182" s="47" t="s">
        <v>930</v>
      </c>
      <c r="P182" s="47" t="s">
        <v>930</v>
      </c>
      <c r="Q182" s="47" t="str">
        <f t="shared" si="7"/>
        <v xml:space="preserve"> Chiều T2</v>
      </c>
      <c r="R182" s="47" t="s">
        <v>973</v>
      </c>
      <c r="S182" s="47"/>
      <c r="T182" s="47" t="s">
        <v>2162</v>
      </c>
      <c r="U182" s="47" t="s">
        <v>2163</v>
      </c>
      <c r="V182" s="47" t="s">
        <v>442</v>
      </c>
      <c r="W182" s="47" t="s">
        <v>931</v>
      </c>
      <c r="X182" s="47" t="s">
        <v>995</v>
      </c>
      <c r="Y182" s="47" t="s">
        <v>1617</v>
      </c>
      <c r="Z182" s="47" t="s">
        <v>1620</v>
      </c>
      <c r="AA182" s="47" t="s">
        <v>1621</v>
      </c>
      <c r="AB182" s="47" t="s">
        <v>2164</v>
      </c>
      <c r="AC182" s="47" t="s">
        <v>1202</v>
      </c>
      <c r="AD182" s="47" t="s">
        <v>2165</v>
      </c>
      <c r="AE182" s="47" t="s">
        <v>937</v>
      </c>
      <c r="AF182" s="47" t="s">
        <v>931</v>
      </c>
      <c r="AG182" s="47" t="s">
        <v>931</v>
      </c>
      <c r="AH182" s="47" t="s">
        <v>364</v>
      </c>
      <c r="AI182" s="47" t="s">
        <v>931</v>
      </c>
      <c r="AJ182" s="47" t="s">
        <v>365</v>
      </c>
      <c r="AK182" s="47" t="s">
        <v>930</v>
      </c>
      <c r="AL182" s="47" t="s">
        <v>931</v>
      </c>
      <c r="AM182" s="47" t="s">
        <v>931</v>
      </c>
      <c r="AN182" s="37"/>
    </row>
    <row r="183" spans="1:40" hidden="1">
      <c r="A183" s="47" t="s">
        <v>982</v>
      </c>
      <c r="B183" s="47" t="s">
        <v>919</v>
      </c>
      <c r="C183" s="47" t="s">
        <v>2166</v>
      </c>
      <c r="D183" s="47">
        <f t="shared" si="6"/>
        <v>757045</v>
      </c>
      <c r="E183" s="47" t="s">
        <v>1718</v>
      </c>
      <c r="F183" s="47" t="s">
        <v>1719</v>
      </c>
      <c r="G183" s="47" t="s">
        <v>869</v>
      </c>
      <c r="H183" s="47" t="s">
        <v>1753</v>
      </c>
      <c r="I183" s="47" t="s">
        <v>2167</v>
      </c>
      <c r="J183" s="47" t="s">
        <v>1024</v>
      </c>
      <c r="K183" s="47" t="s">
        <v>163</v>
      </c>
      <c r="L183" s="47" t="s">
        <v>2161</v>
      </c>
      <c r="M183" s="47" t="s">
        <v>928</v>
      </c>
      <c r="N183" s="47" t="s">
        <v>1026</v>
      </c>
      <c r="O183" s="47" t="s">
        <v>930</v>
      </c>
      <c r="P183" s="47" t="s">
        <v>930</v>
      </c>
      <c r="Q183" s="47" t="str">
        <f t="shared" si="7"/>
        <v xml:space="preserve"> Sáng T2:</v>
      </c>
      <c r="R183" s="47" t="s">
        <v>947</v>
      </c>
      <c r="S183" s="47"/>
      <c r="T183" s="47" t="s">
        <v>2168</v>
      </c>
      <c r="U183" s="47" t="s">
        <v>2169</v>
      </c>
      <c r="V183" s="47" t="s">
        <v>442</v>
      </c>
      <c r="W183" s="47" t="s">
        <v>931</v>
      </c>
      <c r="X183" s="47" t="s">
        <v>932</v>
      </c>
      <c r="Y183" s="47" t="s">
        <v>869</v>
      </c>
      <c r="Z183" s="47" t="s">
        <v>1763</v>
      </c>
      <c r="AA183" s="47" t="s">
        <v>1764</v>
      </c>
      <c r="AB183" s="47" t="s">
        <v>2170</v>
      </c>
      <c r="AC183" s="47" t="s">
        <v>451</v>
      </c>
      <c r="AD183" s="47" t="s">
        <v>2171</v>
      </c>
      <c r="AE183" s="47" t="s">
        <v>937</v>
      </c>
      <c r="AF183" s="47" t="s">
        <v>931</v>
      </c>
      <c r="AG183" s="47" t="s">
        <v>2172</v>
      </c>
      <c r="AH183" s="47" t="s">
        <v>1067</v>
      </c>
      <c r="AI183" s="47" t="s">
        <v>931</v>
      </c>
      <c r="AJ183" s="47" t="s">
        <v>365</v>
      </c>
      <c r="AK183" s="47" t="s">
        <v>930</v>
      </c>
      <c r="AL183" s="47" t="s">
        <v>931</v>
      </c>
      <c r="AM183" s="47" t="s">
        <v>931</v>
      </c>
      <c r="AN183" s="37"/>
    </row>
    <row r="184" spans="1:40" hidden="1">
      <c r="A184" s="47" t="s">
        <v>982</v>
      </c>
      <c r="B184" s="47" t="s">
        <v>919</v>
      </c>
      <c r="C184" s="47" t="s">
        <v>2173</v>
      </c>
      <c r="D184" s="47">
        <f t="shared" si="6"/>
        <v>757038</v>
      </c>
      <c r="E184" s="47" t="s">
        <v>239</v>
      </c>
      <c r="F184" s="47" t="s">
        <v>240</v>
      </c>
      <c r="G184" s="47" t="s">
        <v>833</v>
      </c>
      <c r="H184" s="47" t="s">
        <v>931</v>
      </c>
      <c r="I184" s="47" t="s">
        <v>2174</v>
      </c>
      <c r="J184" s="47" t="s">
        <v>944</v>
      </c>
      <c r="K184" s="47" t="s">
        <v>163</v>
      </c>
      <c r="L184" s="47" t="s">
        <v>1056</v>
      </c>
      <c r="M184" s="47" t="s">
        <v>1014</v>
      </c>
      <c r="N184" s="47" t="s">
        <v>1026</v>
      </c>
      <c r="O184" s="47" t="s">
        <v>930</v>
      </c>
      <c r="P184" s="47" t="s">
        <v>930</v>
      </c>
      <c r="Q184" s="47" t="str">
        <f t="shared" si="7"/>
        <v xml:space="preserve"> Sáng T4:</v>
      </c>
      <c r="R184" s="47" t="s">
        <v>947</v>
      </c>
      <c r="S184" s="47"/>
      <c r="T184" s="47" t="s">
        <v>2175</v>
      </c>
      <c r="U184" s="47" t="s">
        <v>2176</v>
      </c>
      <c r="V184" s="47" t="s">
        <v>442</v>
      </c>
      <c r="W184" s="47" t="s">
        <v>931</v>
      </c>
      <c r="X184" s="47" t="s">
        <v>995</v>
      </c>
      <c r="Y184" s="47" t="s">
        <v>833</v>
      </c>
      <c r="Z184" s="47" t="s">
        <v>2119</v>
      </c>
      <c r="AA184" s="47" t="s">
        <v>2120</v>
      </c>
      <c r="AB184" s="47" t="s">
        <v>931</v>
      </c>
      <c r="AC184" s="47" t="s">
        <v>1202</v>
      </c>
      <c r="AD184" s="47" t="s">
        <v>2177</v>
      </c>
      <c r="AE184" s="47" t="s">
        <v>937</v>
      </c>
      <c r="AF184" s="47" t="s">
        <v>931</v>
      </c>
      <c r="AG184" s="47" t="s">
        <v>931</v>
      </c>
      <c r="AH184" s="47" t="s">
        <v>364</v>
      </c>
      <c r="AI184" s="47" t="s">
        <v>931</v>
      </c>
      <c r="AJ184" s="47" t="s">
        <v>365</v>
      </c>
      <c r="AK184" s="47" t="s">
        <v>930</v>
      </c>
      <c r="AL184" s="47" t="s">
        <v>931</v>
      </c>
      <c r="AM184" s="47" t="s">
        <v>931</v>
      </c>
      <c r="AN184" s="37"/>
    </row>
    <row r="185" spans="1:40" hidden="1">
      <c r="A185" s="47" t="s">
        <v>982</v>
      </c>
      <c r="B185" s="47" t="s">
        <v>919</v>
      </c>
      <c r="C185" s="47" t="s">
        <v>2178</v>
      </c>
      <c r="D185" s="47">
        <f t="shared" si="6"/>
        <v>757031</v>
      </c>
      <c r="E185" s="47" t="s">
        <v>431</v>
      </c>
      <c r="F185" s="47" t="s">
        <v>432</v>
      </c>
      <c r="G185" s="47" t="s">
        <v>143</v>
      </c>
      <c r="H185" s="47" t="s">
        <v>931</v>
      </c>
      <c r="I185" s="47" t="s">
        <v>2179</v>
      </c>
      <c r="J185" s="47" t="s">
        <v>1354</v>
      </c>
      <c r="K185" s="47" t="s">
        <v>163</v>
      </c>
      <c r="L185" s="47" t="s">
        <v>1015</v>
      </c>
      <c r="M185" s="47" t="s">
        <v>928</v>
      </c>
      <c r="N185" s="47" t="s">
        <v>1026</v>
      </c>
      <c r="O185" s="47" t="s">
        <v>930</v>
      </c>
      <c r="P185" s="47" t="s">
        <v>930</v>
      </c>
      <c r="Q185" s="47" t="str">
        <f t="shared" si="7"/>
        <v xml:space="preserve"> Chiều T3</v>
      </c>
      <c r="R185" s="47" t="s">
        <v>973</v>
      </c>
      <c r="S185" s="47"/>
      <c r="T185" s="47" t="s">
        <v>2180</v>
      </c>
      <c r="U185" s="47" t="s">
        <v>2181</v>
      </c>
      <c r="V185" s="47" t="s">
        <v>442</v>
      </c>
      <c r="W185" s="47" t="s">
        <v>931</v>
      </c>
      <c r="X185" s="47" t="s">
        <v>995</v>
      </c>
      <c r="Y185" s="47" t="s">
        <v>143</v>
      </c>
      <c r="Z185" s="47" t="s">
        <v>1875</v>
      </c>
      <c r="AA185" s="47" t="s">
        <v>1876</v>
      </c>
      <c r="AB185" s="47" t="s">
        <v>2182</v>
      </c>
      <c r="AC185" s="47" t="s">
        <v>1202</v>
      </c>
      <c r="AD185" s="47" t="s">
        <v>2183</v>
      </c>
      <c r="AE185" s="47" t="s">
        <v>937</v>
      </c>
      <c r="AF185" s="47" t="s">
        <v>931</v>
      </c>
      <c r="AG185" s="47" t="s">
        <v>931</v>
      </c>
      <c r="AH185" s="47" t="s">
        <v>364</v>
      </c>
      <c r="AI185" s="47" t="s">
        <v>931</v>
      </c>
      <c r="AJ185" s="47" t="s">
        <v>365</v>
      </c>
      <c r="AK185" s="47" t="s">
        <v>930</v>
      </c>
      <c r="AL185" s="47" t="s">
        <v>931</v>
      </c>
      <c r="AM185" s="47" t="s">
        <v>931</v>
      </c>
      <c r="AN185" s="37"/>
    </row>
    <row r="186" spans="1:40" hidden="1">
      <c r="A186" s="47" t="s">
        <v>982</v>
      </c>
      <c r="B186" s="47" t="s">
        <v>919</v>
      </c>
      <c r="C186" s="47" t="s">
        <v>2184</v>
      </c>
      <c r="D186" s="47">
        <f t="shared" si="6"/>
        <v>757037</v>
      </c>
      <c r="E186" s="47" t="s">
        <v>239</v>
      </c>
      <c r="F186" s="47" t="s">
        <v>240</v>
      </c>
      <c r="G186" s="47" t="s">
        <v>1894</v>
      </c>
      <c r="H186" s="47" t="s">
        <v>931</v>
      </c>
      <c r="I186" s="47" t="s">
        <v>2185</v>
      </c>
      <c r="J186" s="47" t="s">
        <v>944</v>
      </c>
      <c r="K186" s="47" t="s">
        <v>163</v>
      </c>
      <c r="L186" s="47" t="s">
        <v>1003</v>
      </c>
      <c r="M186" s="47" t="s">
        <v>1056</v>
      </c>
      <c r="N186" s="47" t="s">
        <v>1026</v>
      </c>
      <c r="O186" s="47" t="s">
        <v>930</v>
      </c>
      <c r="P186" s="47" t="s">
        <v>930</v>
      </c>
      <c r="Q186" s="47" t="str">
        <f t="shared" si="7"/>
        <v xml:space="preserve"> Sáng T4:</v>
      </c>
      <c r="R186" s="47" t="s">
        <v>947</v>
      </c>
      <c r="S186" s="47"/>
      <c r="T186" s="47" t="s">
        <v>2186</v>
      </c>
      <c r="U186" s="47" t="s">
        <v>2187</v>
      </c>
      <c r="V186" s="47" t="s">
        <v>442</v>
      </c>
      <c r="W186" s="47" t="s">
        <v>931</v>
      </c>
      <c r="X186" s="47" t="s">
        <v>995</v>
      </c>
      <c r="Y186" s="47" t="s">
        <v>1894</v>
      </c>
      <c r="Z186" s="47" t="s">
        <v>1898</v>
      </c>
      <c r="AA186" s="47" t="s">
        <v>1899</v>
      </c>
      <c r="AB186" s="47" t="s">
        <v>931</v>
      </c>
      <c r="AC186" s="47" t="s">
        <v>1202</v>
      </c>
      <c r="AD186" s="47" t="s">
        <v>2188</v>
      </c>
      <c r="AE186" s="47" t="s">
        <v>937</v>
      </c>
      <c r="AF186" s="47" t="s">
        <v>931</v>
      </c>
      <c r="AG186" s="47" t="s">
        <v>931</v>
      </c>
      <c r="AH186" s="47" t="s">
        <v>364</v>
      </c>
      <c r="AI186" s="47" t="s">
        <v>931</v>
      </c>
      <c r="AJ186" s="47" t="s">
        <v>365</v>
      </c>
      <c r="AK186" s="47" t="s">
        <v>930</v>
      </c>
      <c r="AL186" s="47" t="s">
        <v>931</v>
      </c>
      <c r="AM186" s="47" t="s">
        <v>931</v>
      </c>
      <c r="AN186" s="37"/>
    </row>
    <row r="187" spans="1:40" hidden="1">
      <c r="A187" s="47" t="s">
        <v>982</v>
      </c>
      <c r="B187" s="47" t="s">
        <v>919</v>
      </c>
      <c r="C187" s="47" t="s">
        <v>2189</v>
      </c>
      <c r="D187" s="47">
        <f t="shared" si="6"/>
        <v>757034</v>
      </c>
      <c r="E187" s="47" t="s">
        <v>431</v>
      </c>
      <c r="F187" s="47" t="s">
        <v>432</v>
      </c>
      <c r="G187" s="47" t="s">
        <v>835</v>
      </c>
      <c r="H187" s="47" t="s">
        <v>931</v>
      </c>
      <c r="I187" s="47" t="s">
        <v>2190</v>
      </c>
      <c r="J187" s="47" t="s">
        <v>1354</v>
      </c>
      <c r="K187" s="47" t="s">
        <v>163</v>
      </c>
      <c r="L187" s="47" t="s">
        <v>1102</v>
      </c>
      <c r="M187" s="47" t="s">
        <v>928</v>
      </c>
      <c r="N187" s="47" t="s">
        <v>1026</v>
      </c>
      <c r="O187" s="47" t="s">
        <v>930</v>
      </c>
      <c r="P187" s="47" t="s">
        <v>930</v>
      </c>
      <c r="Q187" s="47" t="str">
        <f t="shared" si="7"/>
        <v xml:space="preserve"> Chiều T6</v>
      </c>
      <c r="R187" s="47" t="s">
        <v>973</v>
      </c>
      <c r="S187" s="47"/>
      <c r="T187" s="47" t="s">
        <v>2191</v>
      </c>
      <c r="U187" s="47" t="s">
        <v>2192</v>
      </c>
      <c r="V187" s="47" t="s">
        <v>442</v>
      </c>
      <c r="W187" s="47" t="s">
        <v>931</v>
      </c>
      <c r="X187" s="47" t="s">
        <v>995</v>
      </c>
      <c r="Y187" s="47" t="s">
        <v>835</v>
      </c>
      <c r="Z187" s="47" t="s">
        <v>2023</v>
      </c>
      <c r="AA187" s="47" t="s">
        <v>2024</v>
      </c>
      <c r="AB187" s="47" t="s">
        <v>2193</v>
      </c>
      <c r="AC187" s="47" t="s">
        <v>1202</v>
      </c>
      <c r="AD187" s="47" t="s">
        <v>2194</v>
      </c>
      <c r="AE187" s="47" t="s">
        <v>937</v>
      </c>
      <c r="AF187" s="47" t="s">
        <v>931</v>
      </c>
      <c r="AG187" s="47" t="s">
        <v>931</v>
      </c>
      <c r="AH187" s="47" t="s">
        <v>364</v>
      </c>
      <c r="AI187" s="47" t="s">
        <v>931</v>
      </c>
      <c r="AJ187" s="47" t="s">
        <v>365</v>
      </c>
      <c r="AK187" s="47" t="s">
        <v>930</v>
      </c>
      <c r="AL187" s="47" t="s">
        <v>931</v>
      </c>
      <c r="AM187" s="47" t="s">
        <v>931</v>
      </c>
      <c r="AN187" s="37"/>
    </row>
    <row r="188" spans="1:40" hidden="1">
      <c r="A188" s="47" t="s">
        <v>982</v>
      </c>
      <c r="B188" s="47" t="s">
        <v>919</v>
      </c>
      <c r="C188" s="47" t="s">
        <v>2195</v>
      </c>
      <c r="D188" s="47">
        <f t="shared" si="6"/>
        <v>757036</v>
      </c>
      <c r="E188" s="47" t="s">
        <v>239</v>
      </c>
      <c r="F188" s="47" t="s">
        <v>240</v>
      </c>
      <c r="G188" s="47" t="s">
        <v>1894</v>
      </c>
      <c r="H188" s="47" t="s">
        <v>931</v>
      </c>
      <c r="I188" s="47" t="s">
        <v>2196</v>
      </c>
      <c r="J188" s="47" t="s">
        <v>944</v>
      </c>
      <c r="K188" s="47" t="s">
        <v>163</v>
      </c>
      <c r="L188" s="47" t="s">
        <v>1056</v>
      </c>
      <c r="M188" s="47" t="s">
        <v>1056</v>
      </c>
      <c r="N188" s="47" t="s">
        <v>1026</v>
      </c>
      <c r="O188" s="47" t="s">
        <v>930</v>
      </c>
      <c r="P188" s="47" t="s">
        <v>930</v>
      </c>
      <c r="Q188" s="47" t="str">
        <f t="shared" si="7"/>
        <v xml:space="preserve"> Sáng T3:</v>
      </c>
      <c r="R188" s="47" t="s">
        <v>947</v>
      </c>
      <c r="S188" s="47"/>
      <c r="T188" s="47" t="s">
        <v>2197</v>
      </c>
      <c r="U188" s="47" t="s">
        <v>2198</v>
      </c>
      <c r="V188" s="47" t="s">
        <v>442</v>
      </c>
      <c r="W188" s="47" t="s">
        <v>931</v>
      </c>
      <c r="X188" s="47" t="s">
        <v>995</v>
      </c>
      <c r="Y188" s="47" t="s">
        <v>1894</v>
      </c>
      <c r="Z188" s="47" t="s">
        <v>1898</v>
      </c>
      <c r="AA188" s="47" t="s">
        <v>1899</v>
      </c>
      <c r="AB188" s="47" t="s">
        <v>931</v>
      </c>
      <c r="AC188" s="47" t="s">
        <v>1202</v>
      </c>
      <c r="AD188" s="47" t="s">
        <v>2199</v>
      </c>
      <c r="AE188" s="47" t="s">
        <v>937</v>
      </c>
      <c r="AF188" s="47" t="s">
        <v>931</v>
      </c>
      <c r="AG188" s="47" t="s">
        <v>931</v>
      </c>
      <c r="AH188" s="47" t="s">
        <v>364</v>
      </c>
      <c r="AI188" s="47" t="s">
        <v>931</v>
      </c>
      <c r="AJ188" s="47" t="s">
        <v>365</v>
      </c>
      <c r="AK188" s="47" t="s">
        <v>930</v>
      </c>
      <c r="AL188" s="47" t="s">
        <v>931</v>
      </c>
      <c r="AM188" s="47" t="s">
        <v>931</v>
      </c>
      <c r="AN188" s="37"/>
    </row>
    <row r="189" spans="1:40" hidden="1">
      <c r="A189" s="47" t="s">
        <v>982</v>
      </c>
      <c r="B189" s="47" t="s">
        <v>919</v>
      </c>
      <c r="C189" s="47" t="s">
        <v>2200</v>
      </c>
      <c r="D189" s="47">
        <f t="shared" si="6"/>
        <v>757042</v>
      </c>
      <c r="E189" s="47" t="s">
        <v>2201</v>
      </c>
      <c r="F189" s="47" t="s">
        <v>2202</v>
      </c>
      <c r="G189" s="47" t="s">
        <v>1894</v>
      </c>
      <c r="H189" s="47" t="s">
        <v>931</v>
      </c>
      <c r="I189" s="47" t="s">
        <v>2203</v>
      </c>
      <c r="J189" s="47" t="s">
        <v>1024</v>
      </c>
      <c r="K189" s="47" t="s">
        <v>163</v>
      </c>
      <c r="L189" s="47" t="s">
        <v>1344</v>
      </c>
      <c r="M189" s="47" t="s">
        <v>1056</v>
      </c>
      <c r="N189" s="47" t="s">
        <v>1026</v>
      </c>
      <c r="O189" s="47" t="s">
        <v>930</v>
      </c>
      <c r="P189" s="47" t="s">
        <v>930</v>
      </c>
      <c r="Q189" s="47" t="str">
        <f t="shared" si="7"/>
        <v xml:space="preserve"> Sáng T2:</v>
      </c>
      <c r="R189" s="47" t="s">
        <v>947</v>
      </c>
      <c r="S189" s="47"/>
      <c r="T189" s="47" t="s">
        <v>2204</v>
      </c>
      <c r="U189" s="47" t="s">
        <v>2205</v>
      </c>
      <c r="V189" s="47" t="s">
        <v>442</v>
      </c>
      <c r="W189" s="47" t="s">
        <v>931</v>
      </c>
      <c r="X189" s="47" t="s">
        <v>995</v>
      </c>
      <c r="Y189" s="47" t="s">
        <v>1894</v>
      </c>
      <c r="Z189" s="47" t="s">
        <v>1898</v>
      </c>
      <c r="AA189" s="47" t="s">
        <v>1899</v>
      </c>
      <c r="AB189" s="47" t="s">
        <v>931</v>
      </c>
      <c r="AC189" s="47" t="s">
        <v>359</v>
      </c>
      <c r="AD189" s="47" t="s">
        <v>2206</v>
      </c>
      <c r="AE189" s="47" t="s">
        <v>937</v>
      </c>
      <c r="AF189" s="47" t="s">
        <v>931</v>
      </c>
      <c r="AG189" s="47" t="s">
        <v>931</v>
      </c>
      <c r="AH189" s="47" t="s">
        <v>931</v>
      </c>
      <c r="AI189" s="47" t="s">
        <v>931</v>
      </c>
      <c r="AJ189" s="47" t="s">
        <v>931</v>
      </c>
      <c r="AK189" s="47" t="s">
        <v>930</v>
      </c>
      <c r="AL189" s="47" t="s">
        <v>931</v>
      </c>
      <c r="AM189" s="47" t="s">
        <v>931</v>
      </c>
      <c r="AN189" s="37"/>
    </row>
    <row r="190" spans="1:40" hidden="1">
      <c r="A190" s="47" t="s">
        <v>982</v>
      </c>
      <c r="B190" s="47" t="s">
        <v>919</v>
      </c>
      <c r="C190" s="47" t="s">
        <v>2207</v>
      </c>
      <c r="D190" s="47">
        <f t="shared" si="6"/>
        <v>757033</v>
      </c>
      <c r="E190" s="47" t="s">
        <v>431</v>
      </c>
      <c r="F190" s="47" t="s">
        <v>432</v>
      </c>
      <c r="G190" s="47" t="s">
        <v>835</v>
      </c>
      <c r="H190" s="47" t="s">
        <v>931</v>
      </c>
      <c r="I190" s="47" t="s">
        <v>2208</v>
      </c>
      <c r="J190" s="47" t="s">
        <v>1354</v>
      </c>
      <c r="K190" s="47" t="s">
        <v>163</v>
      </c>
      <c r="L190" s="47" t="s">
        <v>1124</v>
      </c>
      <c r="M190" s="47" t="s">
        <v>928</v>
      </c>
      <c r="N190" s="47" t="s">
        <v>1026</v>
      </c>
      <c r="O190" s="47" t="s">
        <v>930</v>
      </c>
      <c r="P190" s="47" t="s">
        <v>930</v>
      </c>
      <c r="Q190" s="47" t="str">
        <f t="shared" si="7"/>
        <v xml:space="preserve"> Chiều T6</v>
      </c>
      <c r="R190" s="47" t="s">
        <v>973</v>
      </c>
      <c r="S190" s="47"/>
      <c r="T190" s="47" t="s">
        <v>2209</v>
      </c>
      <c r="U190" s="47" t="s">
        <v>2210</v>
      </c>
      <c r="V190" s="47" t="s">
        <v>442</v>
      </c>
      <c r="W190" s="47" t="s">
        <v>931</v>
      </c>
      <c r="X190" s="47" t="s">
        <v>995</v>
      </c>
      <c r="Y190" s="47" t="s">
        <v>835</v>
      </c>
      <c r="Z190" s="47" t="s">
        <v>2023</v>
      </c>
      <c r="AA190" s="47" t="s">
        <v>2024</v>
      </c>
      <c r="AB190" s="47" t="s">
        <v>2211</v>
      </c>
      <c r="AC190" s="47" t="s">
        <v>1202</v>
      </c>
      <c r="AD190" s="47" t="s">
        <v>2212</v>
      </c>
      <c r="AE190" s="47" t="s">
        <v>937</v>
      </c>
      <c r="AF190" s="47" t="s">
        <v>931</v>
      </c>
      <c r="AG190" s="47" t="s">
        <v>931</v>
      </c>
      <c r="AH190" s="47" t="s">
        <v>364</v>
      </c>
      <c r="AI190" s="47" t="s">
        <v>931</v>
      </c>
      <c r="AJ190" s="47" t="s">
        <v>365</v>
      </c>
      <c r="AK190" s="47" t="s">
        <v>930</v>
      </c>
      <c r="AL190" s="47" t="s">
        <v>931</v>
      </c>
      <c r="AM190" s="47" t="s">
        <v>931</v>
      </c>
      <c r="AN190" s="37"/>
    </row>
    <row r="191" spans="1:40" hidden="1">
      <c r="A191" s="47" t="s">
        <v>982</v>
      </c>
      <c r="B191" s="47" t="s">
        <v>919</v>
      </c>
      <c r="C191" s="47" t="s">
        <v>2213</v>
      </c>
      <c r="D191" s="47">
        <f t="shared" si="6"/>
        <v>757043</v>
      </c>
      <c r="E191" s="47" t="s">
        <v>1718</v>
      </c>
      <c r="F191" s="47" t="s">
        <v>1719</v>
      </c>
      <c r="G191" s="47" t="s">
        <v>1720</v>
      </c>
      <c r="H191" s="47" t="s">
        <v>931</v>
      </c>
      <c r="I191" s="47" t="s">
        <v>2214</v>
      </c>
      <c r="J191" s="47" t="s">
        <v>1505</v>
      </c>
      <c r="K191" s="47" t="s">
        <v>163</v>
      </c>
      <c r="L191" s="47" t="s">
        <v>1003</v>
      </c>
      <c r="M191" s="47" t="s">
        <v>928</v>
      </c>
      <c r="N191" s="47" t="s">
        <v>1026</v>
      </c>
      <c r="O191" s="47" t="s">
        <v>930</v>
      </c>
      <c r="P191" s="47" t="s">
        <v>930</v>
      </c>
      <c r="Q191" s="47" t="str">
        <f t="shared" si="7"/>
        <v xml:space="preserve"> Sáng T6:</v>
      </c>
      <c r="R191" s="47" t="s">
        <v>947</v>
      </c>
      <c r="S191" s="47"/>
      <c r="T191" s="47" t="s">
        <v>2215</v>
      </c>
      <c r="U191" s="47" t="s">
        <v>2216</v>
      </c>
      <c r="V191" s="47" t="s">
        <v>442</v>
      </c>
      <c r="W191" s="47" t="s">
        <v>931</v>
      </c>
      <c r="X191" s="47" t="s">
        <v>932</v>
      </c>
      <c r="Y191" s="47" t="s">
        <v>1720</v>
      </c>
      <c r="Z191" s="47" t="s">
        <v>1724</v>
      </c>
      <c r="AA191" s="47" t="s">
        <v>1725</v>
      </c>
      <c r="AB191" s="47" t="s">
        <v>1811</v>
      </c>
      <c r="AC191" s="47" t="s">
        <v>451</v>
      </c>
      <c r="AD191" s="47" t="s">
        <v>2217</v>
      </c>
      <c r="AE191" s="47" t="s">
        <v>937</v>
      </c>
      <c r="AF191" s="47" t="s">
        <v>931</v>
      </c>
      <c r="AG191" s="47" t="s">
        <v>931</v>
      </c>
      <c r="AH191" s="47" t="s">
        <v>1067</v>
      </c>
      <c r="AI191" s="47" t="s">
        <v>931</v>
      </c>
      <c r="AJ191" s="47" t="s">
        <v>365</v>
      </c>
      <c r="AK191" s="47" t="s">
        <v>930</v>
      </c>
      <c r="AL191" s="47" t="s">
        <v>931</v>
      </c>
      <c r="AM191" s="47" t="s">
        <v>931</v>
      </c>
      <c r="AN191" s="37"/>
    </row>
    <row r="192" spans="1:40" hidden="1">
      <c r="A192" s="47" t="s">
        <v>982</v>
      </c>
      <c r="B192" s="47" t="s">
        <v>919</v>
      </c>
      <c r="C192" s="47" t="s">
        <v>2218</v>
      </c>
      <c r="D192" s="47">
        <f t="shared" si="6"/>
        <v>757040</v>
      </c>
      <c r="E192" s="47" t="s">
        <v>239</v>
      </c>
      <c r="F192" s="47" t="s">
        <v>240</v>
      </c>
      <c r="G192" s="47" t="s">
        <v>832</v>
      </c>
      <c r="H192" s="47" t="s">
        <v>1194</v>
      </c>
      <c r="I192" s="47" t="s">
        <v>2219</v>
      </c>
      <c r="J192" s="47" t="s">
        <v>944</v>
      </c>
      <c r="K192" s="47" t="s">
        <v>163</v>
      </c>
      <c r="L192" s="47" t="s">
        <v>956</v>
      </c>
      <c r="M192" s="47" t="s">
        <v>1056</v>
      </c>
      <c r="N192" s="47" t="s">
        <v>1026</v>
      </c>
      <c r="O192" s="47" t="s">
        <v>930</v>
      </c>
      <c r="P192" s="47" t="s">
        <v>930</v>
      </c>
      <c r="Q192" s="47" t="str">
        <f t="shared" si="7"/>
        <v xml:space="preserve"> Sáng T5:</v>
      </c>
      <c r="R192" s="47" t="s">
        <v>947</v>
      </c>
      <c r="S192" s="47"/>
      <c r="T192" s="47" t="s">
        <v>2220</v>
      </c>
      <c r="U192" s="47" t="s">
        <v>2221</v>
      </c>
      <c r="V192" s="47" t="s">
        <v>442</v>
      </c>
      <c r="W192" s="47" t="s">
        <v>931</v>
      </c>
      <c r="X192" s="47" t="s">
        <v>995</v>
      </c>
      <c r="Y192" s="47" t="s">
        <v>832</v>
      </c>
      <c r="Z192" s="47" t="s">
        <v>1998</v>
      </c>
      <c r="AA192" s="47" t="s">
        <v>1999</v>
      </c>
      <c r="AB192" s="47" t="s">
        <v>931</v>
      </c>
      <c r="AC192" s="47" t="s">
        <v>1202</v>
      </c>
      <c r="AD192" s="47" t="s">
        <v>2222</v>
      </c>
      <c r="AE192" s="47" t="s">
        <v>937</v>
      </c>
      <c r="AF192" s="47" t="s">
        <v>931</v>
      </c>
      <c r="AG192" s="47" t="s">
        <v>2223</v>
      </c>
      <c r="AH192" s="47" t="s">
        <v>364</v>
      </c>
      <c r="AI192" s="47" t="s">
        <v>931</v>
      </c>
      <c r="AJ192" s="47" t="s">
        <v>365</v>
      </c>
      <c r="AK192" s="47" t="s">
        <v>930</v>
      </c>
      <c r="AL192" s="47" t="s">
        <v>931</v>
      </c>
      <c r="AM192" s="47" t="s">
        <v>931</v>
      </c>
      <c r="AN192" s="37"/>
    </row>
    <row r="193" spans="1:40">
      <c r="A193" s="47" t="s">
        <v>982</v>
      </c>
      <c r="B193" s="47" t="s">
        <v>919</v>
      </c>
      <c r="C193" s="47" t="s">
        <v>2224</v>
      </c>
      <c r="D193" s="47">
        <f t="shared" si="6"/>
        <v>756998</v>
      </c>
      <c r="E193" s="47" t="s">
        <v>200</v>
      </c>
      <c r="F193" s="47" t="s">
        <v>191</v>
      </c>
      <c r="G193" s="47" t="s">
        <v>1986</v>
      </c>
      <c r="H193" s="47" t="s">
        <v>1518</v>
      </c>
      <c r="I193" s="47" t="s">
        <v>2225</v>
      </c>
      <c r="J193" s="47" t="s">
        <v>1024</v>
      </c>
      <c r="K193" s="47" t="s">
        <v>163</v>
      </c>
      <c r="L193" s="47" t="s">
        <v>1102</v>
      </c>
      <c r="M193" s="47" t="s">
        <v>1025</v>
      </c>
      <c r="N193" s="47" t="s">
        <v>1026</v>
      </c>
      <c r="O193" s="47" t="s">
        <v>930</v>
      </c>
      <c r="P193" s="47" t="s">
        <v>930</v>
      </c>
      <c r="Q193" s="47" t="str">
        <f t="shared" si="7"/>
        <v xml:space="preserve"> Chiều T3</v>
      </c>
      <c r="R193" s="47" t="s">
        <v>973</v>
      </c>
      <c r="S193" s="47" t="s">
        <v>1070</v>
      </c>
      <c r="T193" s="47" t="s">
        <v>2226</v>
      </c>
      <c r="U193" s="47" t="s">
        <v>2227</v>
      </c>
      <c r="V193" s="47" t="s">
        <v>18</v>
      </c>
      <c r="W193" s="47" t="s">
        <v>931</v>
      </c>
      <c r="X193" s="47" t="s">
        <v>1030</v>
      </c>
      <c r="Y193" s="47" t="s">
        <v>1986</v>
      </c>
      <c r="Z193" s="47" t="s">
        <v>1990</v>
      </c>
      <c r="AA193" s="47" t="s">
        <v>1991</v>
      </c>
      <c r="AB193" s="47" t="s">
        <v>1948</v>
      </c>
      <c r="AC193" s="47" t="s">
        <v>447</v>
      </c>
      <c r="AD193" s="47" t="s">
        <v>2228</v>
      </c>
      <c r="AE193" s="47" t="s">
        <v>937</v>
      </c>
      <c r="AF193" s="47" t="s">
        <v>931</v>
      </c>
      <c r="AG193" s="47" t="s">
        <v>2229</v>
      </c>
      <c r="AH193" s="47" t="s">
        <v>931</v>
      </c>
      <c r="AI193" s="47" t="s">
        <v>931</v>
      </c>
      <c r="AJ193" s="47" t="s">
        <v>931</v>
      </c>
      <c r="AK193" s="47" t="s">
        <v>930</v>
      </c>
      <c r="AL193" s="47" t="s">
        <v>931</v>
      </c>
      <c r="AM193" s="47" t="s">
        <v>931</v>
      </c>
      <c r="AN193" s="37"/>
    </row>
    <row r="194" spans="1:40" hidden="1">
      <c r="A194" s="47" t="s">
        <v>982</v>
      </c>
      <c r="B194" s="47" t="s">
        <v>919</v>
      </c>
      <c r="C194" s="47" t="s">
        <v>2230</v>
      </c>
      <c r="D194" s="47">
        <f t="shared" si="6"/>
        <v>757046</v>
      </c>
      <c r="E194" s="47" t="s">
        <v>1718</v>
      </c>
      <c r="F194" s="47" t="s">
        <v>1719</v>
      </c>
      <c r="G194" s="47" t="s">
        <v>1590</v>
      </c>
      <c r="H194" s="47" t="s">
        <v>1753</v>
      </c>
      <c r="I194" s="47" t="s">
        <v>2231</v>
      </c>
      <c r="J194" s="47" t="s">
        <v>1024</v>
      </c>
      <c r="K194" s="47" t="s">
        <v>163</v>
      </c>
      <c r="L194" s="47" t="s">
        <v>1015</v>
      </c>
      <c r="M194" s="47" t="s">
        <v>928</v>
      </c>
      <c r="N194" s="47" t="s">
        <v>1026</v>
      </c>
      <c r="O194" s="47" t="s">
        <v>930</v>
      </c>
      <c r="P194" s="47" t="s">
        <v>930</v>
      </c>
      <c r="Q194" s="47" t="str">
        <f t="shared" si="7"/>
        <v xml:space="preserve"> Sáng T2:</v>
      </c>
      <c r="R194" s="47" t="s">
        <v>947</v>
      </c>
      <c r="S194" s="47" t="s">
        <v>1103</v>
      </c>
      <c r="T194" s="47" t="s">
        <v>2232</v>
      </c>
      <c r="U194" s="47" t="s">
        <v>2233</v>
      </c>
      <c r="V194" s="47" t="s">
        <v>27</v>
      </c>
      <c r="W194" s="47" t="s">
        <v>931</v>
      </c>
      <c r="X194" s="47" t="s">
        <v>932</v>
      </c>
      <c r="Y194" s="47" t="s">
        <v>1590</v>
      </c>
      <c r="Z194" s="47" t="s">
        <v>1594</v>
      </c>
      <c r="AA194" s="47" t="s">
        <v>1595</v>
      </c>
      <c r="AB194" s="47" t="s">
        <v>2170</v>
      </c>
      <c r="AC194" s="47" t="s">
        <v>451</v>
      </c>
      <c r="AD194" s="47" t="s">
        <v>2234</v>
      </c>
      <c r="AE194" s="47" t="s">
        <v>937</v>
      </c>
      <c r="AF194" s="47" t="s">
        <v>931</v>
      </c>
      <c r="AG194" s="47" t="s">
        <v>931</v>
      </c>
      <c r="AH194" s="47" t="s">
        <v>1067</v>
      </c>
      <c r="AI194" s="47" t="s">
        <v>931</v>
      </c>
      <c r="AJ194" s="47" t="s">
        <v>365</v>
      </c>
      <c r="AK194" s="47" t="s">
        <v>930</v>
      </c>
      <c r="AL194" s="47" t="s">
        <v>931</v>
      </c>
      <c r="AM194" s="47" t="s">
        <v>931</v>
      </c>
      <c r="AN194" s="37"/>
    </row>
    <row r="195" spans="1:40" hidden="1">
      <c r="A195" s="47" t="s">
        <v>982</v>
      </c>
      <c r="B195" s="47" t="s">
        <v>919</v>
      </c>
      <c r="C195" s="47" t="s">
        <v>2235</v>
      </c>
      <c r="D195" s="47">
        <f t="shared" ref="D195:D258" si="8">VALUE(C195)</f>
        <v>757047</v>
      </c>
      <c r="E195" s="47" t="s">
        <v>1718</v>
      </c>
      <c r="F195" s="47" t="s">
        <v>1719</v>
      </c>
      <c r="G195" s="47" t="s">
        <v>854</v>
      </c>
      <c r="H195" s="47" t="s">
        <v>931</v>
      </c>
      <c r="I195" s="47" t="s">
        <v>2236</v>
      </c>
      <c r="J195" s="47" t="s">
        <v>1024</v>
      </c>
      <c r="K195" s="47" t="s">
        <v>163</v>
      </c>
      <c r="L195" s="47" t="s">
        <v>2161</v>
      </c>
      <c r="M195" s="47" t="s">
        <v>928</v>
      </c>
      <c r="N195" s="47" t="s">
        <v>1026</v>
      </c>
      <c r="O195" s="47" t="s">
        <v>930</v>
      </c>
      <c r="P195" s="47" t="s">
        <v>930</v>
      </c>
      <c r="Q195" s="47" t="str">
        <f t="shared" si="7"/>
        <v xml:space="preserve"> Chiều T4</v>
      </c>
      <c r="R195" s="47" t="s">
        <v>973</v>
      </c>
      <c r="S195" s="47"/>
      <c r="T195" s="47" t="s">
        <v>2237</v>
      </c>
      <c r="U195" s="47" t="s">
        <v>2238</v>
      </c>
      <c r="V195" s="47" t="s">
        <v>442</v>
      </c>
      <c r="W195" s="47" t="s">
        <v>931</v>
      </c>
      <c r="X195" s="47" t="s">
        <v>932</v>
      </c>
      <c r="Y195" s="47" t="s">
        <v>854</v>
      </c>
      <c r="Z195" s="47" t="s">
        <v>1602</v>
      </c>
      <c r="AA195" s="47" t="s">
        <v>1603</v>
      </c>
      <c r="AB195" s="47" t="s">
        <v>2078</v>
      </c>
      <c r="AC195" s="47" t="s">
        <v>451</v>
      </c>
      <c r="AD195" s="47" t="s">
        <v>2239</v>
      </c>
      <c r="AE195" s="47" t="s">
        <v>937</v>
      </c>
      <c r="AF195" s="47" t="s">
        <v>931</v>
      </c>
      <c r="AG195" s="47" t="s">
        <v>931</v>
      </c>
      <c r="AH195" s="47" t="s">
        <v>1067</v>
      </c>
      <c r="AI195" s="47" t="s">
        <v>931</v>
      </c>
      <c r="AJ195" s="47" t="s">
        <v>365</v>
      </c>
      <c r="AK195" s="47" t="s">
        <v>930</v>
      </c>
      <c r="AL195" s="47" t="s">
        <v>931</v>
      </c>
      <c r="AM195" s="47" t="s">
        <v>931</v>
      </c>
      <c r="AN195" s="37"/>
    </row>
    <row r="196" spans="1:40" hidden="1">
      <c r="A196" s="47" t="s">
        <v>982</v>
      </c>
      <c r="B196" s="47" t="s">
        <v>919</v>
      </c>
      <c r="C196" s="47" t="s">
        <v>2240</v>
      </c>
      <c r="D196" s="47">
        <f t="shared" si="8"/>
        <v>756599</v>
      </c>
      <c r="E196" s="47" t="s">
        <v>330</v>
      </c>
      <c r="F196" s="47" t="s">
        <v>331</v>
      </c>
      <c r="G196" s="47" t="s">
        <v>368</v>
      </c>
      <c r="H196" s="47" t="s">
        <v>924</v>
      </c>
      <c r="I196" s="47" t="s">
        <v>1440</v>
      </c>
      <c r="J196" s="47" t="s">
        <v>1441</v>
      </c>
      <c r="K196" s="47" t="s">
        <v>163</v>
      </c>
      <c r="L196" s="47" t="s">
        <v>987</v>
      </c>
      <c r="M196" s="47" t="s">
        <v>1319</v>
      </c>
      <c r="N196" s="47" t="s">
        <v>946</v>
      </c>
      <c r="O196" s="47" t="s">
        <v>2241</v>
      </c>
      <c r="P196" s="47" t="s">
        <v>2242</v>
      </c>
      <c r="Q196" s="47" t="str">
        <f t="shared" ref="Q196:Q259" si="9">LEFT(T196,9)</f>
        <v/>
      </c>
      <c r="R196" s="47" t="str">
        <f>LEFT(Q196,5)</f>
        <v/>
      </c>
      <c r="S196" s="47"/>
      <c r="T196" s="47" t="s">
        <v>931</v>
      </c>
      <c r="U196" s="47" t="s">
        <v>931</v>
      </c>
      <c r="V196" s="47" t="s">
        <v>931</v>
      </c>
      <c r="W196" s="47" t="s">
        <v>931</v>
      </c>
      <c r="X196" s="47" t="s">
        <v>931</v>
      </c>
      <c r="Y196" s="47" t="s">
        <v>368</v>
      </c>
      <c r="Z196" s="47" t="s">
        <v>2243</v>
      </c>
      <c r="AA196" s="47" t="s">
        <v>2244</v>
      </c>
      <c r="AB196" s="47" t="s">
        <v>931</v>
      </c>
      <c r="AC196" s="47" t="s">
        <v>37</v>
      </c>
      <c r="AD196" s="47" t="s">
        <v>1444</v>
      </c>
      <c r="AE196" s="47" t="s">
        <v>937</v>
      </c>
      <c r="AF196" s="47" t="s">
        <v>931</v>
      </c>
      <c r="AG196" s="47" t="s">
        <v>931</v>
      </c>
      <c r="AH196" s="47" t="s">
        <v>1067</v>
      </c>
      <c r="AI196" s="47" t="s">
        <v>931</v>
      </c>
      <c r="AJ196" s="47" t="s">
        <v>365</v>
      </c>
      <c r="AK196" s="47" t="s">
        <v>930</v>
      </c>
      <c r="AL196" s="47" t="s">
        <v>931</v>
      </c>
      <c r="AM196" s="47" t="s">
        <v>931</v>
      </c>
      <c r="AN196" s="37"/>
    </row>
    <row r="197" spans="1:40">
      <c r="A197" s="47" t="s">
        <v>982</v>
      </c>
      <c r="B197" s="47" t="s">
        <v>919</v>
      </c>
      <c r="C197" s="47" t="s">
        <v>2245</v>
      </c>
      <c r="D197" s="47">
        <f t="shared" si="8"/>
        <v>756596</v>
      </c>
      <c r="E197" s="47" t="s">
        <v>2246</v>
      </c>
      <c r="F197" s="47" t="s">
        <v>191</v>
      </c>
      <c r="G197" s="47" t="s">
        <v>41</v>
      </c>
      <c r="H197" s="47" t="s">
        <v>1518</v>
      </c>
      <c r="I197" s="47" t="s">
        <v>2247</v>
      </c>
      <c r="J197" s="47" t="s">
        <v>1441</v>
      </c>
      <c r="K197" s="47" t="s">
        <v>163</v>
      </c>
      <c r="L197" s="47" t="s">
        <v>1003</v>
      </c>
      <c r="M197" s="47" t="s">
        <v>2248</v>
      </c>
      <c r="N197" s="47" t="s">
        <v>946</v>
      </c>
      <c r="O197" s="47" t="s">
        <v>930</v>
      </c>
      <c r="P197" s="47" t="s">
        <v>930</v>
      </c>
      <c r="Q197" s="47" t="str">
        <f t="shared" si="9"/>
        <v xml:space="preserve"> Chiều T2</v>
      </c>
      <c r="R197" s="47" t="s">
        <v>973</v>
      </c>
      <c r="S197" s="47"/>
      <c r="T197" s="47" t="s">
        <v>2249</v>
      </c>
      <c r="U197" s="47" t="s">
        <v>931</v>
      </c>
      <c r="V197" s="47" t="s">
        <v>2250</v>
      </c>
      <c r="W197" s="47" t="s">
        <v>931</v>
      </c>
      <c r="X197" s="47" t="s">
        <v>931</v>
      </c>
      <c r="Y197" s="47" t="s">
        <v>41</v>
      </c>
      <c r="Z197" s="47" t="s">
        <v>1111</v>
      </c>
      <c r="AA197" s="47" t="s">
        <v>1112</v>
      </c>
      <c r="AB197" s="47" t="s">
        <v>931</v>
      </c>
      <c r="AC197" s="47" t="s">
        <v>447</v>
      </c>
      <c r="AD197" s="47" t="s">
        <v>2251</v>
      </c>
      <c r="AE197" s="47" t="s">
        <v>937</v>
      </c>
      <c r="AF197" s="47" t="s">
        <v>931</v>
      </c>
      <c r="AG197" s="47" t="s">
        <v>2252</v>
      </c>
      <c r="AH197" s="47" t="s">
        <v>931</v>
      </c>
      <c r="AI197" s="47" t="s">
        <v>931</v>
      </c>
      <c r="AJ197" s="47" t="s">
        <v>931</v>
      </c>
      <c r="AK197" s="47" t="s">
        <v>930</v>
      </c>
      <c r="AL197" s="47" t="s">
        <v>931</v>
      </c>
      <c r="AM197" s="47" t="s">
        <v>931</v>
      </c>
      <c r="AN197" s="37"/>
    </row>
    <row r="198" spans="1:40">
      <c r="A198" s="47" t="s">
        <v>982</v>
      </c>
      <c r="B198" s="47" t="s">
        <v>919</v>
      </c>
      <c r="C198" s="47">
        <v>756915</v>
      </c>
      <c r="D198" s="47">
        <f>VALUE(C198)</f>
        <v>756915</v>
      </c>
      <c r="E198" s="47" t="s">
        <v>42</v>
      </c>
      <c r="F198" s="47" t="s">
        <v>191</v>
      </c>
      <c r="G198" s="47" t="s">
        <v>43</v>
      </c>
      <c r="H198" s="47" t="s">
        <v>931</v>
      </c>
      <c r="I198" s="47" t="s">
        <v>2253</v>
      </c>
      <c r="J198" s="47" t="s">
        <v>1024</v>
      </c>
      <c r="K198" s="47" t="s">
        <v>163</v>
      </c>
      <c r="L198" s="47" t="s">
        <v>1025</v>
      </c>
      <c r="M198" s="47" t="s">
        <v>1025</v>
      </c>
      <c r="N198" s="47" t="s">
        <v>1026</v>
      </c>
      <c r="O198" s="47" t="s">
        <v>930</v>
      </c>
      <c r="P198" s="47" t="s">
        <v>930</v>
      </c>
      <c r="Q198" s="47" t="str">
        <f t="shared" si="9"/>
        <v xml:space="preserve"> Sáng T5:</v>
      </c>
      <c r="R198" s="47" t="s">
        <v>947</v>
      </c>
      <c r="S198" s="47" t="s">
        <v>1027</v>
      </c>
      <c r="T198" s="47" t="s">
        <v>2254</v>
      </c>
      <c r="U198" s="47" t="s">
        <v>2255</v>
      </c>
      <c r="V198" s="47" t="s">
        <v>24</v>
      </c>
      <c r="W198" s="47" t="s">
        <v>931</v>
      </c>
      <c r="X198" s="47" t="s">
        <v>1030</v>
      </c>
      <c r="Y198" s="47" t="s">
        <v>43</v>
      </c>
      <c r="Z198" s="47" t="s">
        <v>1463</v>
      </c>
      <c r="AA198" s="47" t="s">
        <v>1464</v>
      </c>
      <c r="AB198" s="47" t="s">
        <v>1435</v>
      </c>
      <c r="AC198" s="47" t="s">
        <v>402</v>
      </c>
      <c r="AD198" s="47" t="s">
        <v>2256</v>
      </c>
      <c r="AE198" s="47" t="s">
        <v>937</v>
      </c>
      <c r="AF198" s="47" t="s">
        <v>931</v>
      </c>
      <c r="AG198" s="47" t="s">
        <v>931</v>
      </c>
      <c r="AH198" s="47" t="s">
        <v>931</v>
      </c>
      <c r="AI198" s="47" t="s">
        <v>931</v>
      </c>
      <c r="AJ198" s="47" t="s">
        <v>931</v>
      </c>
      <c r="AK198" s="47" t="s">
        <v>930</v>
      </c>
      <c r="AL198" s="47" t="s">
        <v>931</v>
      </c>
      <c r="AM198" s="47" t="s">
        <v>931</v>
      </c>
      <c r="AN198" s="37"/>
    </row>
    <row r="199" spans="1:40">
      <c r="A199" s="47" t="s">
        <v>982</v>
      </c>
      <c r="B199" s="47" t="s">
        <v>919</v>
      </c>
      <c r="C199" s="47" t="s">
        <v>2257</v>
      </c>
      <c r="D199" s="47">
        <f t="shared" si="8"/>
        <v>756949</v>
      </c>
      <c r="E199" s="47" t="s">
        <v>200</v>
      </c>
      <c r="F199" s="47" t="s">
        <v>191</v>
      </c>
      <c r="G199" s="47" t="s">
        <v>43</v>
      </c>
      <c r="H199" s="47" t="s">
        <v>931</v>
      </c>
      <c r="I199" s="47" t="s">
        <v>2258</v>
      </c>
      <c r="J199" s="47" t="s">
        <v>1024</v>
      </c>
      <c r="K199" s="47" t="s">
        <v>163</v>
      </c>
      <c r="L199" s="47" t="s">
        <v>1025</v>
      </c>
      <c r="M199" s="47" t="s">
        <v>1025</v>
      </c>
      <c r="N199" s="47" t="s">
        <v>1026</v>
      </c>
      <c r="O199" s="47" t="s">
        <v>930</v>
      </c>
      <c r="P199" s="47" t="s">
        <v>930</v>
      </c>
      <c r="Q199" s="47" t="str">
        <f t="shared" si="9"/>
        <v xml:space="preserve"> Sáng T4:</v>
      </c>
      <c r="R199" s="47" t="s">
        <v>947</v>
      </c>
      <c r="S199" s="47" t="s">
        <v>1059</v>
      </c>
      <c r="T199" s="47" t="s">
        <v>2259</v>
      </c>
      <c r="U199" s="47" t="s">
        <v>2260</v>
      </c>
      <c r="V199" s="47" t="s">
        <v>16</v>
      </c>
      <c r="W199" s="47" t="s">
        <v>931</v>
      </c>
      <c r="X199" s="47" t="s">
        <v>1030</v>
      </c>
      <c r="Y199" s="47" t="s">
        <v>43</v>
      </c>
      <c r="Z199" s="47" t="s">
        <v>1463</v>
      </c>
      <c r="AA199" s="47" t="s">
        <v>1464</v>
      </c>
      <c r="AB199" s="47" t="s">
        <v>1811</v>
      </c>
      <c r="AC199" s="47" t="s">
        <v>447</v>
      </c>
      <c r="AD199" s="47" t="s">
        <v>2261</v>
      </c>
      <c r="AE199" s="47" t="s">
        <v>937</v>
      </c>
      <c r="AF199" s="47" t="s">
        <v>931</v>
      </c>
      <c r="AG199" s="47" t="s">
        <v>931</v>
      </c>
      <c r="AH199" s="47" t="s">
        <v>931</v>
      </c>
      <c r="AI199" s="47" t="s">
        <v>931</v>
      </c>
      <c r="AJ199" s="47" t="s">
        <v>931</v>
      </c>
      <c r="AK199" s="47" t="s">
        <v>930</v>
      </c>
      <c r="AL199" s="47" t="s">
        <v>931</v>
      </c>
      <c r="AM199" s="47" t="s">
        <v>931</v>
      </c>
      <c r="AN199" s="37"/>
    </row>
    <row r="200" spans="1:40">
      <c r="A200" s="47" t="s">
        <v>982</v>
      </c>
      <c r="B200" s="47" t="s">
        <v>919</v>
      </c>
      <c r="C200" s="47" t="s">
        <v>2262</v>
      </c>
      <c r="D200" s="47">
        <f t="shared" si="8"/>
        <v>756953</v>
      </c>
      <c r="E200" s="47" t="s">
        <v>200</v>
      </c>
      <c r="F200" s="47" t="s">
        <v>191</v>
      </c>
      <c r="G200" s="47" t="s">
        <v>44</v>
      </c>
      <c r="H200" s="47" t="s">
        <v>1518</v>
      </c>
      <c r="I200" s="47" t="s">
        <v>2263</v>
      </c>
      <c r="J200" s="47" t="s">
        <v>1024</v>
      </c>
      <c r="K200" s="47" t="s">
        <v>163</v>
      </c>
      <c r="L200" s="47" t="s">
        <v>1025</v>
      </c>
      <c r="M200" s="47" t="s">
        <v>1025</v>
      </c>
      <c r="N200" s="47" t="s">
        <v>1026</v>
      </c>
      <c r="O200" s="47" t="s">
        <v>930</v>
      </c>
      <c r="P200" s="47" t="s">
        <v>930</v>
      </c>
      <c r="Q200" s="47" t="str">
        <f t="shared" si="9"/>
        <v xml:space="preserve"> Sáng T3:</v>
      </c>
      <c r="R200" s="47" t="s">
        <v>947</v>
      </c>
      <c r="S200" s="47" t="s">
        <v>1070</v>
      </c>
      <c r="T200" s="47" t="s">
        <v>2264</v>
      </c>
      <c r="U200" s="47" t="s">
        <v>2265</v>
      </c>
      <c r="V200" s="47" t="s">
        <v>16</v>
      </c>
      <c r="W200" s="47" t="s">
        <v>931</v>
      </c>
      <c r="X200" s="47" t="s">
        <v>1030</v>
      </c>
      <c r="Y200" s="47" t="s">
        <v>44</v>
      </c>
      <c r="Z200" s="47" t="s">
        <v>1209</v>
      </c>
      <c r="AA200" s="47" t="s">
        <v>1210</v>
      </c>
      <c r="AB200" s="47" t="s">
        <v>2025</v>
      </c>
      <c r="AC200" s="47" t="s">
        <v>447</v>
      </c>
      <c r="AD200" s="47" t="s">
        <v>2266</v>
      </c>
      <c r="AE200" s="47" t="s">
        <v>937</v>
      </c>
      <c r="AF200" s="47" t="s">
        <v>931</v>
      </c>
      <c r="AG200" s="47" t="s">
        <v>2267</v>
      </c>
      <c r="AH200" s="47" t="s">
        <v>931</v>
      </c>
      <c r="AI200" s="47" t="s">
        <v>931</v>
      </c>
      <c r="AJ200" s="47" t="s">
        <v>931</v>
      </c>
      <c r="AK200" s="47" t="s">
        <v>930</v>
      </c>
      <c r="AL200" s="47" t="s">
        <v>931</v>
      </c>
      <c r="AM200" s="47" t="s">
        <v>931</v>
      </c>
      <c r="AN200" s="37"/>
    </row>
    <row r="201" spans="1:40">
      <c r="A201" s="47" t="s">
        <v>982</v>
      </c>
      <c r="B201" s="47" t="s">
        <v>919</v>
      </c>
      <c r="C201" s="47" t="s">
        <v>2268</v>
      </c>
      <c r="D201" s="47">
        <f t="shared" si="8"/>
        <v>756944</v>
      </c>
      <c r="E201" s="47" t="s">
        <v>200</v>
      </c>
      <c r="F201" s="47" t="s">
        <v>191</v>
      </c>
      <c r="G201" s="47" t="s">
        <v>44</v>
      </c>
      <c r="H201" s="47" t="s">
        <v>1518</v>
      </c>
      <c r="I201" s="47" t="s">
        <v>2269</v>
      </c>
      <c r="J201" s="47" t="s">
        <v>1024</v>
      </c>
      <c r="K201" s="47" t="s">
        <v>163</v>
      </c>
      <c r="L201" s="47" t="s">
        <v>1025</v>
      </c>
      <c r="M201" s="47" t="s">
        <v>1025</v>
      </c>
      <c r="N201" s="47" t="s">
        <v>1026</v>
      </c>
      <c r="O201" s="47" t="s">
        <v>930</v>
      </c>
      <c r="P201" s="47" t="s">
        <v>930</v>
      </c>
      <c r="Q201" s="47" t="str">
        <f t="shared" si="9"/>
        <v xml:space="preserve"> Chiều T4</v>
      </c>
      <c r="R201" s="47" t="s">
        <v>973</v>
      </c>
      <c r="S201" s="47" t="s">
        <v>1059</v>
      </c>
      <c r="T201" s="47" t="s">
        <v>2270</v>
      </c>
      <c r="U201" s="47" t="s">
        <v>2271</v>
      </c>
      <c r="V201" s="47" t="s">
        <v>16</v>
      </c>
      <c r="W201" s="47" t="s">
        <v>931</v>
      </c>
      <c r="X201" s="47" t="s">
        <v>1030</v>
      </c>
      <c r="Y201" s="47" t="s">
        <v>44</v>
      </c>
      <c r="Z201" s="47" t="s">
        <v>1209</v>
      </c>
      <c r="AA201" s="47" t="s">
        <v>1210</v>
      </c>
      <c r="AB201" s="47" t="s">
        <v>2272</v>
      </c>
      <c r="AC201" s="47" t="s">
        <v>447</v>
      </c>
      <c r="AD201" s="47" t="s">
        <v>2273</v>
      </c>
      <c r="AE201" s="47" t="s">
        <v>937</v>
      </c>
      <c r="AF201" s="47" t="s">
        <v>931</v>
      </c>
      <c r="AG201" s="47" t="s">
        <v>2274</v>
      </c>
      <c r="AH201" s="47" t="s">
        <v>931</v>
      </c>
      <c r="AI201" s="47" t="s">
        <v>931</v>
      </c>
      <c r="AJ201" s="47" t="s">
        <v>931</v>
      </c>
      <c r="AK201" s="47" t="s">
        <v>930</v>
      </c>
      <c r="AL201" s="47" t="s">
        <v>931</v>
      </c>
      <c r="AM201" s="47" t="s">
        <v>931</v>
      </c>
      <c r="AN201" s="37"/>
    </row>
    <row r="202" spans="1:40">
      <c r="A202" s="47" t="s">
        <v>982</v>
      </c>
      <c r="B202" s="47" t="s">
        <v>919</v>
      </c>
      <c r="C202" s="47" t="s">
        <v>2275</v>
      </c>
      <c r="D202" s="47">
        <f t="shared" si="8"/>
        <v>756933</v>
      </c>
      <c r="E202" s="47" t="s">
        <v>200</v>
      </c>
      <c r="F202" s="47" t="s">
        <v>191</v>
      </c>
      <c r="G202" s="47" t="s">
        <v>36</v>
      </c>
      <c r="H202" s="47" t="s">
        <v>931</v>
      </c>
      <c r="I202" s="47" t="s">
        <v>2276</v>
      </c>
      <c r="J202" s="47" t="s">
        <v>1024</v>
      </c>
      <c r="K202" s="47" t="s">
        <v>163</v>
      </c>
      <c r="L202" s="47" t="s">
        <v>1025</v>
      </c>
      <c r="M202" s="47" t="s">
        <v>1025</v>
      </c>
      <c r="N202" s="47" t="s">
        <v>1026</v>
      </c>
      <c r="O202" s="47" t="s">
        <v>930</v>
      </c>
      <c r="P202" s="47" t="s">
        <v>930</v>
      </c>
      <c r="Q202" s="47" t="str">
        <f t="shared" si="9"/>
        <v xml:space="preserve"> Sáng T3:</v>
      </c>
      <c r="R202" s="47" t="s">
        <v>947</v>
      </c>
      <c r="S202" s="47" t="s">
        <v>1070</v>
      </c>
      <c r="T202" s="47" t="s">
        <v>2277</v>
      </c>
      <c r="U202" s="47" t="s">
        <v>2278</v>
      </c>
      <c r="V202" s="47" t="s">
        <v>16</v>
      </c>
      <c r="W202" s="47" t="s">
        <v>931</v>
      </c>
      <c r="X202" s="47" t="s">
        <v>1030</v>
      </c>
      <c r="Y202" s="47" t="s">
        <v>36</v>
      </c>
      <c r="Z202" s="47" t="s">
        <v>1126</v>
      </c>
      <c r="AA202" s="47" t="s">
        <v>1127</v>
      </c>
      <c r="AB202" s="47" t="s">
        <v>2025</v>
      </c>
      <c r="AC202" s="47" t="s">
        <v>447</v>
      </c>
      <c r="AD202" s="47" t="s">
        <v>2279</v>
      </c>
      <c r="AE202" s="47" t="s">
        <v>937</v>
      </c>
      <c r="AF202" s="47" t="s">
        <v>931</v>
      </c>
      <c r="AG202" s="47" t="s">
        <v>931</v>
      </c>
      <c r="AH202" s="47" t="s">
        <v>931</v>
      </c>
      <c r="AI202" s="47" t="s">
        <v>931</v>
      </c>
      <c r="AJ202" s="47" t="s">
        <v>931</v>
      </c>
      <c r="AK202" s="47" t="s">
        <v>930</v>
      </c>
      <c r="AL202" s="47" t="s">
        <v>931</v>
      </c>
      <c r="AM202" s="47" t="s">
        <v>931</v>
      </c>
      <c r="AN202" s="37"/>
    </row>
    <row r="203" spans="1:40">
      <c r="A203" s="47" t="s">
        <v>982</v>
      </c>
      <c r="B203" s="47" t="s">
        <v>919</v>
      </c>
      <c r="C203" s="47" t="s">
        <v>2280</v>
      </c>
      <c r="D203" s="47">
        <f t="shared" si="8"/>
        <v>756914</v>
      </c>
      <c r="E203" s="47" t="s">
        <v>190</v>
      </c>
      <c r="F203" s="47" t="s">
        <v>191</v>
      </c>
      <c r="G203" s="47" t="s">
        <v>1986</v>
      </c>
      <c r="H203" s="47" t="s">
        <v>1518</v>
      </c>
      <c r="I203" s="47" t="s">
        <v>2281</v>
      </c>
      <c r="J203" s="47" t="s">
        <v>1090</v>
      </c>
      <c r="K203" s="47" t="s">
        <v>163</v>
      </c>
      <c r="L203" s="47" t="s">
        <v>1025</v>
      </c>
      <c r="M203" s="47" t="s">
        <v>1269</v>
      </c>
      <c r="N203" s="47" t="s">
        <v>1026</v>
      </c>
      <c r="O203" s="47" t="s">
        <v>930</v>
      </c>
      <c r="P203" s="47" t="s">
        <v>930</v>
      </c>
      <c r="Q203" s="47" t="str">
        <f t="shared" si="9"/>
        <v xml:space="preserve"> Chiều T6</v>
      </c>
      <c r="R203" s="47" t="s">
        <v>973</v>
      </c>
      <c r="S203" s="47" t="s">
        <v>1140</v>
      </c>
      <c r="T203" s="47" t="s">
        <v>2282</v>
      </c>
      <c r="U203" s="47" t="s">
        <v>2283</v>
      </c>
      <c r="V203" s="47" t="s">
        <v>27</v>
      </c>
      <c r="W203" s="47" t="s">
        <v>931</v>
      </c>
      <c r="X203" s="47" t="s">
        <v>1030</v>
      </c>
      <c r="Y203" s="47" t="s">
        <v>1986</v>
      </c>
      <c r="Z203" s="47" t="s">
        <v>1990</v>
      </c>
      <c r="AA203" s="47" t="s">
        <v>1991</v>
      </c>
      <c r="AB203" s="47" t="s">
        <v>1457</v>
      </c>
      <c r="AC203" s="47" t="s">
        <v>447</v>
      </c>
      <c r="AD203" s="47" t="s">
        <v>2284</v>
      </c>
      <c r="AE203" s="47" t="s">
        <v>937</v>
      </c>
      <c r="AF203" s="47" t="s">
        <v>931</v>
      </c>
      <c r="AG203" s="47" t="s">
        <v>2285</v>
      </c>
      <c r="AH203" s="47" t="s">
        <v>931</v>
      </c>
      <c r="AI203" s="47" t="s">
        <v>931</v>
      </c>
      <c r="AJ203" s="47" t="s">
        <v>931</v>
      </c>
      <c r="AK203" s="47" t="s">
        <v>930</v>
      </c>
      <c r="AL203" s="47" t="s">
        <v>931</v>
      </c>
      <c r="AM203" s="47" t="s">
        <v>931</v>
      </c>
      <c r="AN203" s="37"/>
    </row>
    <row r="204" spans="1:40">
      <c r="A204" s="47" t="s">
        <v>982</v>
      </c>
      <c r="B204" s="47" t="s">
        <v>919</v>
      </c>
      <c r="C204" s="47" t="s">
        <v>2286</v>
      </c>
      <c r="D204" s="47">
        <f t="shared" si="8"/>
        <v>756928</v>
      </c>
      <c r="E204" s="47" t="s">
        <v>200</v>
      </c>
      <c r="F204" s="47" t="s">
        <v>191</v>
      </c>
      <c r="G204" s="47" t="s">
        <v>43</v>
      </c>
      <c r="H204" s="47" t="s">
        <v>931</v>
      </c>
      <c r="I204" s="47" t="s">
        <v>2287</v>
      </c>
      <c r="J204" s="47" t="s">
        <v>1024</v>
      </c>
      <c r="K204" s="47" t="s">
        <v>163</v>
      </c>
      <c r="L204" s="47" t="s">
        <v>1432</v>
      </c>
      <c r="M204" s="47" t="s">
        <v>1025</v>
      </c>
      <c r="N204" s="47" t="s">
        <v>1026</v>
      </c>
      <c r="O204" s="47" t="s">
        <v>930</v>
      </c>
      <c r="P204" s="47" t="s">
        <v>930</v>
      </c>
      <c r="Q204" s="47" t="str">
        <f t="shared" si="9"/>
        <v xml:space="preserve"> Sáng T3:</v>
      </c>
      <c r="R204" s="47" t="s">
        <v>947</v>
      </c>
      <c r="S204" s="47" t="s">
        <v>1070</v>
      </c>
      <c r="T204" s="47" t="s">
        <v>2288</v>
      </c>
      <c r="U204" s="47" t="s">
        <v>2289</v>
      </c>
      <c r="V204" s="47" t="s">
        <v>16</v>
      </c>
      <c r="W204" s="47" t="s">
        <v>931</v>
      </c>
      <c r="X204" s="47" t="s">
        <v>1030</v>
      </c>
      <c r="Y204" s="47" t="s">
        <v>43</v>
      </c>
      <c r="Z204" s="47" t="s">
        <v>1463</v>
      </c>
      <c r="AA204" s="47" t="s">
        <v>1464</v>
      </c>
      <c r="AB204" s="47" t="s">
        <v>2025</v>
      </c>
      <c r="AC204" s="47" t="s">
        <v>447</v>
      </c>
      <c r="AD204" s="47" t="s">
        <v>2290</v>
      </c>
      <c r="AE204" s="47" t="s">
        <v>937</v>
      </c>
      <c r="AF204" s="47" t="s">
        <v>931</v>
      </c>
      <c r="AG204" s="47" t="s">
        <v>931</v>
      </c>
      <c r="AH204" s="47" t="s">
        <v>931</v>
      </c>
      <c r="AI204" s="47" t="s">
        <v>931</v>
      </c>
      <c r="AJ204" s="47" t="s">
        <v>931</v>
      </c>
      <c r="AK204" s="47" t="s">
        <v>930</v>
      </c>
      <c r="AL204" s="47" t="s">
        <v>931</v>
      </c>
      <c r="AM204" s="47" t="s">
        <v>931</v>
      </c>
      <c r="AN204" s="37"/>
    </row>
    <row r="205" spans="1:40">
      <c r="A205" s="47" t="s">
        <v>982</v>
      </c>
      <c r="B205" s="47" t="s">
        <v>919</v>
      </c>
      <c r="C205" s="47" t="s">
        <v>2291</v>
      </c>
      <c r="D205" s="47">
        <f t="shared" si="8"/>
        <v>756968</v>
      </c>
      <c r="E205" s="47" t="s">
        <v>200</v>
      </c>
      <c r="F205" s="47" t="s">
        <v>191</v>
      </c>
      <c r="G205" s="47" t="s">
        <v>44</v>
      </c>
      <c r="H205" s="47" t="s">
        <v>1518</v>
      </c>
      <c r="I205" s="47" t="s">
        <v>2292</v>
      </c>
      <c r="J205" s="47" t="s">
        <v>1024</v>
      </c>
      <c r="K205" s="47" t="s">
        <v>163</v>
      </c>
      <c r="L205" s="47" t="s">
        <v>1432</v>
      </c>
      <c r="M205" s="47" t="s">
        <v>1025</v>
      </c>
      <c r="N205" s="47" t="s">
        <v>1026</v>
      </c>
      <c r="O205" s="47" t="s">
        <v>930</v>
      </c>
      <c r="P205" s="47" t="s">
        <v>930</v>
      </c>
      <c r="Q205" s="47" t="str">
        <f t="shared" si="9"/>
        <v xml:space="preserve"> Sáng T3:</v>
      </c>
      <c r="R205" s="47" t="s">
        <v>947</v>
      </c>
      <c r="S205" s="47" t="s">
        <v>1070</v>
      </c>
      <c r="T205" s="47" t="s">
        <v>2293</v>
      </c>
      <c r="U205" s="47" t="s">
        <v>2294</v>
      </c>
      <c r="V205" s="47" t="s">
        <v>18</v>
      </c>
      <c r="W205" s="47" t="s">
        <v>931</v>
      </c>
      <c r="X205" s="47" t="s">
        <v>1030</v>
      </c>
      <c r="Y205" s="47" t="s">
        <v>44</v>
      </c>
      <c r="Z205" s="47" t="s">
        <v>1209</v>
      </c>
      <c r="AA205" s="47" t="s">
        <v>1210</v>
      </c>
      <c r="AB205" s="47" t="s">
        <v>1622</v>
      </c>
      <c r="AC205" s="47" t="s">
        <v>447</v>
      </c>
      <c r="AD205" s="47" t="s">
        <v>2295</v>
      </c>
      <c r="AE205" s="47" t="s">
        <v>937</v>
      </c>
      <c r="AF205" s="47" t="s">
        <v>931</v>
      </c>
      <c r="AG205" s="47" t="s">
        <v>2296</v>
      </c>
      <c r="AH205" s="47" t="s">
        <v>931</v>
      </c>
      <c r="AI205" s="47" t="s">
        <v>931</v>
      </c>
      <c r="AJ205" s="47" t="s">
        <v>931</v>
      </c>
      <c r="AK205" s="47" t="s">
        <v>930</v>
      </c>
      <c r="AL205" s="47" t="s">
        <v>931</v>
      </c>
      <c r="AM205" s="47" t="s">
        <v>931</v>
      </c>
      <c r="AN205" s="37"/>
    </row>
    <row r="206" spans="1:40">
      <c r="A206" s="47" t="s">
        <v>982</v>
      </c>
      <c r="B206" s="47" t="s">
        <v>919</v>
      </c>
      <c r="C206" s="47" t="s">
        <v>799</v>
      </c>
      <c r="D206" s="47">
        <f t="shared" si="8"/>
        <v>756916</v>
      </c>
      <c r="E206" s="47" t="s">
        <v>42</v>
      </c>
      <c r="F206" s="47" t="s">
        <v>191</v>
      </c>
      <c r="G206" s="47" t="s">
        <v>43</v>
      </c>
      <c r="H206" s="47" t="s">
        <v>931</v>
      </c>
      <c r="I206" s="47" t="s">
        <v>2297</v>
      </c>
      <c r="J206" s="47" t="s">
        <v>1024</v>
      </c>
      <c r="K206" s="47" t="s">
        <v>163</v>
      </c>
      <c r="L206" s="47" t="s">
        <v>1025</v>
      </c>
      <c r="M206" s="47" t="s">
        <v>1025</v>
      </c>
      <c r="N206" s="47" t="s">
        <v>1026</v>
      </c>
      <c r="O206" s="47" t="s">
        <v>930</v>
      </c>
      <c r="P206" s="47" t="s">
        <v>930</v>
      </c>
      <c r="Q206" s="47" t="str">
        <f t="shared" si="9"/>
        <v xml:space="preserve"> Sáng T5:</v>
      </c>
      <c r="R206" s="47" t="s">
        <v>947</v>
      </c>
      <c r="S206" s="47" t="s">
        <v>1027</v>
      </c>
      <c r="T206" s="47" t="s">
        <v>2298</v>
      </c>
      <c r="U206" s="47" t="s">
        <v>2299</v>
      </c>
      <c r="V206" s="47" t="s">
        <v>24</v>
      </c>
      <c r="W206" s="47" t="s">
        <v>931</v>
      </c>
      <c r="X206" s="47" t="s">
        <v>1030</v>
      </c>
      <c r="Y206" s="47" t="s">
        <v>43</v>
      </c>
      <c r="Z206" s="47" t="s">
        <v>1463</v>
      </c>
      <c r="AA206" s="47" t="s">
        <v>1464</v>
      </c>
      <c r="AB206" s="47" t="s">
        <v>1435</v>
      </c>
      <c r="AC206" s="47" t="s">
        <v>402</v>
      </c>
      <c r="AD206" s="47" t="s">
        <v>2300</v>
      </c>
      <c r="AE206" s="47" t="s">
        <v>937</v>
      </c>
      <c r="AF206" s="47" t="s">
        <v>931</v>
      </c>
      <c r="AG206" s="47" t="s">
        <v>931</v>
      </c>
      <c r="AH206" s="47" t="s">
        <v>931</v>
      </c>
      <c r="AI206" s="47" t="s">
        <v>931</v>
      </c>
      <c r="AJ206" s="47" t="s">
        <v>931</v>
      </c>
      <c r="AK206" s="47" t="s">
        <v>930</v>
      </c>
      <c r="AL206" s="47" t="s">
        <v>931</v>
      </c>
      <c r="AM206" s="47" t="s">
        <v>931</v>
      </c>
      <c r="AN206" s="37"/>
    </row>
    <row r="207" spans="1:40" hidden="1">
      <c r="A207" s="47" t="s">
        <v>982</v>
      </c>
      <c r="B207" s="47" t="s">
        <v>919</v>
      </c>
      <c r="C207" s="47" t="s">
        <v>2301</v>
      </c>
      <c r="D207" s="47">
        <f t="shared" si="8"/>
        <v>756910</v>
      </c>
      <c r="E207" s="47" t="s">
        <v>212</v>
      </c>
      <c r="F207" s="47" t="s">
        <v>213</v>
      </c>
      <c r="G207" s="47" t="s">
        <v>41</v>
      </c>
      <c r="H207" s="47" t="s">
        <v>1100</v>
      </c>
      <c r="I207" s="47" t="s">
        <v>2302</v>
      </c>
      <c r="J207" s="47" t="s">
        <v>944</v>
      </c>
      <c r="K207" s="47" t="s">
        <v>163</v>
      </c>
      <c r="L207" s="47" t="s">
        <v>1269</v>
      </c>
      <c r="M207" s="47" t="s">
        <v>1025</v>
      </c>
      <c r="N207" s="47" t="s">
        <v>1026</v>
      </c>
      <c r="O207" s="47" t="s">
        <v>930</v>
      </c>
      <c r="P207" s="47" t="s">
        <v>930</v>
      </c>
      <c r="Q207" s="47" t="str">
        <f t="shared" si="9"/>
        <v xml:space="preserve"> Chiều T4</v>
      </c>
      <c r="R207" s="47" t="s">
        <v>973</v>
      </c>
      <c r="S207" s="47" t="s">
        <v>1059</v>
      </c>
      <c r="T207" s="47" t="s">
        <v>2303</v>
      </c>
      <c r="U207" s="47" t="s">
        <v>2304</v>
      </c>
      <c r="V207" s="47" t="s">
        <v>25</v>
      </c>
      <c r="W207" s="47" t="s">
        <v>931</v>
      </c>
      <c r="X207" s="47" t="s">
        <v>1030</v>
      </c>
      <c r="Y207" s="47" t="s">
        <v>41</v>
      </c>
      <c r="Z207" s="47" t="s">
        <v>1111</v>
      </c>
      <c r="AA207" s="47" t="s">
        <v>1112</v>
      </c>
      <c r="AB207" s="47" t="s">
        <v>1135</v>
      </c>
      <c r="AC207" s="47" t="s">
        <v>515</v>
      </c>
      <c r="AD207" s="47" t="s">
        <v>2305</v>
      </c>
      <c r="AE207" s="47" t="s">
        <v>937</v>
      </c>
      <c r="AF207" s="47" t="s">
        <v>931</v>
      </c>
      <c r="AG207" s="47" t="s">
        <v>2306</v>
      </c>
      <c r="AH207" s="47" t="s">
        <v>364</v>
      </c>
      <c r="AI207" s="47" t="s">
        <v>931</v>
      </c>
      <c r="AJ207" s="47" t="s">
        <v>365</v>
      </c>
      <c r="AK207" s="47" t="s">
        <v>930</v>
      </c>
      <c r="AL207" s="47" t="s">
        <v>931</v>
      </c>
      <c r="AM207" s="47" t="s">
        <v>931</v>
      </c>
      <c r="AN207" s="37"/>
    </row>
    <row r="208" spans="1:40">
      <c r="A208" s="47" t="s">
        <v>982</v>
      </c>
      <c r="B208" s="47" t="s">
        <v>919</v>
      </c>
      <c r="C208" s="47" t="s">
        <v>2307</v>
      </c>
      <c r="D208" s="47">
        <f t="shared" si="8"/>
        <v>756960</v>
      </c>
      <c r="E208" s="47" t="s">
        <v>200</v>
      </c>
      <c r="F208" s="47" t="s">
        <v>191</v>
      </c>
      <c r="G208" s="47" t="s">
        <v>41</v>
      </c>
      <c r="H208" s="47" t="s">
        <v>1518</v>
      </c>
      <c r="I208" s="47" t="s">
        <v>2308</v>
      </c>
      <c r="J208" s="47" t="s">
        <v>1024</v>
      </c>
      <c r="K208" s="47" t="s">
        <v>163</v>
      </c>
      <c r="L208" s="47" t="s">
        <v>1025</v>
      </c>
      <c r="M208" s="47" t="s">
        <v>1025</v>
      </c>
      <c r="N208" s="47" t="s">
        <v>1026</v>
      </c>
      <c r="O208" s="47" t="s">
        <v>930</v>
      </c>
      <c r="P208" s="47" t="s">
        <v>930</v>
      </c>
      <c r="Q208" s="47" t="str">
        <f t="shared" si="9"/>
        <v xml:space="preserve"> Chiều T5</v>
      </c>
      <c r="R208" s="47" t="s">
        <v>973</v>
      </c>
      <c r="S208" s="47" t="s">
        <v>1027</v>
      </c>
      <c r="T208" s="47" t="s">
        <v>2309</v>
      </c>
      <c r="U208" s="47" t="s">
        <v>2310</v>
      </c>
      <c r="V208" s="47" t="s">
        <v>16</v>
      </c>
      <c r="W208" s="47" t="s">
        <v>931</v>
      </c>
      <c r="X208" s="47" t="s">
        <v>1030</v>
      </c>
      <c r="Y208" s="47" t="s">
        <v>41</v>
      </c>
      <c r="Z208" s="47" t="s">
        <v>1111</v>
      </c>
      <c r="AA208" s="47" t="s">
        <v>1112</v>
      </c>
      <c r="AB208" s="47" t="s">
        <v>2311</v>
      </c>
      <c r="AC208" s="47" t="s">
        <v>447</v>
      </c>
      <c r="AD208" s="47" t="s">
        <v>2312</v>
      </c>
      <c r="AE208" s="47" t="s">
        <v>937</v>
      </c>
      <c r="AF208" s="47" t="s">
        <v>931</v>
      </c>
      <c r="AG208" s="47" t="s">
        <v>2313</v>
      </c>
      <c r="AH208" s="47" t="s">
        <v>931</v>
      </c>
      <c r="AI208" s="47" t="s">
        <v>931</v>
      </c>
      <c r="AJ208" s="47" t="s">
        <v>931</v>
      </c>
      <c r="AK208" s="47" t="s">
        <v>930</v>
      </c>
      <c r="AL208" s="47" t="s">
        <v>931</v>
      </c>
      <c r="AM208" s="47" t="s">
        <v>931</v>
      </c>
      <c r="AN208" s="37"/>
    </row>
    <row r="209" spans="1:40">
      <c r="A209" s="47" t="s">
        <v>982</v>
      </c>
      <c r="B209" s="47" t="s">
        <v>919</v>
      </c>
      <c r="C209" s="47" t="s">
        <v>2314</v>
      </c>
      <c r="D209" s="47">
        <f t="shared" si="8"/>
        <v>756913</v>
      </c>
      <c r="E209" s="47" t="s">
        <v>190</v>
      </c>
      <c r="F209" s="47" t="s">
        <v>191</v>
      </c>
      <c r="G209" s="47" t="s">
        <v>1986</v>
      </c>
      <c r="H209" s="47" t="s">
        <v>1518</v>
      </c>
      <c r="I209" s="47" t="s">
        <v>2315</v>
      </c>
      <c r="J209" s="47" t="s">
        <v>1090</v>
      </c>
      <c r="K209" s="47" t="s">
        <v>163</v>
      </c>
      <c r="L209" s="47" t="s">
        <v>1025</v>
      </c>
      <c r="M209" s="47" t="s">
        <v>1269</v>
      </c>
      <c r="N209" s="47" t="s">
        <v>1026</v>
      </c>
      <c r="O209" s="47" t="s">
        <v>930</v>
      </c>
      <c r="P209" s="47" t="s">
        <v>930</v>
      </c>
      <c r="Q209" s="47" t="str">
        <f t="shared" si="9"/>
        <v xml:space="preserve"> Chiều T6</v>
      </c>
      <c r="R209" s="47" t="s">
        <v>973</v>
      </c>
      <c r="S209" s="47" t="s">
        <v>1140</v>
      </c>
      <c r="T209" s="47" t="s">
        <v>2316</v>
      </c>
      <c r="U209" s="47" t="s">
        <v>2317</v>
      </c>
      <c r="V209" s="47" t="s">
        <v>27</v>
      </c>
      <c r="W209" s="47" t="s">
        <v>931</v>
      </c>
      <c r="X209" s="47" t="s">
        <v>1030</v>
      </c>
      <c r="Y209" s="47" t="s">
        <v>1986</v>
      </c>
      <c r="Z209" s="47" t="s">
        <v>1990</v>
      </c>
      <c r="AA209" s="47" t="s">
        <v>1991</v>
      </c>
      <c r="AB209" s="47" t="s">
        <v>1457</v>
      </c>
      <c r="AC209" s="47" t="s">
        <v>447</v>
      </c>
      <c r="AD209" s="47" t="s">
        <v>2318</v>
      </c>
      <c r="AE209" s="47" t="s">
        <v>937</v>
      </c>
      <c r="AF209" s="47" t="s">
        <v>931</v>
      </c>
      <c r="AG209" s="47" t="s">
        <v>2319</v>
      </c>
      <c r="AH209" s="47" t="s">
        <v>931</v>
      </c>
      <c r="AI209" s="47" t="s">
        <v>931</v>
      </c>
      <c r="AJ209" s="47" t="s">
        <v>931</v>
      </c>
      <c r="AK209" s="47" t="s">
        <v>930</v>
      </c>
      <c r="AL209" s="47" t="s">
        <v>931</v>
      </c>
      <c r="AM209" s="47" t="s">
        <v>931</v>
      </c>
      <c r="AN209" s="37"/>
    </row>
    <row r="210" spans="1:40">
      <c r="A210" s="47" t="s">
        <v>982</v>
      </c>
      <c r="B210" s="47" t="s">
        <v>919</v>
      </c>
      <c r="C210" s="47" t="s">
        <v>2320</v>
      </c>
      <c r="D210" s="47">
        <f t="shared" si="8"/>
        <v>756939</v>
      </c>
      <c r="E210" s="47" t="s">
        <v>200</v>
      </c>
      <c r="F210" s="47" t="s">
        <v>191</v>
      </c>
      <c r="G210" s="47" t="s">
        <v>44</v>
      </c>
      <c r="H210" s="47" t="s">
        <v>1518</v>
      </c>
      <c r="I210" s="47" t="s">
        <v>2321</v>
      </c>
      <c r="J210" s="47" t="s">
        <v>1024</v>
      </c>
      <c r="K210" s="47" t="s">
        <v>163</v>
      </c>
      <c r="L210" s="47" t="s">
        <v>1025</v>
      </c>
      <c r="M210" s="47" t="s">
        <v>1025</v>
      </c>
      <c r="N210" s="47" t="s">
        <v>1026</v>
      </c>
      <c r="O210" s="47" t="s">
        <v>930</v>
      </c>
      <c r="P210" s="47" t="s">
        <v>930</v>
      </c>
      <c r="Q210" s="47" t="str">
        <f t="shared" si="9"/>
        <v xml:space="preserve"> Chiều T4</v>
      </c>
      <c r="R210" s="47" t="s">
        <v>973</v>
      </c>
      <c r="S210" s="47" t="s">
        <v>1059</v>
      </c>
      <c r="T210" s="47" t="s">
        <v>2322</v>
      </c>
      <c r="U210" s="47" t="s">
        <v>2323</v>
      </c>
      <c r="V210" s="47" t="s">
        <v>16</v>
      </c>
      <c r="W210" s="47" t="s">
        <v>931</v>
      </c>
      <c r="X210" s="47" t="s">
        <v>1030</v>
      </c>
      <c r="Y210" s="47" t="s">
        <v>44</v>
      </c>
      <c r="Z210" s="47" t="s">
        <v>1209</v>
      </c>
      <c r="AA210" s="47" t="s">
        <v>1210</v>
      </c>
      <c r="AB210" s="47" t="s">
        <v>2272</v>
      </c>
      <c r="AC210" s="47" t="s">
        <v>447</v>
      </c>
      <c r="AD210" s="47" t="s">
        <v>2324</v>
      </c>
      <c r="AE210" s="47" t="s">
        <v>937</v>
      </c>
      <c r="AF210" s="47" t="s">
        <v>931</v>
      </c>
      <c r="AG210" s="47" t="s">
        <v>2325</v>
      </c>
      <c r="AH210" s="47" t="s">
        <v>931</v>
      </c>
      <c r="AI210" s="47" t="s">
        <v>931</v>
      </c>
      <c r="AJ210" s="47" t="s">
        <v>931</v>
      </c>
      <c r="AK210" s="47" t="s">
        <v>930</v>
      </c>
      <c r="AL210" s="47" t="s">
        <v>931</v>
      </c>
      <c r="AM210" s="47" t="s">
        <v>931</v>
      </c>
      <c r="AN210" s="37"/>
    </row>
    <row r="211" spans="1:40">
      <c r="A211" s="47" t="s">
        <v>982</v>
      </c>
      <c r="B211" s="47" t="s">
        <v>919</v>
      </c>
      <c r="C211" s="47" t="s">
        <v>2326</v>
      </c>
      <c r="D211" s="47">
        <f t="shared" si="8"/>
        <v>756951</v>
      </c>
      <c r="E211" s="47" t="s">
        <v>200</v>
      </c>
      <c r="F211" s="47" t="s">
        <v>191</v>
      </c>
      <c r="G211" s="47" t="s">
        <v>39</v>
      </c>
      <c r="H211" s="47" t="s">
        <v>931</v>
      </c>
      <c r="I211" s="47" t="s">
        <v>2327</v>
      </c>
      <c r="J211" s="47" t="s">
        <v>1024</v>
      </c>
      <c r="K211" s="47" t="s">
        <v>163</v>
      </c>
      <c r="L211" s="47" t="s">
        <v>1025</v>
      </c>
      <c r="M211" s="47" t="s">
        <v>1025</v>
      </c>
      <c r="N211" s="47" t="s">
        <v>1026</v>
      </c>
      <c r="O211" s="47" t="s">
        <v>930</v>
      </c>
      <c r="P211" s="47" t="s">
        <v>930</v>
      </c>
      <c r="Q211" s="47" t="str">
        <f t="shared" si="9"/>
        <v xml:space="preserve"> Sáng T6:</v>
      </c>
      <c r="R211" s="47" t="s">
        <v>947</v>
      </c>
      <c r="S211" s="47" t="s">
        <v>1140</v>
      </c>
      <c r="T211" s="47" t="s">
        <v>2328</v>
      </c>
      <c r="U211" s="47" t="s">
        <v>2329</v>
      </c>
      <c r="V211" s="47" t="s">
        <v>16</v>
      </c>
      <c r="W211" s="47" t="s">
        <v>931</v>
      </c>
      <c r="X211" s="47" t="s">
        <v>1030</v>
      </c>
      <c r="Y211" s="47" t="s">
        <v>39</v>
      </c>
      <c r="Z211" s="47" t="s">
        <v>1031</v>
      </c>
      <c r="AA211" s="47" t="s">
        <v>1032</v>
      </c>
      <c r="AB211" s="47" t="s">
        <v>1416</v>
      </c>
      <c r="AC211" s="47" t="s">
        <v>447</v>
      </c>
      <c r="AD211" s="47" t="s">
        <v>2330</v>
      </c>
      <c r="AE211" s="47" t="s">
        <v>937</v>
      </c>
      <c r="AF211" s="47" t="s">
        <v>931</v>
      </c>
      <c r="AG211" s="47" t="s">
        <v>931</v>
      </c>
      <c r="AH211" s="47" t="s">
        <v>931</v>
      </c>
      <c r="AI211" s="47" t="s">
        <v>931</v>
      </c>
      <c r="AJ211" s="47" t="s">
        <v>931</v>
      </c>
      <c r="AK211" s="47" t="s">
        <v>930</v>
      </c>
      <c r="AL211" s="47" t="s">
        <v>931</v>
      </c>
      <c r="AM211" s="47" t="s">
        <v>931</v>
      </c>
      <c r="AN211" s="37"/>
    </row>
    <row r="212" spans="1:40">
      <c r="A212" s="47" t="s">
        <v>982</v>
      </c>
      <c r="B212" s="47" t="s">
        <v>919</v>
      </c>
      <c r="C212" s="47" t="s">
        <v>2331</v>
      </c>
      <c r="D212" s="47">
        <f t="shared" si="8"/>
        <v>756962</v>
      </c>
      <c r="E212" s="47" t="s">
        <v>200</v>
      </c>
      <c r="F212" s="47" t="s">
        <v>191</v>
      </c>
      <c r="G212" s="47" t="s">
        <v>44</v>
      </c>
      <c r="H212" s="47" t="s">
        <v>1518</v>
      </c>
      <c r="I212" s="47" t="s">
        <v>2332</v>
      </c>
      <c r="J212" s="47" t="s">
        <v>1024</v>
      </c>
      <c r="K212" s="47" t="s">
        <v>163</v>
      </c>
      <c r="L212" s="47" t="s">
        <v>1025</v>
      </c>
      <c r="M212" s="47" t="s">
        <v>1025</v>
      </c>
      <c r="N212" s="47" t="s">
        <v>1026</v>
      </c>
      <c r="O212" s="47" t="s">
        <v>930</v>
      </c>
      <c r="P212" s="47" t="s">
        <v>930</v>
      </c>
      <c r="Q212" s="47" t="str">
        <f t="shared" si="9"/>
        <v xml:space="preserve"> Chiều T2</v>
      </c>
      <c r="R212" s="47" t="s">
        <v>973</v>
      </c>
      <c r="S212" s="47" t="s">
        <v>1103</v>
      </c>
      <c r="T212" s="47" t="s">
        <v>2333</v>
      </c>
      <c r="U212" s="47" t="s">
        <v>2334</v>
      </c>
      <c r="V212" s="47" t="s">
        <v>16</v>
      </c>
      <c r="W212" s="47" t="s">
        <v>931</v>
      </c>
      <c r="X212" s="47" t="s">
        <v>1030</v>
      </c>
      <c r="Y212" s="47" t="s">
        <v>44</v>
      </c>
      <c r="Z212" s="47" t="s">
        <v>1209</v>
      </c>
      <c r="AA212" s="47" t="s">
        <v>1210</v>
      </c>
      <c r="AB212" s="47" t="s">
        <v>1777</v>
      </c>
      <c r="AC212" s="47" t="s">
        <v>447</v>
      </c>
      <c r="AD212" s="47" t="s">
        <v>2335</v>
      </c>
      <c r="AE212" s="47" t="s">
        <v>937</v>
      </c>
      <c r="AF212" s="47" t="s">
        <v>931</v>
      </c>
      <c r="AG212" s="47" t="s">
        <v>2336</v>
      </c>
      <c r="AH212" s="47" t="s">
        <v>931</v>
      </c>
      <c r="AI212" s="47" t="s">
        <v>931</v>
      </c>
      <c r="AJ212" s="47" t="s">
        <v>931</v>
      </c>
      <c r="AK212" s="47" t="s">
        <v>930</v>
      </c>
      <c r="AL212" s="47" t="s">
        <v>931</v>
      </c>
      <c r="AM212" s="47" t="s">
        <v>931</v>
      </c>
      <c r="AN212" s="37"/>
    </row>
    <row r="213" spans="1:40">
      <c r="A213" s="47" t="s">
        <v>982</v>
      </c>
      <c r="B213" s="47" t="s">
        <v>919</v>
      </c>
      <c r="C213" s="47" t="s">
        <v>2337</v>
      </c>
      <c r="D213" s="47">
        <f t="shared" si="8"/>
        <v>756972</v>
      </c>
      <c r="E213" s="47" t="s">
        <v>200</v>
      </c>
      <c r="F213" s="47" t="s">
        <v>191</v>
      </c>
      <c r="G213" s="47" t="s">
        <v>44</v>
      </c>
      <c r="H213" s="47" t="s">
        <v>1518</v>
      </c>
      <c r="I213" s="47" t="s">
        <v>2338</v>
      </c>
      <c r="J213" s="47" t="s">
        <v>1024</v>
      </c>
      <c r="K213" s="47" t="s">
        <v>163</v>
      </c>
      <c r="L213" s="47" t="s">
        <v>1432</v>
      </c>
      <c r="M213" s="47" t="s">
        <v>1025</v>
      </c>
      <c r="N213" s="47" t="s">
        <v>1026</v>
      </c>
      <c r="O213" s="47" t="s">
        <v>930</v>
      </c>
      <c r="P213" s="47" t="s">
        <v>930</v>
      </c>
      <c r="Q213" s="47" t="str">
        <f t="shared" si="9"/>
        <v xml:space="preserve"> Sáng T2:</v>
      </c>
      <c r="R213" s="47" t="s">
        <v>947</v>
      </c>
      <c r="S213" s="47" t="s">
        <v>1103</v>
      </c>
      <c r="T213" s="47" t="s">
        <v>2339</v>
      </c>
      <c r="U213" s="47" t="s">
        <v>2340</v>
      </c>
      <c r="V213" s="47" t="s">
        <v>18</v>
      </c>
      <c r="W213" s="47" t="s">
        <v>931</v>
      </c>
      <c r="X213" s="47" t="s">
        <v>1030</v>
      </c>
      <c r="Y213" s="47" t="s">
        <v>44</v>
      </c>
      <c r="Z213" s="47" t="s">
        <v>1209</v>
      </c>
      <c r="AA213" s="47" t="s">
        <v>1210</v>
      </c>
      <c r="AB213" s="47" t="s">
        <v>1450</v>
      </c>
      <c r="AC213" s="47" t="s">
        <v>447</v>
      </c>
      <c r="AD213" s="47" t="s">
        <v>2341</v>
      </c>
      <c r="AE213" s="47" t="s">
        <v>937</v>
      </c>
      <c r="AF213" s="47" t="s">
        <v>931</v>
      </c>
      <c r="AG213" s="47" t="s">
        <v>2342</v>
      </c>
      <c r="AH213" s="47" t="s">
        <v>931</v>
      </c>
      <c r="AI213" s="47" t="s">
        <v>931</v>
      </c>
      <c r="AJ213" s="47" t="s">
        <v>931</v>
      </c>
      <c r="AK213" s="47" t="s">
        <v>930</v>
      </c>
      <c r="AL213" s="47" t="s">
        <v>931</v>
      </c>
      <c r="AM213" s="47" t="s">
        <v>931</v>
      </c>
      <c r="AN213" s="37"/>
    </row>
    <row r="214" spans="1:40">
      <c r="A214" s="47" t="s">
        <v>982</v>
      </c>
      <c r="B214" s="47" t="s">
        <v>919</v>
      </c>
      <c r="C214" s="47" t="s">
        <v>2343</v>
      </c>
      <c r="D214" s="47">
        <f t="shared" si="8"/>
        <v>756978</v>
      </c>
      <c r="E214" s="47" t="s">
        <v>200</v>
      </c>
      <c r="F214" s="47" t="s">
        <v>191</v>
      </c>
      <c r="G214" s="47" t="s">
        <v>1986</v>
      </c>
      <c r="H214" s="47" t="s">
        <v>1518</v>
      </c>
      <c r="I214" s="47" t="s">
        <v>2344</v>
      </c>
      <c r="J214" s="47" t="s">
        <v>1024</v>
      </c>
      <c r="K214" s="47" t="s">
        <v>163</v>
      </c>
      <c r="L214" s="47" t="s">
        <v>1432</v>
      </c>
      <c r="M214" s="47" t="s">
        <v>1025</v>
      </c>
      <c r="N214" s="47" t="s">
        <v>1026</v>
      </c>
      <c r="O214" s="47" t="s">
        <v>930</v>
      </c>
      <c r="P214" s="47" t="s">
        <v>930</v>
      </c>
      <c r="Q214" s="47" t="str">
        <f t="shared" si="9"/>
        <v xml:space="preserve"> Chiều T3</v>
      </c>
      <c r="R214" s="47" t="s">
        <v>973</v>
      </c>
      <c r="S214" s="47" t="s">
        <v>1070</v>
      </c>
      <c r="T214" s="47" t="s">
        <v>2345</v>
      </c>
      <c r="U214" s="47" t="s">
        <v>2346</v>
      </c>
      <c r="V214" s="47" t="s">
        <v>18</v>
      </c>
      <c r="W214" s="47" t="s">
        <v>931</v>
      </c>
      <c r="X214" s="47" t="s">
        <v>1030</v>
      </c>
      <c r="Y214" s="47" t="s">
        <v>1986</v>
      </c>
      <c r="Z214" s="47" t="s">
        <v>1990</v>
      </c>
      <c r="AA214" s="47" t="s">
        <v>1991</v>
      </c>
      <c r="AB214" s="47" t="s">
        <v>2347</v>
      </c>
      <c r="AC214" s="47" t="s">
        <v>447</v>
      </c>
      <c r="AD214" s="47" t="s">
        <v>2348</v>
      </c>
      <c r="AE214" s="47" t="s">
        <v>937</v>
      </c>
      <c r="AF214" s="47" t="s">
        <v>931</v>
      </c>
      <c r="AG214" s="47" t="s">
        <v>2349</v>
      </c>
      <c r="AH214" s="47" t="s">
        <v>931</v>
      </c>
      <c r="AI214" s="47" t="s">
        <v>931</v>
      </c>
      <c r="AJ214" s="47" t="s">
        <v>931</v>
      </c>
      <c r="AK214" s="47" t="s">
        <v>930</v>
      </c>
      <c r="AL214" s="47" t="s">
        <v>931</v>
      </c>
      <c r="AM214" s="47" t="s">
        <v>931</v>
      </c>
      <c r="AN214" s="37"/>
    </row>
    <row r="215" spans="1:40">
      <c r="A215" s="47" t="s">
        <v>982</v>
      </c>
      <c r="B215" s="47" t="s">
        <v>919</v>
      </c>
      <c r="C215" s="47" t="s">
        <v>2350</v>
      </c>
      <c r="D215" s="47">
        <f t="shared" si="8"/>
        <v>756935</v>
      </c>
      <c r="E215" s="47" t="s">
        <v>200</v>
      </c>
      <c r="F215" s="47" t="s">
        <v>191</v>
      </c>
      <c r="G215" s="47" t="s">
        <v>41</v>
      </c>
      <c r="H215" s="47" t="s">
        <v>1518</v>
      </c>
      <c r="I215" s="47" t="s">
        <v>2351</v>
      </c>
      <c r="J215" s="47" t="s">
        <v>1024</v>
      </c>
      <c r="K215" s="47" t="s">
        <v>163</v>
      </c>
      <c r="L215" s="47" t="s">
        <v>1025</v>
      </c>
      <c r="M215" s="47" t="s">
        <v>1025</v>
      </c>
      <c r="N215" s="47" t="s">
        <v>1026</v>
      </c>
      <c r="O215" s="47" t="s">
        <v>930</v>
      </c>
      <c r="P215" s="47" t="s">
        <v>930</v>
      </c>
      <c r="Q215" s="47" t="str">
        <f t="shared" si="9"/>
        <v xml:space="preserve"> Sáng T5:</v>
      </c>
      <c r="R215" s="47" t="s">
        <v>947</v>
      </c>
      <c r="S215" s="47" t="s">
        <v>1027</v>
      </c>
      <c r="T215" s="47" t="s">
        <v>2352</v>
      </c>
      <c r="U215" s="47" t="s">
        <v>2353</v>
      </c>
      <c r="V215" s="47" t="s">
        <v>16</v>
      </c>
      <c r="W215" s="47" t="s">
        <v>931</v>
      </c>
      <c r="X215" s="47" t="s">
        <v>1030</v>
      </c>
      <c r="Y215" s="47" t="s">
        <v>41</v>
      </c>
      <c r="Z215" s="47" t="s">
        <v>1111</v>
      </c>
      <c r="AA215" s="47" t="s">
        <v>1112</v>
      </c>
      <c r="AB215" s="47" t="s">
        <v>1395</v>
      </c>
      <c r="AC215" s="47" t="s">
        <v>447</v>
      </c>
      <c r="AD215" s="47" t="s">
        <v>2354</v>
      </c>
      <c r="AE215" s="47" t="s">
        <v>937</v>
      </c>
      <c r="AF215" s="47" t="s">
        <v>931</v>
      </c>
      <c r="AG215" s="47" t="s">
        <v>2355</v>
      </c>
      <c r="AH215" s="47" t="s">
        <v>931</v>
      </c>
      <c r="AI215" s="47" t="s">
        <v>931</v>
      </c>
      <c r="AJ215" s="47" t="s">
        <v>931</v>
      </c>
      <c r="AK215" s="47" t="s">
        <v>930</v>
      </c>
      <c r="AL215" s="47" t="s">
        <v>931</v>
      </c>
      <c r="AM215" s="47" t="s">
        <v>931</v>
      </c>
      <c r="AN215" s="37"/>
    </row>
    <row r="216" spans="1:40">
      <c r="A216" s="47" t="s">
        <v>982</v>
      </c>
      <c r="B216" s="47" t="s">
        <v>919</v>
      </c>
      <c r="C216" s="47" t="s">
        <v>2356</v>
      </c>
      <c r="D216" s="47">
        <f t="shared" si="8"/>
        <v>756946</v>
      </c>
      <c r="E216" s="47" t="s">
        <v>200</v>
      </c>
      <c r="F216" s="47" t="s">
        <v>191</v>
      </c>
      <c r="G216" s="47" t="s">
        <v>35</v>
      </c>
      <c r="H216" s="47" t="s">
        <v>1518</v>
      </c>
      <c r="I216" s="47" t="s">
        <v>2357</v>
      </c>
      <c r="J216" s="47" t="s">
        <v>1024</v>
      </c>
      <c r="K216" s="47" t="s">
        <v>163</v>
      </c>
      <c r="L216" s="47" t="s">
        <v>1025</v>
      </c>
      <c r="M216" s="47" t="s">
        <v>1025</v>
      </c>
      <c r="N216" s="47" t="s">
        <v>1026</v>
      </c>
      <c r="O216" s="47" t="s">
        <v>930</v>
      </c>
      <c r="P216" s="47" t="s">
        <v>930</v>
      </c>
      <c r="Q216" s="47" t="str">
        <f t="shared" si="9"/>
        <v xml:space="preserve"> Chiều T6</v>
      </c>
      <c r="R216" s="47" t="s">
        <v>973</v>
      </c>
      <c r="S216" s="47" t="s">
        <v>1140</v>
      </c>
      <c r="T216" s="47" t="s">
        <v>2358</v>
      </c>
      <c r="U216" s="47" t="s">
        <v>2359</v>
      </c>
      <c r="V216" s="47" t="s">
        <v>16</v>
      </c>
      <c r="W216" s="47" t="s">
        <v>931</v>
      </c>
      <c r="X216" s="47" t="s">
        <v>1030</v>
      </c>
      <c r="Y216" s="47" t="s">
        <v>35</v>
      </c>
      <c r="Z216" s="47" t="s">
        <v>1133</v>
      </c>
      <c r="AA216" s="47" t="s">
        <v>1134</v>
      </c>
      <c r="AB216" s="47" t="s">
        <v>1457</v>
      </c>
      <c r="AC216" s="47" t="s">
        <v>447</v>
      </c>
      <c r="AD216" s="47" t="s">
        <v>2360</v>
      </c>
      <c r="AE216" s="47" t="s">
        <v>937</v>
      </c>
      <c r="AF216" s="47" t="s">
        <v>931</v>
      </c>
      <c r="AG216" s="47" t="s">
        <v>2361</v>
      </c>
      <c r="AH216" s="47" t="s">
        <v>931</v>
      </c>
      <c r="AI216" s="47" t="s">
        <v>931</v>
      </c>
      <c r="AJ216" s="47" t="s">
        <v>931</v>
      </c>
      <c r="AK216" s="47" t="s">
        <v>930</v>
      </c>
      <c r="AL216" s="47" t="s">
        <v>931</v>
      </c>
      <c r="AM216" s="47" t="s">
        <v>931</v>
      </c>
      <c r="AN216" s="37"/>
    </row>
    <row r="217" spans="1:40">
      <c r="A217" s="47" t="s">
        <v>982</v>
      </c>
      <c r="B217" s="47" t="s">
        <v>919</v>
      </c>
      <c r="C217" s="47" t="s">
        <v>2362</v>
      </c>
      <c r="D217" s="47">
        <f t="shared" si="8"/>
        <v>756958</v>
      </c>
      <c r="E217" s="47" t="s">
        <v>200</v>
      </c>
      <c r="F217" s="47" t="s">
        <v>191</v>
      </c>
      <c r="G217" s="47" t="s">
        <v>41</v>
      </c>
      <c r="H217" s="47" t="s">
        <v>1518</v>
      </c>
      <c r="I217" s="47" t="s">
        <v>2363</v>
      </c>
      <c r="J217" s="47" t="s">
        <v>1024</v>
      </c>
      <c r="K217" s="47" t="s">
        <v>163</v>
      </c>
      <c r="L217" s="47" t="s">
        <v>1025</v>
      </c>
      <c r="M217" s="47" t="s">
        <v>1025</v>
      </c>
      <c r="N217" s="47" t="s">
        <v>1026</v>
      </c>
      <c r="O217" s="47" t="s">
        <v>930</v>
      </c>
      <c r="P217" s="47" t="s">
        <v>930</v>
      </c>
      <c r="Q217" s="47" t="str">
        <f t="shared" si="9"/>
        <v xml:space="preserve"> Chiều T3</v>
      </c>
      <c r="R217" s="47" t="s">
        <v>973</v>
      </c>
      <c r="S217" s="47" t="s">
        <v>1070</v>
      </c>
      <c r="T217" s="47" t="s">
        <v>2364</v>
      </c>
      <c r="U217" s="47" t="s">
        <v>2365</v>
      </c>
      <c r="V217" s="47" t="s">
        <v>16</v>
      </c>
      <c r="W217" s="47" t="s">
        <v>931</v>
      </c>
      <c r="X217" s="47" t="s">
        <v>1030</v>
      </c>
      <c r="Y217" s="47" t="s">
        <v>41</v>
      </c>
      <c r="Z217" s="47" t="s">
        <v>1111</v>
      </c>
      <c r="AA217" s="47" t="s">
        <v>1112</v>
      </c>
      <c r="AB217" s="47" t="s">
        <v>1562</v>
      </c>
      <c r="AC217" s="47" t="s">
        <v>447</v>
      </c>
      <c r="AD217" s="47" t="s">
        <v>2366</v>
      </c>
      <c r="AE217" s="47" t="s">
        <v>937</v>
      </c>
      <c r="AF217" s="47" t="s">
        <v>931</v>
      </c>
      <c r="AG217" s="47" t="s">
        <v>2367</v>
      </c>
      <c r="AH217" s="47" t="s">
        <v>931</v>
      </c>
      <c r="AI217" s="47" t="s">
        <v>931</v>
      </c>
      <c r="AJ217" s="47" t="s">
        <v>931</v>
      </c>
      <c r="AK217" s="47" t="s">
        <v>930</v>
      </c>
      <c r="AL217" s="47" t="s">
        <v>931</v>
      </c>
      <c r="AM217" s="47" t="s">
        <v>931</v>
      </c>
      <c r="AN217" s="37"/>
    </row>
    <row r="218" spans="1:40">
      <c r="A218" s="47" t="s">
        <v>982</v>
      </c>
      <c r="B218" s="47" t="s">
        <v>919</v>
      </c>
      <c r="C218" s="47" t="s">
        <v>2368</v>
      </c>
      <c r="D218" s="47">
        <f t="shared" si="8"/>
        <v>756948</v>
      </c>
      <c r="E218" s="47" t="s">
        <v>200</v>
      </c>
      <c r="F218" s="47" t="s">
        <v>191</v>
      </c>
      <c r="G218" s="47" t="s">
        <v>44</v>
      </c>
      <c r="H218" s="47" t="s">
        <v>1518</v>
      </c>
      <c r="I218" s="47" t="s">
        <v>2369</v>
      </c>
      <c r="J218" s="47" t="s">
        <v>1024</v>
      </c>
      <c r="K218" s="47" t="s">
        <v>163</v>
      </c>
      <c r="L218" s="47" t="s">
        <v>1025</v>
      </c>
      <c r="M218" s="47" t="s">
        <v>1025</v>
      </c>
      <c r="N218" s="47" t="s">
        <v>1026</v>
      </c>
      <c r="O218" s="47" t="s">
        <v>930</v>
      </c>
      <c r="P218" s="47" t="s">
        <v>930</v>
      </c>
      <c r="Q218" s="47" t="str">
        <f t="shared" si="9"/>
        <v xml:space="preserve"> Sáng T3:</v>
      </c>
      <c r="R218" s="47" t="s">
        <v>947</v>
      </c>
      <c r="S218" s="47" t="s">
        <v>1070</v>
      </c>
      <c r="T218" s="47" t="s">
        <v>2370</v>
      </c>
      <c r="U218" s="47" t="s">
        <v>2371</v>
      </c>
      <c r="V218" s="47" t="s">
        <v>16</v>
      </c>
      <c r="W218" s="47" t="s">
        <v>931</v>
      </c>
      <c r="X218" s="47" t="s">
        <v>1030</v>
      </c>
      <c r="Y218" s="47" t="s">
        <v>44</v>
      </c>
      <c r="Z218" s="47" t="s">
        <v>1209</v>
      </c>
      <c r="AA218" s="47" t="s">
        <v>1210</v>
      </c>
      <c r="AB218" s="47" t="s">
        <v>2025</v>
      </c>
      <c r="AC218" s="47" t="s">
        <v>447</v>
      </c>
      <c r="AD218" s="47" t="s">
        <v>2372</v>
      </c>
      <c r="AE218" s="47" t="s">
        <v>937</v>
      </c>
      <c r="AF218" s="47" t="s">
        <v>931</v>
      </c>
      <c r="AG218" s="47" t="s">
        <v>2373</v>
      </c>
      <c r="AH218" s="47" t="s">
        <v>931</v>
      </c>
      <c r="AI218" s="47" t="s">
        <v>931</v>
      </c>
      <c r="AJ218" s="47" t="s">
        <v>931</v>
      </c>
      <c r="AK218" s="47" t="s">
        <v>930</v>
      </c>
      <c r="AL218" s="47" t="s">
        <v>931</v>
      </c>
      <c r="AM218" s="47" t="s">
        <v>931</v>
      </c>
      <c r="AN218" s="37"/>
    </row>
    <row r="219" spans="1:40">
      <c r="A219" s="47" t="s">
        <v>982</v>
      </c>
      <c r="B219" s="47" t="s">
        <v>919</v>
      </c>
      <c r="C219" s="47" t="s">
        <v>2374</v>
      </c>
      <c r="D219" s="47">
        <f t="shared" si="8"/>
        <v>756994</v>
      </c>
      <c r="E219" s="47" t="s">
        <v>200</v>
      </c>
      <c r="F219" s="47" t="s">
        <v>191</v>
      </c>
      <c r="G219" s="47" t="s">
        <v>40</v>
      </c>
      <c r="H219" s="47" t="s">
        <v>931</v>
      </c>
      <c r="I219" s="47" t="s">
        <v>2375</v>
      </c>
      <c r="J219" s="47" t="s">
        <v>1024</v>
      </c>
      <c r="K219" s="47" t="s">
        <v>163</v>
      </c>
      <c r="L219" s="47" t="s">
        <v>1025</v>
      </c>
      <c r="M219" s="47" t="s">
        <v>1025</v>
      </c>
      <c r="N219" s="47" t="s">
        <v>1026</v>
      </c>
      <c r="O219" s="47" t="s">
        <v>930</v>
      </c>
      <c r="P219" s="47" t="s">
        <v>930</v>
      </c>
      <c r="Q219" s="47" t="str">
        <f t="shared" si="9"/>
        <v xml:space="preserve"> Sáng T4:</v>
      </c>
      <c r="R219" s="47" t="s">
        <v>947</v>
      </c>
      <c r="S219" s="47" t="s">
        <v>1059</v>
      </c>
      <c r="T219" s="47" t="s">
        <v>2376</v>
      </c>
      <c r="U219" s="47" t="s">
        <v>2377</v>
      </c>
      <c r="V219" s="47" t="s">
        <v>18</v>
      </c>
      <c r="W219" s="47" t="s">
        <v>931</v>
      </c>
      <c r="X219" s="47" t="s">
        <v>1030</v>
      </c>
      <c r="Y219" s="47" t="s">
        <v>40</v>
      </c>
      <c r="Z219" s="47" t="s">
        <v>1357</v>
      </c>
      <c r="AA219" s="47" t="s">
        <v>1358</v>
      </c>
      <c r="AB219" s="47" t="s">
        <v>1403</v>
      </c>
      <c r="AC219" s="47" t="s">
        <v>447</v>
      </c>
      <c r="AD219" s="47" t="s">
        <v>2378</v>
      </c>
      <c r="AE219" s="47" t="s">
        <v>937</v>
      </c>
      <c r="AF219" s="47" t="s">
        <v>931</v>
      </c>
      <c r="AG219" s="47" t="s">
        <v>931</v>
      </c>
      <c r="AH219" s="47" t="s">
        <v>931</v>
      </c>
      <c r="AI219" s="47" t="s">
        <v>931</v>
      </c>
      <c r="AJ219" s="47" t="s">
        <v>931</v>
      </c>
      <c r="AK219" s="47" t="s">
        <v>930</v>
      </c>
      <c r="AL219" s="47" t="s">
        <v>931</v>
      </c>
      <c r="AM219" s="47" t="s">
        <v>931</v>
      </c>
      <c r="AN219" s="37"/>
    </row>
    <row r="220" spans="1:40">
      <c r="A220" s="47" t="s">
        <v>982</v>
      </c>
      <c r="B220" s="47" t="s">
        <v>919</v>
      </c>
      <c r="C220" s="47" t="s">
        <v>2379</v>
      </c>
      <c r="D220" s="47">
        <f t="shared" si="8"/>
        <v>756932</v>
      </c>
      <c r="E220" s="47" t="s">
        <v>200</v>
      </c>
      <c r="F220" s="47" t="s">
        <v>191</v>
      </c>
      <c r="G220" s="47" t="s">
        <v>43</v>
      </c>
      <c r="H220" s="47" t="s">
        <v>931</v>
      </c>
      <c r="I220" s="47" t="s">
        <v>2380</v>
      </c>
      <c r="J220" s="47" t="s">
        <v>1024</v>
      </c>
      <c r="K220" s="47" t="s">
        <v>163</v>
      </c>
      <c r="L220" s="47" t="s">
        <v>1025</v>
      </c>
      <c r="M220" s="47" t="s">
        <v>1025</v>
      </c>
      <c r="N220" s="47" t="s">
        <v>1026</v>
      </c>
      <c r="O220" s="47" t="s">
        <v>930</v>
      </c>
      <c r="P220" s="47" t="s">
        <v>930</v>
      </c>
      <c r="Q220" s="47" t="str">
        <f t="shared" si="9"/>
        <v xml:space="preserve"> Sáng T2:</v>
      </c>
      <c r="R220" s="47" t="s">
        <v>947</v>
      </c>
      <c r="S220" s="47" t="s">
        <v>1103</v>
      </c>
      <c r="T220" s="47" t="s">
        <v>2381</v>
      </c>
      <c r="U220" s="47" t="s">
        <v>2382</v>
      </c>
      <c r="V220" s="47" t="s">
        <v>16</v>
      </c>
      <c r="W220" s="47" t="s">
        <v>931</v>
      </c>
      <c r="X220" s="47" t="s">
        <v>1030</v>
      </c>
      <c r="Y220" s="47" t="s">
        <v>43</v>
      </c>
      <c r="Z220" s="47" t="s">
        <v>1463</v>
      </c>
      <c r="AA220" s="47" t="s">
        <v>1464</v>
      </c>
      <c r="AB220" s="47" t="s">
        <v>2383</v>
      </c>
      <c r="AC220" s="47" t="s">
        <v>447</v>
      </c>
      <c r="AD220" s="47" t="s">
        <v>2384</v>
      </c>
      <c r="AE220" s="47" t="s">
        <v>937</v>
      </c>
      <c r="AF220" s="47" t="s">
        <v>931</v>
      </c>
      <c r="AG220" s="47" t="s">
        <v>931</v>
      </c>
      <c r="AH220" s="47" t="s">
        <v>931</v>
      </c>
      <c r="AI220" s="47" t="s">
        <v>931</v>
      </c>
      <c r="AJ220" s="47" t="s">
        <v>931</v>
      </c>
      <c r="AK220" s="47" t="s">
        <v>930</v>
      </c>
      <c r="AL220" s="47" t="s">
        <v>931</v>
      </c>
      <c r="AM220" s="47" t="s">
        <v>931</v>
      </c>
      <c r="AN220" s="37"/>
    </row>
    <row r="221" spans="1:40">
      <c r="A221" s="47" t="s">
        <v>982</v>
      </c>
      <c r="B221" s="47" t="s">
        <v>919</v>
      </c>
      <c r="C221" s="47" t="s">
        <v>2385</v>
      </c>
      <c r="D221" s="47">
        <f t="shared" si="8"/>
        <v>756979</v>
      </c>
      <c r="E221" s="47" t="s">
        <v>200</v>
      </c>
      <c r="F221" s="47" t="s">
        <v>191</v>
      </c>
      <c r="G221" s="47" t="s">
        <v>40</v>
      </c>
      <c r="H221" s="47" t="s">
        <v>931</v>
      </c>
      <c r="I221" s="47" t="s">
        <v>2386</v>
      </c>
      <c r="J221" s="47" t="s">
        <v>1024</v>
      </c>
      <c r="K221" s="47" t="s">
        <v>163</v>
      </c>
      <c r="L221" s="47" t="s">
        <v>1025</v>
      </c>
      <c r="M221" s="47" t="s">
        <v>1025</v>
      </c>
      <c r="N221" s="47" t="s">
        <v>1026</v>
      </c>
      <c r="O221" s="47" t="s">
        <v>930</v>
      </c>
      <c r="P221" s="47" t="s">
        <v>930</v>
      </c>
      <c r="Q221" s="47" t="str">
        <f t="shared" si="9"/>
        <v xml:space="preserve"> Chiều T4</v>
      </c>
      <c r="R221" s="47" t="s">
        <v>973</v>
      </c>
      <c r="S221" s="47" t="s">
        <v>1059</v>
      </c>
      <c r="T221" s="47" t="s">
        <v>2387</v>
      </c>
      <c r="U221" s="47" t="s">
        <v>2388</v>
      </c>
      <c r="V221" s="47" t="s">
        <v>18</v>
      </c>
      <c r="W221" s="47" t="s">
        <v>931</v>
      </c>
      <c r="X221" s="47" t="s">
        <v>1030</v>
      </c>
      <c r="Y221" s="47" t="s">
        <v>40</v>
      </c>
      <c r="Z221" s="47" t="s">
        <v>1357</v>
      </c>
      <c r="AA221" s="47" t="s">
        <v>1358</v>
      </c>
      <c r="AB221" s="47" t="s">
        <v>1687</v>
      </c>
      <c r="AC221" s="47" t="s">
        <v>447</v>
      </c>
      <c r="AD221" s="47" t="s">
        <v>2389</v>
      </c>
      <c r="AE221" s="47" t="s">
        <v>937</v>
      </c>
      <c r="AF221" s="47" t="s">
        <v>931</v>
      </c>
      <c r="AG221" s="47" t="s">
        <v>931</v>
      </c>
      <c r="AH221" s="47" t="s">
        <v>931</v>
      </c>
      <c r="AI221" s="47" t="s">
        <v>931</v>
      </c>
      <c r="AJ221" s="47" t="s">
        <v>931</v>
      </c>
      <c r="AK221" s="47" t="s">
        <v>930</v>
      </c>
      <c r="AL221" s="47" t="s">
        <v>931</v>
      </c>
      <c r="AM221" s="47" t="s">
        <v>931</v>
      </c>
      <c r="AN221" s="37"/>
    </row>
    <row r="222" spans="1:40">
      <c r="A222" s="47" t="s">
        <v>982</v>
      </c>
      <c r="B222" s="47" t="s">
        <v>919</v>
      </c>
      <c r="C222" s="47" t="s">
        <v>2390</v>
      </c>
      <c r="D222" s="47">
        <f t="shared" si="8"/>
        <v>756991</v>
      </c>
      <c r="E222" s="47" t="s">
        <v>200</v>
      </c>
      <c r="F222" s="47" t="s">
        <v>191</v>
      </c>
      <c r="G222" s="47" t="s">
        <v>40</v>
      </c>
      <c r="H222" s="47" t="s">
        <v>931</v>
      </c>
      <c r="I222" s="47" t="s">
        <v>2391</v>
      </c>
      <c r="J222" s="47" t="s">
        <v>1024</v>
      </c>
      <c r="K222" s="47" t="s">
        <v>163</v>
      </c>
      <c r="L222" s="47" t="s">
        <v>2392</v>
      </c>
      <c r="M222" s="47" t="s">
        <v>1025</v>
      </c>
      <c r="N222" s="47" t="s">
        <v>1026</v>
      </c>
      <c r="O222" s="47" t="s">
        <v>930</v>
      </c>
      <c r="P222" s="47" t="s">
        <v>930</v>
      </c>
      <c r="Q222" s="47" t="str">
        <f t="shared" si="9"/>
        <v xml:space="preserve"> Sáng T6:</v>
      </c>
      <c r="R222" s="47" t="s">
        <v>947</v>
      </c>
      <c r="S222" s="47" t="s">
        <v>1140</v>
      </c>
      <c r="T222" s="47" t="s">
        <v>2393</v>
      </c>
      <c r="U222" s="47" t="s">
        <v>2394</v>
      </c>
      <c r="V222" s="47" t="s">
        <v>18</v>
      </c>
      <c r="W222" s="47" t="s">
        <v>931</v>
      </c>
      <c r="X222" s="47" t="s">
        <v>1030</v>
      </c>
      <c r="Y222" s="47" t="s">
        <v>40</v>
      </c>
      <c r="Z222" s="47" t="s">
        <v>1357</v>
      </c>
      <c r="AA222" s="47" t="s">
        <v>1358</v>
      </c>
      <c r="AB222" s="47" t="s">
        <v>1478</v>
      </c>
      <c r="AC222" s="47" t="s">
        <v>447</v>
      </c>
      <c r="AD222" s="47" t="s">
        <v>2395</v>
      </c>
      <c r="AE222" s="47" t="s">
        <v>937</v>
      </c>
      <c r="AF222" s="47" t="s">
        <v>931</v>
      </c>
      <c r="AG222" s="47" t="s">
        <v>931</v>
      </c>
      <c r="AH222" s="47" t="s">
        <v>931</v>
      </c>
      <c r="AI222" s="47" t="s">
        <v>931</v>
      </c>
      <c r="AJ222" s="47" t="s">
        <v>931</v>
      </c>
      <c r="AK222" s="47" t="s">
        <v>930</v>
      </c>
      <c r="AL222" s="47" t="s">
        <v>931</v>
      </c>
      <c r="AM222" s="47" t="s">
        <v>931</v>
      </c>
      <c r="AN222" s="37"/>
    </row>
    <row r="223" spans="1:40">
      <c r="A223" s="47" t="s">
        <v>982</v>
      </c>
      <c r="B223" s="47" t="s">
        <v>919</v>
      </c>
      <c r="C223" s="47" t="s">
        <v>2396</v>
      </c>
      <c r="D223" s="47">
        <f t="shared" si="8"/>
        <v>756911</v>
      </c>
      <c r="E223" s="47" t="s">
        <v>190</v>
      </c>
      <c r="F223" s="47" t="s">
        <v>191</v>
      </c>
      <c r="G223" s="47" t="s">
        <v>35</v>
      </c>
      <c r="H223" s="47" t="s">
        <v>1518</v>
      </c>
      <c r="I223" s="47" t="s">
        <v>2397</v>
      </c>
      <c r="J223" s="47" t="s">
        <v>1090</v>
      </c>
      <c r="K223" s="47" t="s">
        <v>163</v>
      </c>
      <c r="L223" s="47" t="s">
        <v>1269</v>
      </c>
      <c r="M223" s="47" t="s">
        <v>1269</v>
      </c>
      <c r="N223" s="47" t="s">
        <v>1026</v>
      </c>
      <c r="O223" s="47" t="s">
        <v>930</v>
      </c>
      <c r="P223" s="47" t="s">
        <v>930</v>
      </c>
      <c r="Q223" s="47" t="str">
        <f t="shared" si="9"/>
        <v xml:space="preserve"> Chiều T6</v>
      </c>
      <c r="R223" s="47" t="s">
        <v>973</v>
      </c>
      <c r="S223" s="47" t="s">
        <v>1140</v>
      </c>
      <c r="T223" s="47" t="s">
        <v>2398</v>
      </c>
      <c r="U223" s="47" t="s">
        <v>2399</v>
      </c>
      <c r="V223" s="47" t="s">
        <v>24</v>
      </c>
      <c r="W223" s="47" t="s">
        <v>931</v>
      </c>
      <c r="X223" s="47" t="s">
        <v>1030</v>
      </c>
      <c r="Y223" s="47" t="s">
        <v>35</v>
      </c>
      <c r="Z223" s="47" t="s">
        <v>1133</v>
      </c>
      <c r="AA223" s="47" t="s">
        <v>1134</v>
      </c>
      <c r="AB223" s="47" t="s">
        <v>2101</v>
      </c>
      <c r="AC223" s="47" t="s">
        <v>447</v>
      </c>
      <c r="AD223" s="47" t="s">
        <v>2400</v>
      </c>
      <c r="AE223" s="47" t="s">
        <v>937</v>
      </c>
      <c r="AF223" s="47" t="s">
        <v>931</v>
      </c>
      <c r="AG223" s="47" t="s">
        <v>2401</v>
      </c>
      <c r="AH223" s="47" t="s">
        <v>931</v>
      </c>
      <c r="AI223" s="47" t="s">
        <v>931</v>
      </c>
      <c r="AJ223" s="47" t="s">
        <v>931</v>
      </c>
      <c r="AK223" s="47" t="s">
        <v>930</v>
      </c>
      <c r="AL223" s="47" t="s">
        <v>931</v>
      </c>
      <c r="AM223" s="47" t="s">
        <v>931</v>
      </c>
      <c r="AN223" s="37"/>
    </row>
    <row r="224" spans="1:40">
      <c r="A224" s="47" t="s">
        <v>982</v>
      </c>
      <c r="B224" s="47" t="s">
        <v>919</v>
      </c>
      <c r="C224" s="47" t="s">
        <v>2402</v>
      </c>
      <c r="D224" s="47">
        <f t="shared" si="8"/>
        <v>756934</v>
      </c>
      <c r="E224" s="47" t="s">
        <v>200</v>
      </c>
      <c r="F224" s="47" t="s">
        <v>191</v>
      </c>
      <c r="G224" s="47" t="s">
        <v>43</v>
      </c>
      <c r="H224" s="47" t="s">
        <v>931</v>
      </c>
      <c r="I224" s="47" t="s">
        <v>2403</v>
      </c>
      <c r="J224" s="47" t="s">
        <v>1024</v>
      </c>
      <c r="K224" s="47" t="s">
        <v>163</v>
      </c>
      <c r="L224" s="47" t="s">
        <v>1432</v>
      </c>
      <c r="M224" s="47" t="s">
        <v>1025</v>
      </c>
      <c r="N224" s="47" t="s">
        <v>1026</v>
      </c>
      <c r="O224" s="47" t="s">
        <v>930</v>
      </c>
      <c r="P224" s="47" t="s">
        <v>930</v>
      </c>
      <c r="Q224" s="47" t="str">
        <f t="shared" si="9"/>
        <v xml:space="preserve"> Sáng T4:</v>
      </c>
      <c r="R224" s="47" t="s">
        <v>947</v>
      </c>
      <c r="S224" s="47" t="s">
        <v>1059</v>
      </c>
      <c r="T224" s="47" t="s">
        <v>2404</v>
      </c>
      <c r="U224" s="47" t="s">
        <v>2405</v>
      </c>
      <c r="V224" s="47" t="s">
        <v>16</v>
      </c>
      <c r="W224" s="47" t="s">
        <v>931</v>
      </c>
      <c r="X224" s="47" t="s">
        <v>1030</v>
      </c>
      <c r="Y224" s="47" t="s">
        <v>43</v>
      </c>
      <c r="Z224" s="47" t="s">
        <v>1463</v>
      </c>
      <c r="AA224" s="47" t="s">
        <v>1464</v>
      </c>
      <c r="AB224" s="47" t="s">
        <v>1811</v>
      </c>
      <c r="AC224" s="47" t="s">
        <v>447</v>
      </c>
      <c r="AD224" s="47" t="s">
        <v>2406</v>
      </c>
      <c r="AE224" s="47" t="s">
        <v>937</v>
      </c>
      <c r="AF224" s="47" t="s">
        <v>931</v>
      </c>
      <c r="AG224" s="47" t="s">
        <v>931</v>
      </c>
      <c r="AH224" s="47" t="s">
        <v>931</v>
      </c>
      <c r="AI224" s="47" t="s">
        <v>931</v>
      </c>
      <c r="AJ224" s="47" t="s">
        <v>931</v>
      </c>
      <c r="AK224" s="47" t="s">
        <v>930</v>
      </c>
      <c r="AL224" s="47" t="s">
        <v>931</v>
      </c>
      <c r="AM224" s="47" t="s">
        <v>931</v>
      </c>
      <c r="AN224" s="37"/>
    </row>
    <row r="225" spans="1:40">
      <c r="A225" s="47" t="s">
        <v>982</v>
      </c>
      <c r="B225" s="47" t="s">
        <v>919</v>
      </c>
      <c r="C225" s="47" t="s">
        <v>2407</v>
      </c>
      <c r="D225" s="47">
        <f t="shared" si="8"/>
        <v>756941</v>
      </c>
      <c r="E225" s="47" t="s">
        <v>200</v>
      </c>
      <c r="F225" s="47" t="s">
        <v>191</v>
      </c>
      <c r="G225" s="47" t="s">
        <v>40</v>
      </c>
      <c r="H225" s="47" t="s">
        <v>931</v>
      </c>
      <c r="I225" s="47" t="s">
        <v>2408</v>
      </c>
      <c r="J225" s="47" t="s">
        <v>1024</v>
      </c>
      <c r="K225" s="47" t="s">
        <v>163</v>
      </c>
      <c r="L225" s="47" t="s">
        <v>1025</v>
      </c>
      <c r="M225" s="47" t="s">
        <v>1025</v>
      </c>
      <c r="N225" s="47" t="s">
        <v>1026</v>
      </c>
      <c r="O225" s="47" t="s">
        <v>930</v>
      </c>
      <c r="P225" s="47" t="s">
        <v>930</v>
      </c>
      <c r="Q225" s="47" t="str">
        <f t="shared" si="9"/>
        <v xml:space="preserve"> Chiều T6</v>
      </c>
      <c r="R225" s="47" t="s">
        <v>973</v>
      </c>
      <c r="S225" s="47" t="s">
        <v>1140</v>
      </c>
      <c r="T225" s="47" t="s">
        <v>2409</v>
      </c>
      <c r="U225" s="47" t="s">
        <v>2410</v>
      </c>
      <c r="V225" s="47" t="s">
        <v>16</v>
      </c>
      <c r="W225" s="47" t="s">
        <v>931</v>
      </c>
      <c r="X225" s="47" t="s">
        <v>1030</v>
      </c>
      <c r="Y225" s="47" t="s">
        <v>40</v>
      </c>
      <c r="Z225" s="47" t="s">
        <v>1357</v>
      </c>
      <c r="AA225" s="47" t="s">
        <v>1358</v>
      </c>
      <c r="AB225" s="47" t="s">
        <v>1135</v>
      </c>
      <c r="AC225" s="47" t="s">
        <v>447</v>
      </c>
      <c r="AD225" s="47" t="s">
        <v>2411</v>
      </c>
      <c r="AE225" s="47" t="s">
        <v>937</v>
      </c>
      <c r="AF225" s="47" t="s">
        <v>931</v>
      </c>
      <c r="AG225" s="47" t="s">
        <v>931</v>
      </c>
      <c r="AH225" s="47" t="s">
        <v>931</v>
      </c>
      <c r="AI225" s="47" t="s">
        <v>931</v>
      </c>
      <c r="AJ225" s="47" t="s">
        <v>931</v>
      </c>
      <c r="AK225" s="47" t="s">
        <v>930</v>
      </c>
      <c r="AL225" s="47" t="s">
        <v>931</v>
      </c>
      <c r="AM225" s="47" t="s">
        <v>931</v>
      </c>
      <c r="AN225" s="37"/>
    </row>
    <row r="226" spans="1:40">
      <c r="A226" s="47" t="s">
        <v>982</v>
      </c>
      <c r="B226" s="47" t="s">
        <v>919</v>
      </c>
      <c r="C226" s="47" t="s">
        <v>803</v>
      </c>
      <c r="D226" s="47">
        <f t="shared" si="8"/>
        <v>756917</v>
      </c>
      <c r="E226" s="47" t="s">
        <v>42</v>
      </c>
      <c r="F226" s="47" t="s">
        <v>191</v>
      </c>
      <c r="G226" s="47" t="s">
        <v>41</v>
      </c>
      <c r="H226" s="47" t="s">
        <v>2412</v>
      </c>
      <c r="I226" s="47" t="s">
        <v>2413</v>
      </c>
      <c r="J226" s="47" t="s">
        <v>1024</v>
      </c>
      <c r="K226" s="47" t="s">
        <v>163</v>
      </c>
      <c r="L226" s="47" t="s">
        <v>1432</v>
      </c>
      <c r="M226" s="47" t="s">
        <v>1025</v>
      </c>
      <c r="N226" s="47" t="s">
        <v>1026</v>
      </c>
      <c r="O226" s="47" t="s">
        <v>930</v>
      </c>
      <c r="P226" s="47" t="s">
        <v>930</v>
      </c>
      <c r="Q226" s="47" t="str">
        <f t="shared" si="9"/>
        <v xml:space="preserve"> Chiều T3</v>
      </c>
      <c r="R226" s="47" t="s">
        <v>973</v>
      </c>
      <c r="S226" s="47" t="s">
        <v>1070</v>
      </c>
      <c r="T226" s="47" t="s">
        <v>2414</v>
      </c>
      <c r="U226" s="47" t="s">
        <v>2415</v>
      </c>
      <c r="V226" s="47" t="s">
        <v>24</v>
      </c>
      <c r="W226" s="47" t="s">
        <v>931</v>
      </c>
      <c r="X226" s="47" t="s">
        <v>1030</v>
      </c>
      <c r="Y226" s="47" t="s">
        <v>41</v>
      </c>
      <c r="Z226" s="47" t="s">
        <v>1111</v>
      </c>
      <c r="AA226" s="47" t="s">
        <v>1112</v>
      </c>
      <c r="AB226" s="47" t="s">
        <v>2416</v>
      </c>
      <c r="AC226" s="47" t="s">
        <v>402</v>
      </c>
      <c r="AD226" s="47" t="s">
        <v>2417</v>
      </c>
      <c r="AE226" s="47" t="s">
        <v>937</v>
      </c>
      <c r="AF226" s="47" t="s">
        <v>931</v>
      </c>
      <c r="AG226" s="47" t="s">
        <v>2418</v>
      </c>
      <c r="AH226" s="47" t="s">
        <v>931</v>
      </c>
      <c r="AI226" s="47" t="s">
        <v>931</v>
      </c>
      <c r="AJ226" s="47" t="s">
        <v>931</v>
      </c>
      <c r="AK226" s="47" t="s">
        <v>930</v>
      </c>
      <c r="AL226" s="47" t="s">
        <v>931</v>
      </c>
      <c r="AM226" s="47" t="s">
        <v>931</v>
      </c>
      <c r="AN226" s="37"/>
    </row>
    <row r="227" spans="1:40">
      <c r="A227" s="47" t="s">
        <v>982</v>
      </c>
      <c r="B227" s="47" t="s">
        <v>919</v>
      </c>
      <c r="C227" s="47" t="s">
        <v>2419</v>
      </c>
      <c r="D227" s="47">
        <f t="shared" si="8"/>
        <v>756942</v>
      </c>
      <c r="E227" s="47" t="s">
        <v>200</v>
      </c>
      <c r="F227" s="47" t="s">
        <v>191</v>
      </c>
      <c r="G227" s="47" t="s">
        <v>44</v>
      </c>
      <c r="H227" s="47" t="s">
        <v>1518</v>
      </c>
      <c r="I227" s="47" t="s">
        <v>2420</v>
      </c>
      <c r="J227" s="47" t="s">
        <v>1024</v>
      </c>
      <c r="K227" s="47" t="s">
        <v>163</v>
      </c>
      <c r="L227" s="47" t="s">
        <v>1025</v>
      </c>
      <c r="M227" s="47" t="s">
        <v>1025</v>
      </c>
      <c r="N227" s="47" t="s">
        <v>1026</v>
      </c>
      <c r="O227" s="47" t="s">
        <v>930</v>
      </c>
      <c r="P227" s="47" t="s">
        <v>930</v>
      </c>
      <c r="Q227" s="47" t="str">
        <f t="shared" si="9"/>
        <v xml:space="preserve"> Chiều T2</v>
      </c>
      <c r="R227" s="47" t="s">
        <v>973</v>
      </c>
      <c r="S227" s="47" t="s">
        <v>1103</v>
      </c>
      <c r="T227" s="47" t="s">
        <v>2421</v>
      </c>
      <c r="U227" s="47" t="s">
        <v>2422</v>
      </c>
      <c r="V227" s="47" t="s">
        <v>16</v>
      </c>
      <c r="W227" s="47" t="s">
        <v>931</v>
      </c>
      <c r="X227" s="47" t="s">
        <v>1030</v>
      </c>
      <c r="Y227" s="47" t="s">
        <v>44</v>
      </c>
      <c r="Z227" s="47" t="s">
        <v>1209</v>
      </c>
      <c r="AA227" s="47" t="s">
        <v>1210</v>
      </c>
      <c r="AB227" s="47" t="s">
        <v>1777</v>
      </c>
      <c r="AC227" s="47" t="s">
        <v>447</v>
      </c>
      <c r="AD227" s="47" t="s">
        <v>2423</v>
      </c>
      <c r="AE227" s="47" t="s">
        <v>937</v>
      </c>
      <c r="AF227" s="47" t="s">
        <v>931</v>
      </c>
      <c r="AG227" s="47" t="s">
        <v>2424</v>
      </c>
      <c r="AH227" s="47" t="s">
        <v>931</v>
      </c>
      <c r="AI227" s="47" t="s">
        <v>931</v>
      </c>
      <c r="AJ227" s="47" t="s">
        <v>931</v>
      </c>
      <c r="AK227" s="47" t="s">
        <v>930</v>
      </c>
      <c r="AL227" s="47" t="s">
        <v>931</v>
      </c>
      <c r="AM227" s="47" t="s">
        <v>931</v>
      </c>
      <c r="AN227" s="37"/>
    </row>
    <row r="228" spans="1:40">
      <c r="A228" s="47" t="s">
        <v>982</v>
      </c>
      <c r="B228" s="47" t="s">
        <v>919</v>
      </c>
      <c r="C228" s="47" t="s">
        <v>2425</v>
      </c>
      <c r="D228" s="47">
        <f t="shared" si="8"/>
        <v>756995</v>
      </c>
      <c r="E228" s="47" t="s">
        <v>200</v>
      </c>
      <c r="F228" s="47" t="s">
        <v>191</v>
      </c>
      <c r="G228" s="47" t="s">
        <v>40</v>
      </c>
      <c r="H228" s="47" t="s">
        <v>931</v>
      </c>
      <c r="I228" s="47" t="s">
        <v>2426</v>
      </c>
      <c r="J228" s="47" t="s">
        <v>1024</v>
      </c>
      <c r="K228" s="47" t="s">
        <v>163</v>
      </c>
      <c r="L228" s="47" t="s">
        <v>1025</v>
      </c>
      <c r="M228" s="47" t="s">
        <v>1025</v>
      </c>
      <c r="N228" s="47" t="s">
        <v>1026</v>
      </c>
      <c r="O228" s="47" t="s">
        <v>930</v>
      </c>
      <c r="P228" s="47" t="s">
        <v>930</v>
      </c>
      <c r="Q228" s="47" t="str">
        <f t="shared" si="9"/>
        <v xml:space="preserve"> Sáng T5:</v>
      </c>
      <c r="R228" s="47" t="s">
        <v>947</v>
      </c>
      <c r="S228" s="47" t="s">
        <v>1027</v>
      </c>
      <c r="T228" s="47" t="s">
        <v>2427</v>
      </c>
      <c r="U228" s="47" t="s">
        <v>2428</v>
      </c>
      <c r="V228" s="47" t="s">
        <v>18</v>
      </c>
      <c r="W228" s="47" t="s">
        <v>931</v>
      </c>
      <c r="X228" s="47" t="s">
        <v>1030</v>
      </c>
      <c r="Y228" s="47" t="s">
        <v>40</v>
      </c>
      <c r="Z228" s="47" t="s">
        <v>1357</v>
      </c>
      <c r="AA228" s="47" t="s">
        <v>1358</v>
      </c>
      <c r="AB228" s="47" t="s">
        <v>1033</v>
      </c>
      <c r="AC228" s="47" t="s">
        <v>447</v>
      </c>
      <c r="AD228" s="47" t="s">
        <v>2429</v>
      </c>
      <c r="AE228" s="47" t="s">
        <v>937</v>
      </c>
      <c r="AF228" s="47" t="s">
        <v>931</v>
      </c>
      <c r="AG228" s="47" t="s">
        <v>931</v>
      </c>
      <c r="AH228" s="47" t="s">
        <v>931</v>
      </c>
      <c r="AI228" s="47" t="s">
        <v>931</v>
      </c>
      <c r="AJ228" s="47" t="s">
        <v>931</v>
      </c>
      <c r="AK228" s="47" t="s">
        <v>930</v>
      </c>
      <c r="AL228" s="47" t="s">
        <v>931</v>
      </c>
      <c r="AM228" s="47" t="s">
        <v>931</v>
      </c>
      <c r="AN228" s="37"/>
    </row>
    <row r="229" spans="1:40">
      <c r="A229" s="47" t="s">
        <v>982</v>
      </c>
      <c r="B229" s="47" t="s">
        <v>919</v>
      </c>
      <c r="C229" s="47" t="s">
        <v>2430</v>
      </c>
      <c r="D229" s="47">
        <f t="shared" si="8"/>
        <v>756964</v>
      </c>
      <c r="E229" s="47" t="s">
        <v>200</v>
      </c>
      <c r="F229" s="47" t="s">
        <v>191</v>
      </c>
      <c r="G229" s="47" t="s">
        <v>44</v>
      </c>
      <c r="H229" s="47" t="s">
        <v>1518</v>
      </c>
      <c r="I229" s="47" t="s">
        <v>2431</v>
      </c>
      <c r="J229" s="47" t="s">
        <v>1024</v>
      </c>
      <c r="K229" s="47" t="s">
        <v>163</v>
      </c>
      <c r="L229" s="47" t="s">
        <v>1432</v>
      </c>
      <c r="M229" s="47" t="s">
        <v>1025</v>
      </c>
      <c r="N229" s="47" t="s">
        <v>1026</v>
      </c>
      <c r="O229" s="47" t="s">
        <v>930</v>
      </c>
      <c r="P229" s="47" t="s">
        <v>930</v>
      </c>
      <c r="Q229" s="47" t="str">
        <f t="shared" si="9"/>
        <v xml:space="preserve"> Chiều T4</v>
      </c>
      <c r="R229" s="47" t="s">
        <v>973</v>
      </c>
      <c r="S229" s="47" t="s">
        <v>1059</v>
      </c>
      <c r="T229" s="47" t="s">
        <v>2432</v>
      </c>
      <c r="U229" s="47" t="s">
        <v>2433</v>
      </c>
      <c r="V229" s="47" t="s">
        <v>16</v>
      </c>
      <c r="W229" s="47" t="s">
        <v>931</v>
      </c>
      <c r="X229" s="47" t="s">
        <v>1030</v>
      </c>
      <c r="Y229" s="47" t="s">
        <v>44</v>
      </c>
      <c r="Z229" s="47" t="s">
        <v>1209</v>
      </c>
      <c r="AA229" s="47" t="s">
        <v>1210</v>
      </c>
      <c r="AB229" s="47" t="s">
        <v>2272</v>
      </c>
      <c r="AC229" s="47" t="s">
        <v>447</v>
      </c>
      <c r="AD229" s="47" t="s">
        <v>2434</v>
      </c>
      <c r="AE229" s="47" t="s">
        <v>937</v>
      </c>
      <c r="AF229" s="47" t="s">
        <v>931</v>
      </c>
      <c r="AG229" s="47" t="s">
        <v>2435</v>
      </c>
      <c r="AH229" s="47" t="s">
        <v>931</v>
      </c>
      <c r="AI229" s="47" t="s">
        <v>931</v>
      </c>
      <c r="AJ229" s="47" t="s">
        <v>931</v>
      </c>
      <c r="AK229" s="47" t="s">
        <v>930</v>
      </c>
      <c r="AL229" s="47" t="s">
        <v>931</v>
      </c>
      <c r="AM229" s="47" t="s">
        <v>931</v>
      </c>
      <c r="AN229" s="37"/>
    </row>
    <row r="230" spans="1:40">
      <c r="A230" s="47" t="s">
        <v>982</v>
      </c>
      <c r="B230" s="47" t="s">
        <v>919</v>
      </c>
      <c r="C230" s="47" t="s">
        <v>2436</v>
      </c>
      <c r="D230" s="47">
        <f t="shared" si="8"/>
        <v>756976</v>
      </c>
      <c r="E230" s="47" t="s">
        <v>200</v>
      </c>
      <c r="F230" s="47" t="s">
        <v>191</v>
      </c>
      <c r="G230" s="47" t="s">
        <v>40</v>
      </c>
      <c r="H230" s="47" t="s">
        <v>931</v>
      </c>
      <c r="I230" s="47" t="s">
        <v>2437</v>
      </c>
      <c r="J230" s="47" t="s">
        <v>1024</v>
      </c>
      <c r="K230" s="47" t="s">
        <v>163</v>
      </c>
      <c r="L230" s="47" t="s">
        <v>1432</v>
      </c>
      <c r="M230" s="47" t="s">
        <v>1025</v>
      </c>
      <c r="N230" s="47" t="s">
        <v>1026</v>
      </c>
      <c r="O230" s="47" t="s">
        <v>930</v>
      </c>
      <c r="P230" s="47" t="s">
        <v>930</v>
      </c>
      <c r="Q230" s="47" t="str">
        <f t="shared" si="9"/>
        <v xml:space="preserve"> Sáng T6:</v>
      </c>
      <c r="R230" s="47" t="s">
        <v>947</v>
      </c>
      <c r="S230" s="47" t="s">
        <v>1140</v>
      </c>
      <c r="T230" s="47" t="s">
        <v>2438</v>
      </c>
      <c r="U230" s="47" t="s">
        <v>2439</v>
      </c>
      <c r="V230" s="47" t="s">
        <v>18</v>
      </c>
      <c r="W230" s="47" t="s">
        <v>931</v>
      </c>
      <c r="X230" s="47" t="s">
        <v>1030</v>
      </c>
      <c r="Y230" s="47" t="s">
        <v>40</v>
      </c>
      <c r="Z230" s="47" t="s">
        <v>1357</v>
      </c>
      <c r="AA230" s="47" t="s">
        <v>1358</v>
      </c>
      <c r="AB230" s="47" t="s">
        <v>1478</v>
      </c>
      <c r="AC230" s="47" t="s">
        <v>447</v>
      </c>
      <c r="AD230" s="47" t="s">
        <v>2440</v>
      </c>
      <c r="AE230" s="47" t="s">
        <v>937</v>
      </c>
      <c r="AF230" s="47" t="s">
        <v>931</v>
      </c>
      <c r="AG230" s="47" t="s">
        <v>931</v>
      </c>
      <c r="AH230" s="47" t="s">
        <v>931</v>
      </c>
      <c r="AI230" s="47" t="s">
        <v>931</v>
      </c>
      <c r="AJ230" s="47" t="s">
        <v>931</v>
      </c>
      <c r="AK230" s="47" t="s">
        <v>930</v>
      </c>
      <c r="AL230" s="47" t="s">
        <v>931</v>
      </c>
      <c r="AM230" s="47" t="s">
        <v>931</v>
      </c>
      <c r="AN230" s="37"/>
    </row>
    <row r="231" spans="1:40">
      <c r="A231" s="47" t="s">
        <v>982</v>
      </c>
      <c r="B231" s="47" t="s">
        <v>919</v>
      </c>
      <c r="C231" s="47" t="s">
        <v>797</v>
      </c>
      <c r="D231" s="47">
        <f t="shared" si="8"/>
        <v>756923</v>
      </c>
      <c r="E231" s="47" t="s">
        <v>42</v>
      </c>
      <c r="F231" s="47" t="s">
        <v>191</v>
      </c>
      <c r="G231" s="47" t="s">
        <v>43</v>
      </c>
      <c r="H231" s="47" t="s">
        <v>931</v>
      </c>
      <c r="I231" s="47" t="s">
        <v>2441</v>
      </c>
      <c r="J231" s="47" t="s">
        <v>1024</v>
      </c>
      <c r="K231" s="47" t="s">
        <v>163</v>
      </c>
      <c r="L231" s="47" t="s">
        <v>1432</v>
      </c>
      <c r="M231" s="47" t="s">
        <v>1025</v>
      </c>
      <c r="N231" s="47" t="s">
        <v>1026</v>
      </c>
      <c r="O231" s="47" t="s">
        <v>930</v>
      </c>
      <c r="P231" s="47" t="s">
        <v>930</v>
      </c>
      <c r="Q231" s="47" t="str">
        <f t="shared" si="9"/>
        <v xml:space="preserve"> Chiều T2</v>
      </c>
      <c r="R231" s="47" t="s">
        <v>973</v>
      </c>
      <c r="S231" s="47" t="s">
        <v>1103</v>
      </c>
      <c r="T231" s="47" t="s">
        <v>2442</v>
      </c>
      <c r="U231" s="47" t="s">
        <v>2443</v>
      </c>
      <c r="V231" s="47" t="s">
        <v>27</v>
      </c>
      <c r="W231" s="47" t="s">
        <v>931</v>
      </c>
      <c r="X231" s="47" t="s">
        <v>1030</v>
      </c>
      <c r="Y231" s="47" t="s">
        <v>43</v>
      </c>
      <c r="Z231" s="47" t="s">
        <v>1463</v>
      </c>
      <c r="AA231" s="47" t="s">
        <v>1464</v>
      </c>
      <c r="AB231" s="47" t="s">
        <v>1948</v>
      </c>
      <c r="AC231" s="47" t="s">
        <v>402</v>
      </c>
      <c r="AD231" s="47" t="s">
        <v>2444</v>
      </c>
      <c r="AE231" s="47" t="s">
        <v>937</v>
      </c>
      <c r="AF231" s="47" t="s">
        <v>931</v>
      </c>
      <c r="AG231" s="47" t="s">
        <v>931</v>
      </c>
      <c r="AH231" s="47" t="s">
        <v>931</v>
      </c>
      <c r="AI231" s="47" t="s">
        <v>931</v>
      </c>
      <c r="AJ231" s="47" t="s">
        <v>931</v>
      </c>
      <c r="AK231" s="47" t="s">
        <v>930</v>
      </c>
      <c r="AL231" s="47" t="s">
        <v>931</v>
      </c>
      <c r="AM231" s="47" t="s">
        <v>931</v>
      </c>
      <c r="AN231" s="37"/>
    </row>
    <row r="232" spans="1:40">
      <c r="A232" s="47" t="s">
        <v>982</v>
      </c>
      <c r="B232" s="47" t="s">
        <v>919</v>
      </c>
      <c r="C232" s="47" t="s">
        <v>813</v>
      </c>
      <c r="D232" s="47">
        <f t="shared" si="8"/>
        <v>756918</v>
      </c>
      <c r="E232" s="47" t="s">
        <v>42</v>
      </c>
      <c r="F232" s="47" t="s">
        <v>191</v>
      </c>
      <c r="G232" s="47" t="s">
        <v>44</v>
      </c>
      <c r="H232" s="47" t="s">
        <v>2412</v>
      </c>
      <c r="I232" s="47" t="s">
        <v>2445</v>
      </c>
      <c r="J232" s="47" t="s">
        <v>1024</v>
      </c>
      <c r="K232" s="47" t="s">
        <v>163</v>
      </c>
      <c r="L232" s="47" t="s">
        <v>1025</v>
      </c>
      <c r="M232" s="47" t="s">
        <v>1025</v>
      </c>
      <c r="N232" s="47" t="s">
        <v>1026</v>
      </c>
      <c r="O232" s="47" t="s">
        <v>930</v>
      </c>
      <c r="P232" s="47" t="s">
        <v>930</v>
      </c>
      <c r="Q232" s="47" t="str">
        <f t="shared" si="9"/>
        <v xml:space="preserve"> Chiều T3</v>
      </c>
      <c r="R232" s="47" t="s">
        <v>973</v>
      </c>
      <c r="S232" s="47" t="s">
        <v>1070</v>
      </c>
      <c r="T232" s="47" t="s">
        <v>2446</v>
      </c>
      <c r="U232" s="47" t="s">
        <v>2447</v>
      </c>
      <c r="V232" s="47" t="s">
        <v>24</v>
      </c>
      <c r="W232" s="47" t="s">
        <v>931</v>
      </c>
      <c r="X232" s="47" t="s">
        <v>1030</v>
      </c>
      <c r="Y232" s="47" t="s">
        <v>44</v>
      </c>
      <c r="Z232" s="47" t="s">
        <v>1209</v>
      </c>
      <c r="AA232" s="47" t="s">
        <v>1210</v>
      </c>
      <c r="AB232" s="47" t="s">
        <v>1409</v>
      </c>
      <c r="AC232" s="47" t="s">
        <v>402</v>
      </c>
      <c r="AD232" s="47" t="s">
        <v>2448</v>
      </c>
      <c r="AE232" s="47" t="s">
        <v>937</v>
      </c>
      <c r="AF232" s="47" t="s">
        <v>931</v>
      </c>
      <c r="AG232" s="47" t="s">
        <v>2449</v>
      </c>
      <c r="AH232" s="47" t="s">
        <v>931</v>
      </c>
      <c r="AI232" s="47" t="s">
        <v>931</v>
      </c>
      <c r="AJ232" s="47" t="s">
        <v>931</v>
      </c>
      <c r="AK232" s="47" t="s">
        <v>930</v>
      </c>
      <c r="AL232" s="47" t="s">
        <v>931</v>
      </c>
      <c r="AM232" s="47" t="s">
        <v>931</v>
      </c>
      <c r="AN232" s="37"/>
    </row>
    <row r="233" spans="1:40">
      <c r="A233" s="47" t="s">
        <v>982</v>
      </c>
      <c r="B233" s="47" t="s">
        <v>919</v>
      </c>
      <c r="C233" s="47" t="s">
        <v>2450</v>
      </c>
      <c r="D233" s="47">
        <f t="shared" si="8"/>
        <v>756954</v>
      </c>
      <c r="E233" s="47" t="s">
        <v>200</v>
      </c>
      <c r="F233" s="47" t="s">
        <v>191</v>
      </c>
      <c r="G233" s="47" t="s">
        <v>43</v>
      </c>
      <c r="H233" s="47" t="s">
        <v>931</v>
      </c>
      <c r="I233" s="47" t="s">
        <v>2451</v>
      </c>
      <c r="J233" s="47" t="s">
        <v>1024</v>
      </c>
      <c r="K233" s="47" t="s">
        <v>163</v>
      </c>
      <c r="L233" s="47" t="s">
        <v>1025</v>
      </c>
      <c r="M233" s="47" t="s">
        <v>1025</v>
      </c>
      <c r="N233" s="47" t="s">
        <v>1026</v>
      </c>
      <c r="O233" s="47" t="s">
        <v>930</v>
      </c>
      <c r="P233" s="47" t="s">
        <v>930</v>
      </c>
      <c r="Q233" s="47" t="str">
        <f t="shared" si="9"/>
        <v xml:space="preserve"> Sáng T4:</v>
      </c>
      <c r="R233" s="47" t="s">
        <v>947</v>
      </c>
      <c r="S233" s="47" t="s">
        <v>1059</v>
      </c>
      <c r="T233" s="47" t="s">
        <v>2452</v>
      </c>
      <c r="U233" s="47" t="s">
        <v>2453</v>
      </c>
      <c r="V233" s="47" t="s">
        <v>16</v>
      </c>
      <c r="W233" s="47" t="s">
        <v>931</v>
      </c>
      <c r="X233" s="47" t="s">
        <v>1030</v>
      </c>
      <c r="Y233" s="47" t="s">
        <v>43</v>
      </c>
      <c r="Z233" s="47" t="s">
        <v>1463</v>
      </c>
      <c r="AA233" s="47" t="s">
        <v>1464</v>
      </c>
      <c r="AB233" s="47" t="s">
        <v>1811</v>
      </c>
      <c r="AC233" s="47" t="s">
        <v>447</v>
      </c>
      <c r="AD233" s="47" t="s">
        <v>2454</v>
      </c>
      <c r="AE233" s="47" t="s">
        <v>937</v>
      </c>
      <c r="AF233" s="47" t="s">
        <v>931</v>
      </c>
      <c r="AG233" s="47" t="s">
        <v>931</v>
      </c>
      <c r="AH233" s="47" t="s">
        <v>931</v>
      </c>
      <c r="AI233" s="47" t="s">
        <v>931</v>
      </c>
      <c r="AJ233" s="47" t="s">
        <v>931</v>
      </c>
      <c r="AK233" s="47" t="s">
        <v>930</v>
      </c>
      <c r="AL233" s="47" t="s">
        <v>931</v>
      </c>
      <c r="AM233" s="47" t="s">
        <v>931</v>
      </c>
      <c r="AN233" s="37"/>
    </row>
    <row r="234" spans="1:40">
      <c r="A234" s="47" t="s">
        <v>982</v>
      </c>
      <c r="B234" s="47" t="s">
        <v>919</v>
      </c>
      <c r="C234" s="47" t="s">
        <v>2455</v>
      </c>
      <c r="D234" s="47">
        <f t="shared" si="8"/>
        <v>756931</v>
      </c>
      <c r="E234" s="47" t="s">
        <v>200</v>
      </c>
      <c r="F234" s="47" t="s">
        <v>191</v>
      </c>
      <c r="G234" s="47" t="s">
        <v>39</v>
      </c>
      <c r="H234" s="47" t="s">
        <v>931</v>
      </c>
      <c r="I234" s="47" t="s">
        <v>2456</v>
      </c>
      <c r="J234" s="47" t="s">
        <v>1024</v>
      </c>
      <c r="K234" s="47" t="s">
        <v>163</v>
      </c>
      <c r="L234" s="47" t="s">
        <v>1025</v>
      </c>
      <c r="M234" s="47" t="s">
        <v>1025</v>
      </c>
      <c r="N234" s="47" t="s">
        <v>1026</v>
      </c>
      <c r="O234" s="47" t="s">
        <v>930</v>
      </c>
      <c r="P234" s="47" t="s">
        <v>930</v>
      </c>
      <c r="Q234" s="47" t="str">
        <f t="shared" si="9"/>
        <v xml:space="preserve"> Sáng T6:</v>
      </c>
      <c r="R234" s="47" t="s">
        <v>947</v>
      </c>
      <c r="S234" s="47" t="s">
        <v>1140</v>
      </c>
      <c r="T234" s="47" t="s">
        <v>2457</v>
      </c>
      <c r="U234" s="47" t="s">
        <v>2458</v>
      </c>
      <c r="V234" s="47" t="s">
        <v>16</v>
      </c>
      <c r="W234" s="47" t="s">
        <v>931</v>
      </c>
      <c r="X234" s="47" t="s">
        <v>1030</v>
      </c>
      <c r="Y234" s="47" t="s">
        <v>39</v>
      </c>
      <c r="Z234" s="47" t="s">
        <v>1031</v>
      </c>
      <c r="AA234" s="47" t="s">
        <v>1032</v>
      </c>
      <c r="AB234" s="47" t="s">
        <v>1416</v>
      </c>
      <c r="AC234" s="47" t="s">
        <v>447</v>
      </c>
      <c r="AD234" s="47" t="s">
        <v>2459</v>
      </c>
      <c r="AE234" s="47" t="s">
        <v>937</v>
      </c>
      <c r="AF234" s="47" t="s">
        <v>931</v>
      </c>
      <c r="AG234" s="47" t="s">
        <v>931</v>
      </c>
      <c r="AH234" s="47" t="s">
        <v>931</v>
      </c>
      <c r="AI234" s="47" t="s">
        <v>931</v>
      </c>
      <c r="AJ234" s="47" t="s">
        <v>931</v>
      </c>
      <c r="AK234" s="47" t="s">
        <v>930</v>
      </c>
      <c r="AL234" s="47" t="s">
        <v>931</v>
      </c>
      <c r="AM234" s="47" t="s">
        <v>931</v>
      </c>
      <c r="AN234" s="37"/>
    </row>
    <row r="235" spans="1:40">
      <c r="A235" s="47" t="s">
        <v>982</v>
      </c>
      <c r="B235" s="47" t="s">
        <v>919</v>
      </c>
      <c r="C235" s="47" t="s">
        <v>2460</v>
      </c>
      <c r="D235" s="47">
        <f t="shared" si="8"/>
        <v>756955</v>
      </c>
      <c r="E235" s="47" t="s">
        <v>200</v>
      </c>
      <c r="F235" s="47" t="s">
        <v>191</v>
      </c>
      <c r="G235" s="47" t="s">
        <v>41</v>
      </c>
      <c r="H235" s="47" t="s">
        <v>1518</v>
      </c>
      <c r="I235" s="47" t="s">
        <v>2461</v>
      </c>
      <c r="J235" s="47" t="s">
        <v>1024</v>
      </c>
      <c r="K235" s="47" t="s">
        <v>163</v>
      </c>
      <c r="L235" s="47" t="s">
        <v>1025</v>
      </c>
      <c r="M235" s="47" t="s">
        <v>1025</v>
      </c>
      <c r="N235" s="47" t="s">
        <v>1026</v>
      </c>
      <c r="O235" s="47" t="s">
        <v>930</v>
      </c>
      <c r="P235" s="47" t="s">
        <v>930</v>
      </c>
      <c r="Q235" s="47" t="str">
        <f t="shared" si="9"/>
        <v xml:space="preserve"> Sáng T5:</v>
      </c>
      <c r="R235" s="47" t="s">
        <v>947</v>
      </c>
      <c r="S235" s="47" t="s">
        <v>1027</v>
      </c>
      <c r="T235" s="47" t="s">
        <v>2462</v>
      </c>
      <c r="U235" s="47" t="s">
        <v>2463</v>
      </c>
      <c r="V235" s="47" t="s">
        <v>16</v>
      </c>
      <c r="W235" s="47" t="s">
        <v>931</v>
      </c>
      <c r="X235" s="47" t="s">
        <v>1030</v>
      </c>
      <c r="Y235" s="47" t="s">
        <v>41</v>
      </c>
      <c r="Z235" s="47" t="s">
        <v>1111</v>
      </c>
      <c r="AA235" s="47" t="s">
        <v>1112</v>
      </c>
      <c r="AB235" s="47" t="s">
        <v>1395</v>
      </c>
      <c r="AC235" s="47" t="s">
        <v>447</v>
      </c>
      <c r="AD235" s="47" t="s">
        <v>2464</v>
      </c>
      <c r="AE235" s="47" t="s">
        <v>937</v>
      </c>
      <c r="AF235" s="47" t="s">
        <v>931</v>
      </c>
      <c r="AG235" s="47" t="s">
        <v>2465</v>
      </c>
      <c r="AH235" s="47" t="s">
        <v>931</v>
      </c>
      <c r="AI235" s="47" t="s">
        <v>931</v>
      </c>
      <c r="AJ235" s="47" t="s">
        <v>931</v>
      </c>
      <c r="AK235" s="47" t="s">
        <v>930</v>
      </c>
      <c r="AL235" s="47" t="s">
        <v>931</v>
      </c>
      <c r="AM235" s="47" t="s">
        <v>931</v>
      </c>
      <c r="AN235" s="37"/>
    </row>
    <row r="236" spans="1:40">
      <c r="A236" s="47" t="s">
        <v>982</v>
      </c>
      <c r="B236" s="47" t="s">
        <v>919</v>
      </c>
      <c r="C236" s="47" t="s">
        <v>792</v>
      </c>
      <c r="D236" s="47">
        <f t="shared" si="8"/>
        <v>756922</v>
      </c>
      <c r="E236" s="47" t="s">
        <v>42</v>
      </c>
      <c r="F236" s="47" t="s">
        <v>191</v>
      </c>
      <c r="G236" s="47" t="s">
        <v>43</v>
      </c>
      <c r="H236" s="47" t="s">
        <v>931</v>
      </c>
      <c r="I236" s="47" t="s">
        <v>2466</v>
      </c>
      <c r="J236" s="47" t="s">
        <v>1024</v>
      </c>
      <c r="K236" s="47" t="s">
        <v>163</v>
      </c>
      <c r="L236" s="47" t="s">
        <v>1447</v>
      </c>
      <c r="M236" s="47" t="s">
        <v>1025</v>
      </c>
      <c r="N236" s="47" t="s">
        <v>1026</v>
      </c>
      <c r="O236" s="47" t="s">
        <v>930</v>
      </c>
      <c r="P236" s="47" t="s">
        <v>930</v>
      </c>
      <c r="Q236" s="47" t="str">
        <f t="shared" si="9"/>
        <v xml:space="preserve"> Chiều T5</v>
      </c>
      <c r="R236" s="47" t="s">
        <v>973</v>
      </c>
      <c r="S236" s="47" t="s">
        <v>1027</v>
      </c>
      <c r="T236" s="47" t="s">
        <v>2467</v>
      </c>
      <c r="U236" s="47" t="s">
        <v>2468</v>
      </c>
      <c r="V236" s="47" t="s">
        <v>24</v>
      </c>
      <c r="W236" s="47" t="s">
        <v>931</v>
      </c>
      <c r="X236" s="47" t="s">
        <v>1030</v>
      </c>
      <c r="Y236" s="47" t="s">
        <v>43</v>
      </c>
      <c r="Z236" s="47" t="s">
        <v>1463</v>
      </c>
      <c r="AA236" s="47" t="s">
        <v>1464</v>
      </c>
      <c r="AB236" s="47" t="s">
        <v>2469</v>
      </c>
      <c r="AC236" s="47" t="s">
        <v>402</v>
      </c>
      <c r="AD236" s="47" t="s">
        <v>2470</v>
      </c>
      <c r="AE236" s="47" t="s">
        <v>937</v>
      </c>
      <c r="AF236" s="47" t="s">
        <v>931</v>
      </c>
      <c r="AG236" s="47" t="s">
        <v>931</v>
      </c>
      <c r="AH236" s="47" t="s">
        <v>931</v>
      </c>
      <c r="AI236" s="47" t="s">
        <v>931</v>
      </c>
      <c r="AJ236" s="47" t="s">
        <v>931</v>
      </c>
      <c r="AK236" s="47" t="s">
        <v>930</v>
      </c>
      <c r="AL236" s="47" t="s">
        <v>931</v>
      </c>
      <c r="AM236" s="47" t="s">
        <v>931</v>
      </c>
      <c r="AN236" s="37"/>
    </row>
    <row r="237" spans="1:40">
      <c r="A237" s="47" t="s">
        <v>982</v>
      </c>
      <c r="B237" s="47" t="s">
        <v>919</v>
      </c>
      <c r="C237" s="47" t="s">
        <v>2471</v>
      </c>
      <c r="D237" s="47">
        <f t="shared" si="8"/>
        <v>756912</v>
      </c>
      <c r="E237" s="47" t="s">
        <v>190</v>
      </c>
      <c r="F237" s="47" t="s">
        <v>191</v>
      </c>
      <c r="G237" s="47" t="s">
        <v>35</v>
      </c>
      <c r="H237" s="47" t="s">
        <v>1518</v>
      </c>
      <c r="I237" s="47" t="s">
        <v>2472</v>
      </c>
      <c r="J237" s="47" t="s">
        <v>1090</v>
      </c>
      <c r="K237" s="47" t="s">
        <v>163</v>
      </c>
      <c r="L237" s="47" t="s">
        <v>1025</v>
      </c>
      <c r="M237" s="47" t="s">
        <v>1269</v>
      </c>
      <c r="N237" s="47" t="s">
        <v>1026</v>
      </c>
      <c r="O237" s="47" t="s">
        <v>930</v>
      </c>
      <c r="P237" s="47" t="s">
        <v>930</v>
      </c>
      <c r="Q237" s="47" t="str">
        <f t="shared" si="9"/>
        <v xml:space="preserve"> Chiều T6</v>
      </c>
      <c r="R237" s="47" t="s">
        <v>973</v>
      </c>
      <c r="S237" s="47" t="s">
        <v>1140</v>
      </c>
      <c r="T237" s="47" t="s">
        <v>2473</v>
      </c>
      <c r="U237" s="47" t="s">
        <v>2474</v>
      </c>
      <c r="V237" s="47" t="s">
        <v>24</v>
      </c>
      <c r="W237" s="47" t="s">
        <v>931</v>
      </c>
      <c r="X237" s="47" t="s">
        <v>1030</v>
      </c>
      <c r="Y237" s="47" t="s">
        <v>35</v>
      </c>
      <c r="Z237" s="47" t="s">
        <v>1133</v>
      </c>
      <c r="AA237" s="47" t="s">
        <v>1134</v>
      </c>
      <c r="AB237" s="47" t="s">
        <v>2101</v>
      </c>
      <c r="AC237" s="47" t="s">
        <v>447</v>
      </c>
      <c r="AD237" s="47" t="s">
        <v>2475</v>
      </c>
      <c r="AE237" s="47" t="s">
        <v>937</v>
      </c>
      <c r="AF237" s="47" t="s">
        <v>931</v>
      </c>
      <c r="AG237" s="47" t="s">
        <v>2476</v>
      </c>
      <c r="AH237" s="47" t="s">
        <v>931</v>
      </c>
      <c r="AI237" s="47" t="s">
        <v>931</v>
      </c>
      <c r="AJ237" s="47" t="s">
        <v>931</v>
      </c>
      <c r="AK237" s="47" t="s">
        <v>930</v>
      </c>
      <c r="AL237" s="47" t="s">
        <v>931</v>
      </c>
      <c r="AM237" s="47" t="s">
        <v>931</v>
      </c>
      <c r="AN237" s="37"/>
    </row>
    <row r="238" spans="1:40">
      <c r="A238" s="47" t="s">
        <v>982</v>
      </c>
      <c r="B238" s="47" t="s">
        <v>919</v>
      </c>
      <c r="C238" s="47" t="s">
        <v>2477</v>
      </c>
      <c r="D238" s="47">
        <f t="shared" si="8"/>
        <v>756993</v>
      </c>
      <c r="E238" s="47" t="s">
        <v>200</v>
      </c>
      <c r="F238" s="47" t="s">
        <v>191</v>
      </c>
      <c r="G238" s="47" t="s">
        <v>35</v>
      </c>
      <c r="H238" s="47" t="s">
        <v>1518</v>
      </c>
      <c r="I238" s="47" t="s">
        <v>2478</v>
      </c>
      <c r="J238" s="47" t="s">
        <v>1024</v>
      </c>
      <c r="K238" s="47" t="s">
        <v>163</v>
      </c>
      <c r="L238" s="47" t="s">
        <v>1432</v>
      </c>
      <c r="M238" s="47" t="s">
        <v>1025</v>
      </c>
      <c r="N238" s="47" t="s">
        <v>1026</v>
      </c>
      <c r="O238" s="47" t="s">
        <v>930</v>
      </c>
      <c r="P238" s="47" t="s">
        <v>930</v>
      </c>
      <c r="Q238" s="47" t="str">
        <f t="shared" si="9"/>
        <v xml:space="preserve"> Sáng T3:</v>
      </c>
      <c r="R238" s="47" t="s">
        <v>947</v>
      </c>
      <c r="S238" s="47" t="s">
        <v>1070</v>
      </c>
      <c r="T238" s="47" t="s">
        <v>2479</v>
      </c>
      <c r="U238" s="47" t="s">
        <v>2480</v>
      </c>
      <c r="V238" s="47" t="s">
        <v>18</v>
      </c>
      <c r="W238" s="47" t="s">
        <v>931</v>
      </c>
      <c r="X238" s="47" t="s">
        <v>1030</v>
      </c>
      <c r="Y238" s="47" t="s">
        <v>35</v>
      </c>
      <c r="Z238" s="47" t="s">
        <v>1133</v>
      </c>
      <c r="AA238" s="47" t="s">
        <v>1134</v>
      </c>
      <c r="AB238" s="47" t="s">
        <v>1622</v>
      </c>
      <c r="AC238" s="47" t="s">
        <v>447</v>
      </c>
      <c r="AD238" s="47" t="s">
        <v>2481</v>
      </c>
      <c r="AE238" s="47" t="s">
        <v>937</v>
      </c>
      <c r="AF238" s="47" t="s">
        <v>931</v>
      </c>
      <c r="AG238" s="47" t="s">
        <v>2482</v>
      </c>
      <c r="AH238" s="47" t="s">
        <v>931</v>
      </c>
      <c r="AI238" s="47" t="s">
        <v>931</v>
      </c>
      <c r="AJ238" s="47" t="s">
        <v>931</v>
      </c>
      <c r="AK238" s="47" t="s">
        <v>930</v>
      </c>
      <c r="AL238" s="47" t="s">
        <v>931</v>
      </c>
      <c r="AM238" s="47" t="s">
        <v>931</v>
      </c>
      <c r="AN238" s="37"/>
    </row>
    <row r="239" spans="1:40">
      <c r="A239" s="47" t="s">
        <v>982</v>
      </c>
      <c r="B239" s="47" t="s">
        <v>919</v>
      </c>
      <c r="C239" s="47" t="s">
        <v>2483</v>
      </c>
      <c r="D239" s="47">
        <f t="shared" si="8"/>
        <v>756973</v>
      </c>
      <c r="E239" s="47" t="s">
        <v>200</v>
      </c>
      <c r="F239" s="47" t="s">
        <v>191</v>
      </c>
      <c r="G239" s="47" t="s">
        <v>39</v>
      </c>
      <c r="H239" s="47" t="s">
        <v>931</v>
      </c>
      <c r="I239" s="47" t="s">
        <v>2484</v>
      </c>
      <c r="J239" s="47" t="s">
        <v>1024</v>
      </c>
      <c r="K239" s="47" t="s">
        <v>163</v>
      </c>
      <c r="L239" s="47" t="s">
        <v>1025</v>
      </c>
      <c r="M239" s="47" t="s">
        <v>1025</v>
      </c>
      <c r="N239" s="47" t="s">
        <v>1026</v>
      </c>
      <c r="O239" s="47" t="s">
        <v>930</v>
      </c>
      <c r="P239" s="47" t="s">
        <v>930</v>
      </c>
      <c r="Q239" s="47" t="str">
        <f t="shared" si="9"/>
        <v xml:space="preserve"> Sáng T3:</v>
      </c>
      <c r="R239" s="47" t="s">
        <v>947</v>
      </c>
      <c r="S239" s="47" t="s">
        <v>1070</v>
      </c>
      <c r="T239" s="47" t="s">
        <v>2485</v>
      </c>
      <c r="U239" s="47" t="s">
        <v>2486</v>
      </c>
      <c r="V239" s="47" t="s">
        <v>18</v>
      </c>
      <c r="W239" s="47" t="s">
        <v>931</v>
      </c>
      <c r="X239" s="47" t="s">
        <v>1030</v>
      </c>
      <c r="Y239" s="47" t="s">
        <v>39</v>
      </c>
      <c r="Z239" s="47" t="s">
        <v>1031</v>
      </c>
      <c r="AA239" s="47" t="s">
        <v>1032</v>
      </c>
      <c r="AB239" s="47" t="s">
        <v>1622</v>
      </c>
      <c r="AC239" s="47" t="s">
        <v>447</v>
      </c>
      <c r="AD239" s="47" t="s">
        <v>2487</v>
      </c>
      <c r="AE239" s="47" t="s">
        <v>937</v>
      </c>
      <c r="AF239" s="47" t="s">
        <v>931</v>
      </c>
      <c r="AG239" s="47" t="s">
        <v>931</v>
      </c>
      <c r="AH239" s="47" t="s">
        <v>931</v>
      </c>
      <c r="AI239" s="47" t="s">
        <v>931</v>
      </c>
      <c r="AJ239" s="47" t="s">
        <v>931</v>
      </c>
      <c r="AK239" s="47" t="s">
        <v>930</v>
      </c>
      <c r="AL239" s="47" t="s">
        <v>931</v>
      </c>
      <c r="AM239" s="47" t="s">
        <v>931</v>
      </c>
      <c r="AN239" s="37"/>
    </row>
    <row r="240" spans="1:40">
      <c r="A240" s="47" t="s">
        <v>982</v>
      </c>
      <c r="B240" s="47" t="s">
        <v>919</v>
      </c>
      <c r="C240" s="47" t="s">
        <v>2488</v>
      </c>
      <c r="D240" s="47">
        <f t="shared" si="8"/>
        <v>756936</v>
      </c>
      <c r="E240" s="47" t="s">
        <v>200</v>
      </c>
      <c r="F240" s="47" t="s">
        <v>191</v>
      </c>
      <c r="G240" s="47" t="s">
        <v>39</v>
      </c>
      <c r="H240" s="47" t="s">
        <v>931</v>
      </c>
      <c r="I240" s="47" t="s">
        <v>2489</v>
      </c>
      <c r="J240" s="47" t="s">
        <v>1024</v>
      </c>
      <c r="K240" s="47" t="s">
        <v>163</v>
      </c>
      <c r="L240" s="47" t="s">
        <v>1432</v>
      </c>
      <c r="M240" s="47" t="s">
        <v>1025</v>
      </c>
      <c r="N240" s="47" t="s">
        <v>1026</v>
      </c>
      <c r="O240" s="47" t="s">
        <v>930</v>
      </c>
      <c r="P240" s="47" t="s">
        <v>930</v>
      </c>
      <c r="Q240" s="47" t="str">
        <f t="shared" si="9"/>
        <v xml:space="preserve"> Sáng T6:</v>
      </c>
      <c r="R240" s="47" t="s">
        <v>947</v>
      </c>
      <c r="S240" s="47" t="s">
        <v>1140</v>
      </c>
      <c r="T240" s="47" t="s">
        <v>2490</v>
      </c>
      <c r="U240" s="47" t="s">
        <v>2491</v>
      </c>
      <c r="V240" s="47" t="s">
        <v>16</v>
      </c>
      <c r="W240" s="47" t="s">
        <v>931</v>
      </c>
      <c r="X240" s="47" t="s">
        <v>1030</v>
      </c>
      <c r="Y240" s="47" t="s">
        <v>39</v>
      </c>
      <c r="Z240" s="47" t="s">
        <v>1031</v>
      </c>
      <c r="AA240" s="47" t="s">
        <v>1032</v>
      </c>
      <c r="AB240" s="47" t="s">
        <v>1416</v>
      </c>
      <c r="AC240" s="47" t="s">
        <v>447</v>
      </c>
      <c r="AD240" s="47" t="s">
        <v>2492</v>
      </c>
      <c r="AE240" s="47" t="s">
        <v>937</v>
      </c>
      <c r="AF240" s="47" t="s">
        <v>931</v>
      </c>
      <c r="AG240" s="47" t="s">
        <v>931</v>
      </c>
      <c r="AH240" s="47" t="s">
        <v>931</v>
      </c>
      <c r="AI240" s="47" t="s">
        <v>931</v>
      </c>
      <c r="AJ240" s="47" t="s">
        <v>931</v>
      </c>
      <c r="AK240" s="47" t="s">
        <v>930</v>
      </c>
      <c r="AL240" s="47" t="s">
        <v>931</v>
      </c>
      <c r="AM240" s="47" t="s">
        <v>931</v>
      </c>
      <c r="AN240" s="37"/>
    </row>
    <row r="241" spans="1:40">
      <c r="A241" s="47" t="s">
        <v>982</v>
      </c>
      <c r="B241" s="47" t="s">
        <v>919</v>
      </c>
      <c r="C241" s="47" t="s">
        <v>2493</v>
      </c>
      <c r="D241" s="47">
        <f t="shared" si="8"/>
        <v>756927</v>
      </c>
      <c r="E241" s="47" t="s">
        <v>200</v>
      </c>
      <c r="F241" s="47" t="s">
        <v>191</v>
      </c>
      <c r="G241" s="47" t="s">
        <v>43</v>
      </c>
      <c r="H241" s="47" t="s">
        <v>931</v>
      </c>
      <c r="I241" s="47" t="s">
        <v>2494</v>
      </c>
      <c r="J241" s="47" t="s">
        <v>1024</v>
      </c>
      <c r="K241" s="47" t="s">
        <v>163</v>
      </c>
      <c r="L241" s="47" t="s">
        <v>1025</v>
      </c>
      <c r="M241" s="47" t="s">
        <v>1025</v>
      </c>
      <c r="N241" s="47" t="s">
        <v>1026</v>
      </c>
      <c r="O241" s="47" t="s">
        <v>930</v>
      </c>
      <c r="P241" s="47" t="s">
        <v>930</v>
      </c>
      <c r="Q241" s="47" t="str">
        <f t="shared" si="9"/>
        <v xml:space="preserve"> Sáng T2:</v>
      </c>
      <c r="R241" s="47" t="s">
        <v>947</v>
      </c>
      <c r="S241" s="47" t="s">
        <v>1103</v>
      </c>
      <c r="T241" s="47" t="s">
        <v>2495</v>
      </c>
      <c r="U241" s="47" t="s">
        <v>2496</v>
      </c>
      <c r="V241" s="47" t="s">
        <v>16</v>
      </c>
      <c r="W241" s="47" t="s">
        <v>931</v>
      </c>
      <c r="X241" s="47" t="s">
        <v>1030</v>
      </c>
      <c r="Y241" s="47" t="s">
        <v>43</v>
      </c>
      <c r="Z241" s="47" t="s">
        <v>1463</v>
      </c>
      <c r="AA241" s="47" t="s">
        <v>1464</v>
      </c>
      <c r="AB241" s="47" t="s">
        <v>2383</v>
      </c>
      <c r="AC241" s="47" t="s">
        <v>447</v>
      </c>
      <c r="AD241" s="47" t="s">
        <v>2497</v>
      </c>
      <c r="AE241" s="47" t="s">
        <v>937</v>
      </c>
      <c r="AF241" s="47" t="s">
        <v>931</v>
      </c>
      <c r="AG241" s="47" t="s">
        <v>931</v>
      </c>
      <c r="AH241" s="47" t="s">
        <v>931</v>
      </c>
      <c r="AI241" s="47" t="s">
        <v>931</v>
      </c>
      <c r="AJ241" s="47" t="s">
        <v>931</v>
      </c>
      <c r="AK241" s="47" t="s">
        <v>930</v>
      </c>
      <c r="AL241" s="47" t="s">
        <v>931</v>
      </c>
      <c r="AM241" s="47" t="s">
        <v>931</v>
      </c>
      <c r="AN241" s="37"/>
    </row>
    <row r="242" spans="1:40" ht="37.5" customHeight="1">
      <c r="A242" s="47" t="s">
        <v>982</v>
      </c>
      <c r="B242" s="47" t="s">
        <v>919</v>
      </c>
      <c r="C242" s="47" t="s">
        <v>2498</v>
      </c>
      <c r="D242" s="47">
        <f t="shared" si="8"/>
        <v>756957</v>
      </c>
      <c r="E242" s="47" t="s">
        <v>200</v>
      </c>
      <c r="F242" s="47" t="s">
        <v>191</v>
      </c>
      <c r="G242" s="47" t="s">
        <v>44</v>
      </c>
      <c r="H242" s="47" t="s">
        <v>1518</v>
      </c>
      <c r="I242" s="47" t="s">
        <v>2499</v>
      </c>
      <c r="J242" s="47" t="s">
        <v>1024</v>
      </c>
      <c r="K242" s="47" t="s">
        <v>163</v>
      </c>
      <c r="L242" s="47" t="s">
        <v>1025</v>
      </c>
      <c r="M242" s="47" t="s">
        <v>1025</v>
      </c>
      <c r="N242" s="47" t="s">
        <v>1026</v>
      </c>
      <c r="O242" s="47" t="s">
        <v>930</v>
      </c>
      <c r="P242" s="47" t="s">
        <v>930</v>
      </c>
      <c r="Q242" s="47" t="str">
        <f t="shared" si="9"/>
        <v xml:space="preserve"> Chiều T2</v>
      </c>
      <c r="R242" s="47" t="s">
        <v>973</v>
      </c>
      <c r="S242" s="47" t="s">
        <v>1103</v>
      </c>
      <c r="T242" s="47" t="s">
        <v>2500</v>
      </c>
      <c r="U242" s="47" t="s">
        <v>2501</v>
      </c>
      <c r="V242" s="47" t="s">
        <v>16</v>
      </c>
      <c r="W242" s="47" t="s">
        <v>931</v>
      </c>
      <c r="X242" s="47" t="s">
        <v>1030</v>
      </c>
      <c r="Y242" s="47" t="s">
        <v>44</v>
      </c>
      <c r="Z242" s="47" t="s">
        <v>1209</v>
      </c>
      <c r="AA242" s="47" t="s">
        <v>1210</v>
      </c>
      <c r="AB242" s="47" t="s">
        <v>1777</v>
      </c>
      <c r="AC242" s="47" t="s">
        <v>447</v>
      </c>
      <c r="AD242" s="47" t="s">
        <v>2502</v>
      </c>
      <c r="AE242" s="47" t="s">
        <v>937</v>
      </c>
      <c r="AF242" s="47" t="s">
        <v>931</v>
      </c>
      <c r="AG242" s="47" t="s">
        <v>2503</v>
      </c>
      <c r="AH242" s="47" t="s">
        <v>931</v>
      </c>
      <c r="AI242" s="47" t="s">
        <v>931</v>
      </c>
      <c r="AJ242" s="47" t="s">
        <v>931</v>
      </c>
      <c r="AK242" s="47" t="s">
        <v>930</v>
      </c>
      <c r="AL242" s="47" t="s">
        <v>931</v>
      </c>
      <c r="AM242" s="47" t="s">
        <v>931</v>
      </c>
      <c r="AN242" s="37"/>
    </row>
    <row r="243" spans="1:40" ht="37.5" customHeight="1">
      <c r="A243" s="47" t="s">
        <v>982</v>
      </c>
      <c r="B243" s="47" t="s">
        <v>919</v>
      </c>
      <c r="C243" s="47" t="s">
        <v>2504</v>
      </c>
      <c r="D243" s="47">
        <f t="shared" si="8"/>
        <v>756945</v>
      </c>
      <c r="E243" s="47" t="s">
        <v>200</v>
      </c>
      <c r="F243" s="47" t="s">
        <v>191</v>
      </c>
      <c r="G243" s="47" t="s">
        <v>41</v>
      </c>
      <c r="H243" s="47" t="s">
        <v>1518</v>
      </c>
      <c r="I243" s="47" t="s">
        <v>2505</v>
      </c>
      <c r="J243" s="47" t="s">
        <v>1024</v>
      </c>
      <c r="K243" s="47" t="s">
        <v>163</v>
      </c>
      <c r="L243" s="47" t="s">
        <v>1025</v>
      </c>
      <c r="M243" s="47" t="s">
        <v>1025</v>
      </c>
      <c r="N243" s="47" t="s">
        <v>1026</v>
      </c>
      <c r="O243" s="47" t="s">
        <v>930</v>
      </c>
      <c r="P243" s="47" t="s">
        <v>930</v>
      </c>
      <c r="Q243" s="47" t="str">
        <f t="shared" si="9"/>
        <v xml:space="preserve"> Chiều T5</v>
      </c>
      <c r="R243" s="47" t="s">
        <v>973</v>
      </c>
      <c r="S243" s="47" t="s">
        <v>1027</v>
      </c>
      <c r="T243" s="47" t="s">
        <v>2506</v>
      </c>
      <c r="U243" s="47" t="s">
        <v>2507</v>
      </c>
      <c r="V243" s="47" t="s">
        <v>16</v>
      </c>
      <c r="W243" s="47" t="s">
        <v>931</v>
      </c>
      <c r="X243" s="47" t="s">
        <v>1030</v>
      </c>
      <c r="Y243" s="47" t="s">
        <v>41</v>
      </c>
      <c r="Z243" s="47" t="s">
        <v>1111</v>
      </c>
      <c r="AA243" s="47" t="s">
        <v>1112</v>
      </c>
      <c r="AB243" s="47" t="s">
        <v>2311</v>
      </c>
      <c r="AC243" s="47" t="s">
        <v>447</v>
      </c>
      <c r="AD243" s="47" t="s">
        <v>2508</v>
      </c>
      <c r="AE243" s="47" t="s">
        <v>937</v>
      </c>
      <c r="AF243" s="47" t="s">
        <v>931</v>
      </c>
      <c r="AG243" s="47" t="s">
        <v>2509</v>
      </c>
      <c r="AH243" s="47" t="s">
        <v>931</v>
      </c>
      <c r="AI243" s="47" t="s">
        <v>931</v>
      </c>
      <c r="AJ243" s="47" t="s">
        <v>931</v>
      </c>
      <c r="AK243" s="47" t="s">
        <v>930</v>
      </c>
      <c r="AL243" s="47" t="s">
        <v>931</v>
      </c>
      <c r="AM243" s="47" t="s">
        <v>931</v>
      </c>
      <c r="AN243" s="37"/>
    </row>
    <row r="244" spans="1:40" ht="37.5" customHeight="1">
      <c r="A244" s="47" t="s">
        <v>982</v>
      </c>
      <c r="B244" s="47" t="s">
        <v>919</v>
      </c>
      <c r="C244" s="47" t="s">
        <v>806</v>
      </c>
      <c r="D244" s="47">
        <f t="shared" si="8"/>
        <v>756920</v>
      </c>
      <c r="E244" s="47" t="s">
        <v>42</v>
      </c>
      <c r="F244" s="47" t="s">
        <v>191</v>
      </c>
      <c r="G244" s="47" t="s">
        <v>41</v>
      </c>
      <c r="H244" s="47" t="s">
        <v>2412</v>
      </c>
      <c r="I244" s="47" t="s">
        <v>2510</v>
      </c>
      <c r="J244" s="47" t="s">
        <v>1024</v>
      </c>
      <c r="K244" s="47" t="s">
        <v>163</v>
      </c>
      <c r="L244" s="47" t="s">
        <v>1432</v>
      </c>
      <c r="M244" s="47" t="s">
        <v>1025</v>
      </c>
      <c r="N244" s="47" t="s">
        <v>1026</v>
      </c>
      <c r="O244" s="47" t="s">
        <v>930</v>
      </c>
      <c r="P244" s="47" t="s">
        <v>930</v>
      </c>
      <c r="Q244" s="47" t="str">
        <f t="shared" si="9"/>
        <v xml:space="preserve"> Chiều T4</v>
      </c>
      <c r="R244" s="47" t="s">
        <v>973</v>
      </c>
      <c r="S244" s="47" t="s">
        <v>1059</v>
      </c>
      <c r="T244" s="47" t="s">
        <v>2511</v>
      </c>
      <c r="U244" s="47" t="s">
        <v>2512</v>
      </c>
      <c r="V244" s="47" t="s">
        <v>24</v>
      </c>
      <c r="W244" s="47" t="s">
        <v>931</v>
      </c>
      <c r="X244" s="47" t="s">
        <v>1030</v>
      </c>
      <c r="Y244" s="47" t="s">
        <v>41</v>
      </c>
      <c r="Z244" s="47" t="s">
        <v>1111</v>
      </c>
      <c r="AA244" s="47" t="s">
        <v>1112</v>
      </c>
      <c r="AB244" s="47" t="s">
        <v>2311</v>
      </c>
      <c r="AC244" s="47" t="s">
        <v>402</v>
      </c>
      <c r="AD244" s="47" t="s">
        <v>2513</v>
      </c>
      <c r="AE244" s="47" t="s">
        <v>937</v>
      </c>
      <c r="AF244" s="47" t="s">
        <v>931</v>
      </c>
      <c r="AG244" s="47" t="s">
        <v>2514</v>
      </c>
      <c r="AH244" s="47" t="s">
        <v>931</v>
      </c>
      <c r="AI244" s="47" t="s">
        <v>931</v>
      </c>
      <c r="AJ244" s="47" t="s">
        <v>931</v>
      </c>
      <c r="AK244" s="47" t="s">
        <v>930</v>
      </c>
      <c r="AL244" s="47" t="s">
        <v>931</v>
      </c>
      <c r="AM244" s="47" t="s">
        <v>931</v>
      </c>
      <c r="AN244" s="37"/>
    </row>
    <row r="245" spans="1:40" ht="37.5" customHeight="1">
      <c r="A245" s="47" t="s">
        <v>982</v>
      </c>
      <c r="B245" s="47" t="s">
        <v>919</v>
      </c>
      <c r="C245" s="47" t="s">
        <v>2515</v>
      </c>
      <c r="D245" s="47">
        <f t="shared" si="8"/>
        <v>756966</v>
      </c>
      <c r="E245" s="47" t="s">
        <v>200</v>
      </c>
      <c r="F245" s="47" t="s">
        <v>191</v>
      </c>
      <c r="G245" s="47" t="s">
        <v>35</v>
      </c>
      <c r="H245" s="47" t="s">
        <v>1518</v>
      </c>
      <c r="I245" s="47" t="s">
        <v>2516</v>
      </c>
      <c r="J245" s="47" t="s">
        <v>1024</v>
      </c>
      <c r="K245" s="47" t="s">
        <v>163</v>
      </c>
      <c r="L245" s="47" t="s">
        <v>1025</v>
      </c>
      <c r="M245" s="47" t="s">
        <v>1025</v>
      </c>
      <c r="N245" s="47" t="s">
        <v>1026</v>
      </c>
      <c r="O245" s="47" t="s">
        <v>930</v>
      </c>
      <c r="P245" s="47" t="s">
        <v>930</v>
      </c>
      <c r="Q245" s="47" t="str">
        <f t="shared" si="9"/>
        <v xml:space="preserve"> Chiều T6</v>
      </c>
      <c r="R245" s="47" t="s">
        <v>973</v>
      </c>
      <c r="S245" s="47" t="s">
        <v>1140</v>
      </c>
      <c r="T245" s="47" t="s">
        <v>2517</v>
      </c>
      <c r="U245" s="47" t="s">
        <v>2518</v>
      </c>
      <c r="V245" s="47" t="s">
        <v>16</v>
      </c>
      <c r="W245" s="47" t="s">
        <v>931</v>
      </c>
      <c r="X245" s="47" t="s">
        <v>1030</v>
      </c>
      <c r="Y245" s="47" t="s">
        <v>35</v>
      </c>
      <c r="Z245" s="47" t="s">
        <v>1133</v>
      </c>
      <c r="AA245" s="47" t="s">
        <v>1134</v>
      </c>
      <c r="AB245" s="47" t="s">
        <v>1457</v>
      </c>
      <c r="AC245" s="47" t="s">
        <v>447</v>
      </c>
      <c r="AD245" s="47" t="s">
        <v>2519</v>
      </c>
      <c r="AE245" s="47" t="s">
        <v>937</v>
      </c>
      <c r="AF245" s="47" t="s">
        <v>931</v>
      </c>
      <c r="AG245" s="47" t="s">
        <v>2520</v>
      </c>
      <c r="AH245" s="47" t="s">
        <v>931</v>
      </c>
      <c r="AI245" s="47" t="s">
        <v>931</v>
      </c>
      <c r="AJ245" s="47" t="s">
        <v>931</v>
      </c>
      <c r="AK245" s="47" t="s">
        <v>930</v>
      </c>
      <c r="AL245" s="47" t="s">
        <v>931</v>
      </c>
      <c r="AM245" s="47" t="s">
        <v>931</v>
      </c>
      <c r="AN245" s="37"/>
    </row>
    <row r="246" spans="1:40">
      <c r="A246" s="47" t="s">
        <v>982</v>
      </c>
      <c r="B246" s="47" t="s">
        <v>919</v>
      </c>
      <c r="C246" s="47" t="s">
        <v>2521</v>
      </c>
      <c r="D246" s="47">
        <f t="shared" si="8"/>
        <v>756959</v>
      </c>
      <c r="E246" s="47" t="s">
        <v>200</v>
      </c>
      <c r="F246" s="47" t="s">
        <v>191</v>
      </c>
      <c r="G246" s="47" t="s">
        <v>44</v>
      </c>
      <c r="H246" s="47" t="s">
        <v>1518</v>
      </c>
      <c r="I246" s="47" t="s">
        <v>2522</v>
      </c>
      <c r="J246" s="47" t="s">
        <v>1024</v>
      </c>
      <c r="K246" s="47" t="s">
        <v>163</v>
      </c>
      <c r="L246" s="47" t="s">
        <v>1432</v>
      </c>
      <c r="M246" s="47" t="s">
        <v>1025</v>
      </c>
      <c r="N246" s="47" t="s">
        <v>1026</v>
      </c>
      <c r="O246" s="47" t="s">
        <v>930</v>
      </c>
      <c r="P246" s="47" t="s">
        <v>930</v>
      </c>
      <c r="Q246" s="47" t="str">
        <f t="shared" si="9"/>
        <v xml:space="preserve"> Chiều T4</v>
      </c>
      <c r="R246" s="47" t="s">
        <v>973</v>
      </c>
      <c r="S246" s="47" t="s">
        <v>1059</v>
      </c>
      <c r="T246" s="47" t="s">
        <v>2523</v>
      </c>
      <c r="U246" s="47" t="s">
        <v>2524</v>
      </c>
      <c r="V246" s="47" t="s">
        <v>16</v>
      </c>
      <c r="W246" s="47" t="s">
        <v>931</v>
      </c>
      <c r="X246" s="47" t="s">
        <v>1030</v>
      </c>
      <c r="Y246" s="47" t="s">
        <v>44</v>
      </c>
      <c r="Z246" s="47" t="s">
        <v>1209</v>
      </c>
      <c r="AA246" s="47" t="s">
        <v>1210</v>
      </c>
      <c r="AB246" s="47" t="s">
        <v>2272</v>
      </c>
      <c r="AC246" s="47" t="s">
        <v>447</v>
      </c>
      <c r="AD246" s="47" t="s">
        <v>2525</v>
      </c>
      <c r="AE246" s="47" t="s">
        <v>937</v>
      </c>
      <c r="AF246" s="47" t="s">
        <v>931</v>
      </c>
      <c r="AG246" s="47" t="s">
        <v>2526</v>
      </c>
      <c r="AH246" s="47" t="s">
        <v>931</v>
      </c>
      <c r="AI246" s="47" t="s">
        <v>931</v>
      </c>
      <c r="AJ246" s="47" t="s">
        <v>931</v>
      </c>
      <c r="AK246" s="47" t="s">
        <v>930</v>
      </c>
      <c r="AL246" s="47" t="s">
        <v>931</v>
      </c>
      <c r="AM246" s="47" t="s">
        <v>931</v>
      </c>
      <c r="AN246" s="37"/>
    </row>
    <row r="247" spans="1:40" ht="14.25" customHeight="1">
      <c r="A247" s="47" t="s">
        <v>982</v>
      </c>
      <c r="B247" s="47" t="s">
        <v>919</v>
      </c>
      <c r="C247" s="47" t="s">
        <v>2527</v>
      </c>
      <c r="D247" s="47">
        <f t="shared" si="8"/>
        <v>756963</v>
      </c>
      <c r="E247" s="47" t="s">
        <v>200</v>
      </c>
      <c r="F247" s="47" t="s">
        <v>191</v>
      </c>
      <c r="G247" s="47" t="s">
        <v>41</v>
      </c>
      <c r="H247" s="47" t="s">
        <v>1518</v>
      </c>
      <c r="I247" s="47" t="s">
        <v>2528</v>
      </c>
      <c r="J247" s="47" t="s">
        <v>1024</v>
      </c>
      <c r="K247" s="47" t="s">
        <v>163</v>
      </c>
      <c r="L247" s="47" t="s">
        <v>1269</v>
      </c>
      <c r="M247" s="47" t="s">
        <v>1025</v>
      </c>
      <c r="N247" s="47" t="s">
        <v>1026</v>
      </c>
      <c r="O247" s="47" t="s">
        <v>930</v>
      </c>
      <c r="P247" s="47" t="s">
        <v>930</v>
      </c>
      <c r="Q247" s="47" t="str">
        <f t="shared" si="9"/>
        <v xml:space="preserve"> Chiều T3</v>
      </c>
      <c r="R247" s="47" t="s">
        <v>973</v>
      </c>
      <c r="S247" s="47" t="s">
        <v>1070</v>
      </c>
      <c r="T247" s="47" t="s">
        <v>2529</v>
      </c>
      <c r="U247" s="47" t="s">
        <v>2530</v>
      </c>
      <c r="V247" s="47" t="s">
        <v>16</v>
      </c>
      <c r="W247" s="47" t="s">
        <v>931</v>
      </c>
      <c r="X247" s="47" t="s">
        <v>1030</v>
      </c>
      <c r="Y247" s="47" t="s">
        <v>41</v>
      </c>
      <c r="Z247" s="47" t="s">
        <v>1111</v>
      </c>
      <c r="AA247" s="47" t="s">
        <v>1112</v>
      </c>
      <c r="AB247" s="47" t="s">
        <v>1562</v>
      </c>
      <c r="AC247" s="47" t="s">
        <v>447</v>
      </c>
      <c r="AD247" s="47" t="s">
        <v>2531</v>
      </c>
      <c r="AE247" s="47" t="s">
        <v>937</v>
      </c>
      <c r="AF247" s="47" t="s">
        <v>931</v>
      </c>
      <c r="AG247" s="47" t="s">
        <v>2532</v>
      </c>
      <c r="AH247" s="47" t="s">
        <v>931</v>
      </c>
      <c r="AI247" s="47" t="s">
        <v>931</v>
      </c>
      <c r="AJ247" s="47" t="s">
        <v>931</v>
      </c>
      <c r="AK247" s="47" t="s">
        <v>930</v>
      </c>
      <c r="AL247" s="47" t="s">
        <v>931</v>
      </c>
      <c r="AM247" s="47" t="s">
        <v>931</v>
      </c>
      <c r="AN247" s="37"/>
    </row>
    <row r="248" spans="1:40" ht="20.25" customHeight="1">
      <c r="A248" s="47" t="s">
        <v>982</v>
      </c>
      <c r="B248" s="47" t="s">
        <v>919</v>
      </c>
      <c r="C248" s="47" t="s">
        <v>816</v>
      </c>
      <c r="D248" s="47">
        <f t="shared" si="8"/>
        <v>756925</v>
      </c>
      <c r="E248" s="47" t="s">
        <v>42</v>
      </c>
      <c r="F248" s="47" t="s">
        <v>191</v>
      </c>
      <c r="G248" s="47" t="s">
        <v>44</v>
      </c>
      <c r="H248" s="47" t="s">
        <v>2412</v>
      </c>
      <c r="I248" s="47" t="s">
        <v>2533</v>
      </c>
      <c r="J248" s="47" t="s">
        <v>1024</v>
      </c>
      <c r="K248" s="47" t="s">
        <v>163</v>
      </c>
      <c r="L248" s="47" t="s">
        <v>956</v>
      </c>
      <c r="M248" s="47" t="s">
        <v>1025</v>
      </c>
      <c r="N248" s="47" t="s">
        <v>1026</v>
      </c>
      <c r="O248" s="47" t="s">
        <v>930</v>
      </c>
      <c r="P248" s="47" t="s">
        <v>930</v>
      </c>
      <c r="Q248" s="47" t="str">
        <f t="shared" si="9"/>
        <v xml:space="preserve"> Chiều T3</v>
      </c>
      <c r="R248" s="47" t="s">
        <v>973</v>
      </c>
      <c r="S248" s="47" t="s">
        <v>1070</v>
      </c>
      <c r="T248" s="47" t="s">
        <v>2534</v>
      </c>
      <c r="U248" s="47" t="s">
        <v>2535</v>
      </c>
      <c r="V248" s="47" t="s">
        <v>27</v>
      </c>
      <c r="W248" s="47" t="s">
        <v>931</v>
      </c>
      <c r="X248" s="47" t="s">
        <v>1030</v>
      </c>
      <c r="Y248" s="47" t="s">
        <v>44</v>
      </c>
      <c r="Z248" s="47" t="s">
        <v>1209</v>
      </c>
      <c r="AA248" s="47" t="s">
        <v>1210</v>
      </c>
      <c r="AB248" s="47" t="s">
        <v>931</v>
      </c>
      <c r="AC248" s="47" t="s">
        <v>402</v>
      </c>
      <c r="AD248" s="47" t="s">
        <v>2536</v>
      </c>
      <c r="AE248" s="47" t="s">
        <v>937</v>
      </c>
      <c r="AF248" s="47" t="s">
        <v>931</v>
      </c>
      <c r="AG248" s="47" t="s">
        <v>2537</v>
      </c>
      <c r="AH248" s="47" t="s">
        <v>931</v>
      </c>
      <c r="AI248" s="47" t="s">
        <v>931</v>
      </c>
      <c r="AJ248" s="47" t="s">
        <v>931</v>
      </c>
      <c r="AK248" s="47" t="s">
        <v>930</v>
      </c>
      <c r="AL248" s="47" t="s">
        <v>931</v>
      </c>
      <c r="AM248" s="47" t="s">
        <v>931</v>
      </c>
      <c r="AN248" s="37"/>
    </row>
    <row r="249" spans="1:40" ht="20.25" customHeight="1">
      <c r="A249" s="47" t="s">
        <v>982</v>
      </c>
      <c r="B249" s="47" t="s">
        <v>919</v>
      </c>
      <c r="C249" s="47" t="s">
        <v>2538</v>
      </c>
      <c r="D249" s="47">
        <f t="shared" si="8"/>
        <v>756950</v>
      </c>
      <c r="E249" s="47" t="s">
        <v>200</v>
      </c>
      <c r="F249" s="47" t="s">
        <v>191</v>
      </c>
      <c r="G249" s="47" t="s">
        <v>41</v>
      </c>
      <c r="H249" s="47" t="s">
        <v>1518</v>
      </c>
      <c r="I249" s="47" t="s">
        <v>2539</v>
      </c>
      <c r="J249" s="47" t="s">
        <v>1024</v>
      </c>
      <c r="K249" s="47" t="s">
        <v>163</v>
      </c>
      <c r="L249" s="47" t="s">
        <v>1025</v>
      </c>
      <c r="M249" s="47" t="s">
        <v>1025</v>
      </c>
      <c r="N249" s="47" t="s">
        <v>1026</v>
      </c>
      <c r="O249" s="47" t="s">
        <v>930</v>
      </c>
      <c r="P249" s="47" t="s">
        <v>930</v>
      </c>
      <c r="Q249" s="47" t="str">
        <f t="shared" si="9"/>
        <v xml:space="preserve"> Sáng T5:</v>
      </c>
      <c r="R249" s="47" t="s">
        <v>947</v>
      </c>
      <c r="S249" s="47" t="s">
        <v>1027</v>
      </c>
      <c r="T249" s="47" t="s">
        <v>2540</v>
      </c>
      <c r="U249" s="47" t="s">
        <v>2541</v>
      </c>
      <c r="V249" s="47" t="s">
        <v>16</v>
      </c>
      <c r="W249" s="47" t="s">
        <v>931</v>
      </c>
      <c r="X249" s="47" t="s">
        <v>1030</v>
      </c>
      <c r="Y249" s="47" t="s">
        <v>41</v>
      </c>
      <c r="Z249" s="47" t="s">
        <v>1111</v>
      </c>
      <c r="AA249" s="47" t="s">
        <v>1112</v>
      </c>
      <c r="AB249" s="47" t="s">
        <v>1395</v>
      </c>
      <c r="AC249" s="47" t="s">
        <v>447</v>
      </c>
      <c r="AD249" s="47" t="s">
        <v>2542</v>
      </c>
      <c r="AE249" s="47" t="s">
        <v>937</v>
      </c>
      <c r="AF249" s="47" t="s">
        <v>931</v>
      </c>
      <c r="AG249" s="47" t="s">
        <v>2543</v>
      </c>
      <c r="AH249" s="47" t="s">
        <v>931</v>
      </c>
      <c r="AI249" s="47" t="s">
        <v>931</v>
      </c>
      <c r="AJ249" s="47" t="s">
        <v>931</v>
      </c>
      <c r="AK249" s="47" t="s">
        <v>930</v>
      </c>
      <c r="AL249" s="47" t="s">
        <v>931</v>
      </c>
      <c r="AM249" s="47" t="s">
        <v>931</v>
      </c>
      <c r="AN249" s="37"/>
    </row>
    <row r="250" spans="1:40" ht="20.25" customHeight="1">
      <c r="A250" s="47" t="s">
        <v>982</v>
      </c>
      <c r="B250" s="47" t="s">
        <v>919</v>
      </c>
      <c r="C250" s="47" t="s">
        <v>2544</v>
      </c>
      <c r="D250" s="47">
        <f t="shared" si="8"/>
        <v>756975</v>
      </c>
      <c r="E250" s="47" t="s">
        <v>200</v>
      </c>
      <c r="F250" s="47" t="s">
        <v>191</v>
      </c>
      <c r="G250" s="47" t="s">
        <v>40</v>
      </c>
      <c r="H250" s="47" t="s">
        <v>931</v>
      </c>
      <c r="I250" s="47" t="s">
        <v>2545</v>
      </c>
      <c r="J250" s="47" t="s">
        <v>1024</v>
      </c>
      <c r="K250" s="47" t="s">
        <v>163</v>
      </c>
      <c r="L250" s="47" t="s">
        <v>1025</v>
      </c>
      <c r="M250" s="47" t="s">
        <v>1025</v>
      </c>
      <c r="N250" s="47" t="s">
        <v>1026</v>
      </c>
      <c r="O250" s="47" t="s">
        <v>930</v>
      </c>
      <c r="P250" s="47" t="s">
        <v>930</v>
      </c>
      <c r="Q250" s="47" t="str">
        <f t="shared" si="9"/>
        <v xml:space="preserve"> Sáng T5:</v>
      </c>
      <c r="R250" s="47" t="s">
        <v>947</v>
      </c>
      <c r="S250" s="47" t="s">
        <v>1027</v>
      </c>
      <c r="T250" s="47" t="s">
        <v>2546</v>
      </c>
      <c r="U250" s="47" t="s">
        <v>2547</v>
      </c>
      <c r="V250" s="47" t="s">
        <v>18</v>
      </c>
      <c r="W250" s="47" t="s">
        <v>931</v>
      </c>
      <c r="X250" s="47" t="s">
        <v>1030</v>
      </c>
      <c r="Y250" s="47" t="s">
        <v>40</v>
      </c>
      <c r="Z250" s="47" t="s">
        <v>1357</v>
      </c>
      <c r="AA250" s="47" t="s">
        <v>1358</v>
      </c>
      <c r="AB250" s="47" t="s">
        <v>1033</v>
      </c>
      <c r="AC250" s="47" t="s">
        <v>447</v>
      </c>
      <c r="AD250" s="47" t="s">
        <v>2548</v>
      </c>
      <c r="AE250" s="47" t="s">
        <v>937</v>
      </c>
      <c r="AF250" s="47" t="s">
        <v>931</v>
      </c>
      <c r="AG250" s="47" t="s">
        <v>931</v>
      </c>
      <c r="AH250" s="47" t="s">
        <v>931</v>
      </c>
      <c r="AI250" s="47" t="s">
        <v>931</v>
      </c>
      <c r="AJ250" s="47" t="s">
        <v>931</v>
      </c>
      <c r="AK250" s="47" t="s">
        <v>930</v>
      </c>
      <c r="AL250" s="47" t="s">
        <v>931</v>
      </c>
      <c r="AM250" s="47" t="s">
        <v>931</v>
      </c>
      <c r="AN250" s="37"/>
    </row>
    <row r="251" spans="1:40" ht="20.25" customHeight="1">
      <c r="A251" s="47" t="s">
        <v>982</v>
      </c>
      <c r="B251" s="47" t="s">
        <v>919</v>
      </c>
      <c r="C251" s="47" t="s">
        <v>2549</v>
      </c>
      <c r="D251" s="47">
        <f t="shared" si="8"/>
        <v>756974</v>
      </c>
      <c r="E251" s="47" t="s">
        <v>200</v>
      </c>
      <c r="F251" s="47" t="s">
        <v>191</v>
      </c>
      <c r="G251" s="47" t="s">
        <v>39</v>
      </c>
      <c r="H251" s="47" t="s">
        <v>931</v>
      </c>
      <c r="I251" s="47" t="s">
        <v>2550</v>
      </c>
      <c r="J251" s="47" t="s">
        <v>1024</v>
      </c>
      <c r="K251" s="47" t="s">
        <v>163</v>
      </c>
      <c r="L251" s="47" t="s">
        <v>1025</v>
      </c>
      <c r="M251" s="47" t="s">
        <v>1025</v>
      </c>
      <c r="N251" s="47" t="s">
        <v>1026</v>
      </c>
      <c r="O251" s="47" t="s">
        <v>930</v>
      </c>
      <c r="P251" s="47" t="s">
        <v>930</v>
      </c>
      <c r="Q251" s="47" t="str">
        <f t="shared" si="9"/>
        <v xml:space="preserve"> Sáng T4:</v>
      </c>
      <c r="R251" s="47" t="s">
        <v>947</v>
      </c>
      <c r="S251" s="47" t="s">
        <v>1059</v>
      </c>
      <c r="T251" s="47" t="s">
        <v>2551</v>
      </c>
      <c r="U251" s="47" t="s">
        <v>2552</v>
      </c>
      <c r="V251" s="47" t="s">
        <v>18</v>
      </c>
      <c r="W251" s="47" t="s">
        <v>931</v>
      </c>
      <c r="X251" s="47" t="s">
        <v>1030</v>
      </c>
      <c r="Y251" s="47" t="s">
        <v>39</v>
      </c>
      <c r="Z251" s="47" t="s">
        <v>1031</v>
      </c>
      <c r="AA251" s="47" t="s">
        <v>1032</v>
      </c>
      <c r="AB251" s="47" t="s">
        <v>1403</v>
      </c>
      <c r="AC251" s="47" t="s">
        <v>447</v>
      </c>
      <c r="AD251" s="47" t="s">
        <v>2553</v>
      </c>
      <c r="AE251" s="47" t="s">
        <v>937</v>
      </c>
      <c r="AF251" s="47" t="s">
        <v>931</v>
      </c>
      <c r="AG251" s="47" t="s">
        <v>931</v>
      </c>
      <c r="AH251" s="47" t="s">
        <v>931</v>
      </c>
      <c r="AI251" s="47" t="s">
        <v>931</v>
      </c>
      <c r="AJ251" s="47" t="s">
        <v>931</v>
      </c>
      <c r="AK251" s="47" t="s">
        <v>930</v>
      </c>
      <c r="AL251" s="47" t="s">
        <v>931</v>
      </c>
      <c r="AM251" s="47" t="s">
        <v>931</v>
      </c>
      <c r="AN251" s="37"/>
    </row>
    <row r="252" spans="1:40" ht="20.25" customHeight="1">
      <c r="A252" s="47" t="s">
        <v>982</v>
      </c>
      <c r="B252" s="47" t="s">
        <v>919</v>
      </c>
      <c r="C252" s="47" t="s">
        <v>2554</v>
      </c>
      <c r="D252" s="47">
        <f t="shared" si="8"/>
        <v>756996</v>
      </c>
      <c r="E252" s="47" t="s">
        <v>200</v>
      </c>
      <c r="F252" s="47" t="s">
        <v>191</v>
      </c>
      <c r="G252" s="47" t="s">
        <v>40</v>
      </c>
      <c r="H252" s="47" t="s">
        <v>931</v>
      </c>
      <c r="I252" s="47" t="s">
        <v>2555</v>
      </c>
      <c r="J252" s="47" t="s">
        <v>1024</v>
      </c>
      <c r="K252" s="47" t="s">
        <v>163</v>
      </c>
      <c r="L252" s="47" t="s">
        <v>1511</v>
      </c>
      <c r="M252" s="47" t="s">
        <v>1025</v>
      </c>
      <c r="N252" s="47" t="s">
        <v>1026</v>
      </c>
      <c r="O252" s="47" t="s">
        <v>930</v>
      </c>
      <c r="P252" s="47" t="s">
        <v>930</v>
      </c>
      <c r="Q252" s="47" t="str">
        <f t="shared" si="9"/>
        <v xml:space="preserve"> Sáng T6:</v>
      </c>
      <c r="R252" s="47" t="s">
        <v>947</v>
      </c>
      <c r="S252" s="47" t="s">
        <v>1140</v>
      </c>
      <c r="T252" s="47" t="s">
        <v>2556</v>
      </c>
      <c r="U252" s="47" t="s">
        <v>2557</v>
      </c>
      <c r="V252" s="47" t="s">
        <v>18</v>
      </c>
      <c r="W252" s="47" t="s">
        <v>931</v>
      </c>
      <c r="X252" s="47" t="s">
        <v>1030</v>
      </c>
      <c r="Y252" s="47" t="s">
        <v>40</v>
      </c>
      <c r="Z252" s="47" t="s">
        <v>1357</v>
      </c>
      <c r="AA252" s="47" t="s">
        <v>1358</v>
      </c>
      <c r="AB252" s="47" t="s">
        <v>1478</v>
      </c>
      <c r="AC252" s="47" t="s">
        <v>447</v>
      </c>
      <c r="AD252" s="47" t="s">
        <v>2558</v>
      </c>
      <c r="AE252" s="47" t="s">
        <v>937</v>
      </c>
      <c r="AF252" s="47" t="s">
        <v>931</v>
      </c>
      <c r="AG252" s="47" t="s">
        <v>931</v>
      </c>
      <c r="AH252" s="47" t="s">
        <v>931</v>
      </c>
      <c r="AI252" s="47" t="s">
        <v>931</v>
      </c>
      <c r="AJ252" s="47" t="s">
        <v>931</v>
      </c>
      <c r="AK252" s="47" t="s">
        <v>930</v>
      </c>
      <c r="AL252" s="47" t="s">
        <v>931</v>
      </c>
      <c r="AM252" s="47" t="s">
        <v>931</v>
      </c>
      <c r="AN252" s="37"/>
    </row>
    <row r="253" spans="1:40" ht="20.25" customHeight="1">
      <c r="A253" s="47" t="s">
        <v>982</v>
      </c>
      <c r="B253" s="47" t="s">
        <v>919</v>
      </c>
      <c r="C253" s="47" t="s">
        <v>2559</v>
      </c>
      <c r="D253" s="47">
        <f t="shared" si="8"/>
        <v>756937</v>
      </c>
      <c r="E253" s="47" t="s">
        <v>200</v>
      </c>
      <c r="F253" s="47" t="s">
        <v>191</v>
      </c>
      <c r="G253" s="47" t="s">
        <v>44</v>
      </c>
      <c r="H253" s="47" t="s">
        <v>1518</v>
      </c>
      <c r="I253" s="47" t="s">
        <v>2560</v>
      </c>
      <c r="J253" s="47" t="s">
        <v>1024</v>
      </c>
      <c r="K253" s="47" t="s">
        <v>163</v>
      </c>
      <c r="L253" s="47" t="s">
        <v>1025</v>
      </c>
      <c r="M253" s="47" t="s">
        <v>1025</v>
      </c>
      <c r="N253" s="47" t="s">
        <v>1026</v>
      </c>
      <c r="O253" s="47" t="s">
        <v>930</v>
      </c>
      <c r="P253" s="47" t="s">
        <v>930</v>
      </c>
      <c r="Q253" s="47" t="str">
        <f t="shared" si="9"/>
        <v xml:space="preserve"> Chiều T2</v>
      </c>
      <c r="R253" s="47" t="s">
        <v>973</v>
      </c>
      <c r="S253" s="47" t="s">
        <v>1103</v>
      </c>
      <c r="T253" s="47" t="s">
        <v>2561</v>
      </c>
      <c r="U253" s="47" t="s">
        <v>2562</v>
      </c>
      <c r="V253" s="47" t="s">
        <v>16</v>
      </c>
      <c r="W253" s="47" t="s">
        <v>931</v>
      </c>
      <c r="X253" s="47" t="s">
        <v>1030</v>
      </c>
      <c r="Y253" s="47" t="s">
        <v>44</v>
      </c>
      <c r="Z253" s="47" t="s">
        <v>1209</v>
      </c>
      <c r="AA253" s="47" t="s">
        <v>1210</v>
      </c>
      <c r="AB253" s="47" t="s">
        <v>1777</v>
      </c>
      <c r="AC253" s="47" t="s">
        <v>447</v>
      </c>
      <c r="AD253" s="47" t="s">
        <v>2563</v>
      </c>
      <c r="AE253" s="47" t="s">
        <v>937</v>
      </c>
      <c r="AF253" s="47" t="s">
        <v>931</v>
      </c>
      <c r="AG253" s="47" t="s">
        <v>2564</v>
      </c>
      <c r="AH253" s="47" t="s">
        <v>931</v>
      </c>
      <c r="AI253" s="47" t="s">
        <v>931</v>
      </c>
      <c r="AJ253" s="47" t="s">
        <v>931</v>
      </c>
      <c r="AK253" s="47" t="s">
        <v>930</v>
      </c>
      <c r="AL253" s="47" t="s">
        <v>931</v>
      </c>
      <c r="AM253" s="47" t="s">
        <v>931</v>
      </c>
      <c r="AN253" s="37"/>
    </row>
    <row r="254" spans="1:40" ht="20.25" customHeight="1">
      <c r="A254" s="47" t="s">
        <v>982</v>
      </c>
      <c r="B254" s="47" t="s">
        <v>919</v>
      </c>
      <c r="C254" s="47" t="s">
        <v>2565</v>
      </c>
      <c r="D254" s="47">
        <f t="shared" si="8"/>
        <v>756938</v>
      </c>
      <c r="E254" s="47" t="s">
        <v>200</v>
      </c>
      <c r="F254" s="47" t="s">
        <v>191</v>
      </c>
      <c r="G254" s="47" t="s">
        <v>35</v>
      </c>
      <c r="H254" s="47" t="s">
        <v>1518</v>
      </c>
      <c r="I254" s="47" t="s">
        <v>2566</v>
      </c>
      <c r="J254" s="47" t="s">
        <v>1024</v>
      </c>
      <c r="K254" s="47" t="s">
        <v>163</v>
      </c>
      <c r="L254" s="47" t="s">
        <v>1025</v>
      </c>
      <c r="M254" s="47" t="s">
        <v>1025</v>
      </c>
      <c r="N254" s="47" t="s">
        <v>1026</v>
      </c>
      <c r="O254" s="47" t="s">
        <v>930</v>
      </c>
      <c r="P254" s="47" t="s">
        <v>930</v>
      </c>
      <c r="Q254" s="47" t="str">
        <f t="shared" si="9"/>
        <v xml:space="preserve"> Chiều T3</v>
      </c>
      <c r="R254" s="47" t="s">
        <v>973</v>
      </c>
      <c r="S254" s="47" t="s">
        <v>1070</v>
      </c>
      <c r="T254" s="47" t="s">
        <v>2567</v>
      </c>
      <c r="U254" s="47" t="s">
        <v>2568</v>
      </c>
      <c r="V254" s="47" t="s">
        <v>16</v>
      </c>
      <c r="W254" s="47" t="s">
        <v>931</v>
      </c>
      <c r="X254" s="47" t="s">
        <v>1030</v>
      </c>
      <c r="Y254" s="47" t="s">
        <v>35</v>
      </c>
      <c r="Z254" s="47" t="s">
        <v>1133</v>
      </c>
      <c r="AA254" s="47" t="s">
        <v>1134</v>
      </c>
      <c r="AB254" s="47" t="s">
        <v>1562</v>
      </c>
      <c r="AC254" s="47" t="s">
        <v>447</v>
      </c>
      <c r="AD254" s="47" t="s">
        <v>2569</v>
      </c>
      <c r="AE254" s="47" t="s">
        <v>937</v>
      </c>
      <c r="AF254" s="47" t="s">
        <v>931</v>
      </c>
      <c r="AG254" s="47" t="s">
        <v>2570</v>
      </c>
      <c r="AH254" s="47" t="s">
        <v>931</v>
      </c>
      <c r="AI254" s="47" t="s">
        <v>931</v>
      </c>
      <c r="AJ254" s="47" t="s">
        <v>931</v>
      </c>
      <c r="AK254" s="47" t="s">
        <v>930</v>
      </c>
      <c r="AL254" s="47" t="s">
        <v>931</v>
      </c>
      <c r="AM254" s="47" t="s">
        <v>931</v>
      </c>
      <c r="AN254" s="37"/>
    </row>
    <row r="255" spans="1:40" ht="20.25" customHeight="1">
      <c r="A255" s="47" t="s">
        <v>982</v>
      </c>
      <c r="B255" s="47" t="s">
        <v>919</v>
      </c>
      <c r="C255" s="47" t="s">
        <v>2571</v>
      </c>
      <c r="D255" s="47">
        <f t="shared" si="8"/>
        <v>756940</v>
      </c>
      <c r="E255" s="47" t="s">
        <v>200</v>
      </c>
      <c r="F255" s="47" t="s">
        <v>191</v>
      </c>
      <c r="G255" s="47" t="s">
        <v>41</v>
      </c>
      <c r="H255" s="47" t="s">
        <v>1518</v>
      </c>
      <c r="I255" s="47" t="s">
        <v>2572</v>
      </c>
      <c r="J255" s="47" t="s">
        <v>1024</v>
      </c>
      <c r="K255" s="47" t="s">
        <v>163</v>
      </c>
      <c r="L255" s="47" t="s">
        <v>1025</v>
      </c>
      <c r="M255" s="47" t="s">
        <v>1025</v>
      </c>
      <c r="N255" s="47" t="s">
        <v>1026</v>
      </c>
      <c r="O255" s="47" t="s">
        <v>930</v>
      </c>
      <c r="P255" s="47" t="s">
        <v>930</v>
      </c>
      <c r="Q255" s="47" t="str">
        <f t="shared" si="9"/>
        <v xml:space="preserve"> Chiều T5</v>
      </c>
      <c r="R255" s="47" t="s">
        <v>973</v>
      </c>
      <c r="S255" s="47" t="s">
        <v>1027</v>
      </c>
      <c r="T255" s="47" t="s">
        <v>2573</v>
      </c>
      <c r="U255" s="47" t="s">
        <v>2574</v>
      </c>
      <c r="V255" s="47" t="s">
        <v>16</v>
      </c>
      <c r="W255" s="47" t="s">
        <v>931</v>
      </c>
      <c r="X255" s="47" t="s">
        <v>1030</v>
      </c>
      <c r="Y255" s="47" t="s">
        <v>41</v>
      </c>
      <c r="Z255" s="47" t="s">
        <v>1111</v>
      </c>
      <c r="AA255" s="47" t="s">
        <v>1112</v>
      </c>
      <c r="AB255" s="47" t="s">
        <v>2311</v>
      </c>
      <c r="AC255" s="47" t="s">
        <v>447</v>
      </c>
      <c r="AD255" s="47" t="s">
        <v>2575</v>
      </c>
      <c r="AE255" s="47" t="s">
        <v>937</v>
      </c>
      <c r="AF255" s="47" t="s">
        <v>931</v>
      </c>
      <c r="AG255" s="47" t="s">
        <v>2576</v>
      </c>
      <c r="AH255" s="47" t="s">
        <v>931</v>
      </c>
      <c r="AI255" s="47" t="s">
        <v>931</v>
      </c>
      <c r="AJ255" s="47" t="s">
        <v>931</v>
      </c>
      <c r="AK255" s="47" t="s">
        <v>930</v>
      </c>
      <c r="AL255" s="47" t="s">
        <v>931</v>
      </c>
      <c r="AM255" s="47" t="s">
        <v>931</v>
      </c>
      <c r="AN255" s="37"/>
    </row>
    <row r="256" spans="1:40" ht="20.25" customHeight="1">
      <c r="A256" s="47" t="s">
        <v>982</v>
      </c>
      <c r="B256" s="47" t="s">
        <v>919</v>
      </c>
      <c r="C256" s="47" t="s">
        <v>2577</v>
      </c>
      <c r="D256" s="47">
        <f t="shared" si="8"/>
        <v>756965</v>
      </c>
      <c r="E256" s="47" t="s">
        <v>200</v>
      </c>
      <c r="F256" s="47" t="s">
        <v>191</v>
      </c>
      <c r="G256" s="47" t="s">
        <v>41</v>
      </c>
      <c r="H256" s="47" t="s">
        <v>1518</v>
      </c>
      <c r="I256" s="47" t="s">
        <v>2578</v>
      </c>
      <c r="J256" s="47" t="s">
        <v>1024</v>
      </c>
      <c r="K256" s="47" t="s">
        <v>163</v>
      </c>
      <c r="L256" s="47" t="s">
        <v>1025</v>
      </c>
      <c r="M256" s="47" t="s">
        <v>1025</v>
      </c>
      <c r="N256" s="47" t="s">
        <v>1026</v>
      </c>
      <c r="O256" s="47" t="s">
        <v>930</v>
      </c>
      <c r="P256" s="47" t="s">
        <v>930</v>
      </c>
      <c r="Q256" s="47" t="str">
        <f t="shared" si="9"/>
        <v xml:space="preserve"> Chiều T5</v>
      </c>
      <c r="R256" s="47" t="s">
        <v>973</v>
      </c>
      <c r="S256" s="47" t="s">
        <v>1027</v>
      </c>
      <c r="T256" s="47" t="s">
        <v>2579</v>
      </c>
      <c r="U256" s="47" t="s">
        <v>2580</v>
      </c>
      <c r="V256" s="47" t="s">
        <v>16</v>
      </c>
      <c r="W256" s="47" t="s">
        <v>931</v>
      </c>
      <c r="X256" s="47" t="s">
        <v>1030</v>
      </c>
      <c r="Y256" s="47" t="s">
        <v>41</v>
      </c>
      <c r="Z256" s="47" t="s">
        <v>1111</v>
      </c>
      <c r="AA256" s="47" t="s">
        <v>1112</v>
      </c>
      <c r="AB256" s="47" t="s">
        <v>2311</v>
      </c>
      <c r="AC256" s="47" t="s">
        <v>447</v>
      </c>
      <c r="AD256" s="47" t="s">
        <v>2581</v>
      </c>
      <c r="AE256" s="47" t="s">
        <v>937</v>
      </c>
      <c r="AF256" s="47" t="s">
        <v>931</v>
      </c>
      <c r="AG256" s="47" t="s">
        <v>2582</v>
      </c>
      <c r="AH256" s="47" t="s">
        <v>931</v>
      </c>
      <c r="AI256" s="47" t="s">
        <v>931</v>
      </c>
      <c r="AJ256" s="47" t="s">
        <v>931</v>
      </c>
      <c r="AK256" s="47" t="s">
        <v>930</v>
      </c>
      <c r="AL256" s="47" t="s">
        <v>931</v>
      </c>
      <c r="AM256" s="47" t="s">
        <v>931</v>
      </c>
      <c r="AN256" s="37"/>
    </row>
    <row r="257" spans="1:40" ht="20.25" customHeight="1">
      <c r="A257" s="47" t="s">
        <v>982</v>
      </c>
      <c r="B257" s="47" t="s">
        <v>919</v>
      </c>
      <c r="C257" s="47" t="s">
        <v>793</v>
      </c>
      <c r="D257" s="47">
        <f t="shared" si="8"/>
        <v>756921</v>
      </c>
      <c r="E257" s="47" t="s">
        <v>42</v>
      </c>
      <c r="F257" s="47" t="s">
        <v>191</v>
      </c>
      <c r="G257" s="47" t="s">
        <v>43</v>
      </c>
      <c r="H257" s="47" t="s">
        <v>931</v>
      </c>
      <c r="I257" s="47" t="s">
        <v>2583</v>
      </c>
      <c r="J257" s="47" t="s">
        <v>1024</v>
      </c>
      <c r="K257" s="47" t="s">
        <v>163</v>
      </c>
      <c r="L257" s="47" t="s">
        <v>1392</v>
      </c>
      <c r="M257" s="47" t="s">
        <v>1025</v>
      </c>
      <c r="N257" s="47" t="s">
        <v>1026</v>
      </c>
      <c r="O257" s="47" t="s">
        <v>930</v>
      </c>
      <c r="P257" s="47" t="s">
        <v>930</v>
      </c>
      <c r="Q257" s="47" t="str">
        <f t="shared" si="9"/>
        <v xml:space="preserve"> Chiều T5</v>
      </c>
      <c r="R257" s="47" t="s">
        <v>973</v>
      </c>
      <c r="S257" s="47" t="s">
        <v>1027</v>
      </c>
      <c r="T257" s="47" t="s">
        <v>2584</v>
      </c>
      <c r="U257" s="47" t="s">
        <v>2585</v>
      </c>
      <c r="V257" s="47" t="s">
        <v>24</v>
      </c>
      <c r="W257" s="47" t="s">
        <v>931</v>
      </c>
      <c r="X257" s="47" t="s">
        <v>1030</v>
      </c>
      <c r="Y257" s="47" t="s">
        <v>43</v>
      </c>
      <c r="Z257" s="47" t="s">
        <v>1463</v>
      </c>
      <c r="AA257" s="47" t="s">
        <v>1464</v>
      </c>
      <c r="AB257" s="47" t="s">
        <v>2469</v>
      </c>
      <c r="AC257" s="47" t="s">
        <v>402</v>
      </c>
      <c r="AD257" s="47" t="s">
        <v>2586</v>
      </c>
      <c r="AE257" s="47" t="s">
        <v>937</v>
      </c>
      <c r="AF257" s="47" t="s">
        <v>931</v>
      </c>
      <c r="AG257" s="47" t="s">
        <v>931</v>
      </c>
      <c r="AH257" s="47" t="s">
        <v>931</v>
      </c>
      <c r="AI257" s="47" t="s">
        <v>931</v>
      </c>
      <c r="AJ257" s="47" t="s">
        <v>931</v>
      </c>
      <c r="AK257" s="47" t="s">
        <v>930</v>
      </c>
      <c r="AL257" s="47" t="s">
        <v>931</v>
      </c>
      <c r="AM257" s="47" t="s">
        <v>931</v>
      </c>
      <c r="AN257" s="37"/>
    </row>
    <row r="258" spans="1:40" ht="20.25" customHeight="1">
      <c r="A258" s="47" t="s">
        <v>982</v>
      </c>
      <c r="B258" s="47" t="s">
        <v>919</v>
      </c>
      <c r="C258" s="47" t="s">
        <v>2587</v>
      </c>
      <c r="D258" s="47">
        <f t="shared" si="8"/>
        <v>756961</v>
      </c>
      <c r="E258" s="47" t="s">
        <v>200</v>
      </c>
      <c r="F258" s="47" t="s">
        <v>191</v>
      </c>
      <c r="G258" s="47" t="s">
        <v>44</v>
      </c>
      <c r="H258" s="47" t="s">
        <v>1518</v>
      </c>
      <c r="I258" s="47" t="s">
        <v>2588</v>
      </c>
      <c r="J258" s="47" t="s">
        <v>1024</v>
      </c>
      <c r="K258" s="47" t="s">
        <v>163</v>
      </c>
      <c r="L258" s="47" t="s">
        <v>1432</v>
      </c>
      <c r="M258" s="47" t="s">
        <v>1025</v>
      </c>
      <c r="N258" s="47" t="s">
        <v>1026</v>
      </c>
      <c r="O258" s="47" t="s">
        <v>930</v>
      </c>
      <c r="P258" s="47" t="s">
        <v>930</v>
      </c>
      <c r="Q258" s="47" t="str">
        <f t="shared" si="9"/>
        <v xml:space="preserve"> Chiều T6</v>
      </c>
      <c r="R258" s="47" t="s">
        <v>973</v>
      </c>
      <c r="S258" s="47" t="s">
        <v>1140</v>
      </c>
      <c r="T258" s="47" t="s">
        <v>2589</v>
      </c>
      <c r="U258" s="47" t="s">
        <v>2590</v>
      </c>
      <c r="V258" s="47" t="s">
        <v>16</v>
      </c>
      <c r="W258" s="47" t="s">
        <v>931</v>
      </c>
      <c r="X258" s="47" t="s">
        <v>1030</v>
      </c>
      <c r="Y258" s="47" t="s">
        <v>44</v>
      </c>
      <c r="Z258" s="47" t="s">
        <v>1209</v>
      </c>
      <c r="AA258" s="47" t="s">
        <v>1210</v>
      </c>
      <c r="AB258" s="47" t="s">
        <v>1135</v>
      </c>
      <c r="AC258" s="47" t="s">
        <v>447</v>
      </c>
      <c r="AD258" s="47" t="s">
        <v>2591</v>
      </c>
      <c r="AE258" s="47" t="s">
        <v>937</v>
      </c>
      <c r="AF258" s="47" t="s">
        <v>931</v>
      </c>
      <c r="AG258" s="47" t="s">
        <v>2592</v>
      </c>
      <c r="AH258" s="47" t="s">
        <v>931</v>
      </c>
      <c r="AI258" s="47" t="s">
        <v>931</v>
      </c>
      <c r="AJ258" s="47" t="s">
        <v>931</v>
      </c>
      <c r="AK258" s="47" t="s">
        <v>930</v>
      </c>
      <c r="AL258" s="47" t="s">
        <v>931</v>
      </c>
      <c r="AM258" s="47" t="s">
        <v>931</v>
      </c>
      <c r="AN258" s="37"/>
    </row>
    <row r="259" spans="1:40" ht="20.25" customHeight="1">
      <c r="A259" s="47" t="s">
        <v>982</v>
      </c>
      <c r="B259" s="47" t="s">
        <v>919</v>
      </c>
      <c r="C259" s="47" t="s">
        <v>2593</v>
      </c>
      <c r="D259" s="47">
        <f t="shared" ref="D259:D322" si="10">VALUE(C259)</f>
        <v>756997</v>
      </c>
      <c r="E259" s="47" t="s">
        <v>200</v>
      </c>
      <c r="F259" s="47" t="s">
        <v>191</v>
      </c>
      <c r="G259" s="47" t="s">
        <v>35</v>
      </c>
      <c r="H259" s="47" t="s">
        <v>1518</v>
      </c>
      <c r="I259" s="47" t="s">
        <v>2594</v>
      </c>
      <c r="J259" s="47" t="s">
        <v>1024</v>
      </c>
      <c r="K259" s="47" t="s">
        <v>163</v>
      </c>
      <c r="L259" s="47" t="s">
        <v>1258</v>
      </c>
      <c r="M259" s="47" t="s">
        <v>1025</v>
      </c>
      <c r="N259" s="47" t="s">
        <v>1026</v>
      </c>
      <c r="O259" s="47" t="s">
        <v>930</v>
      </c>
      <c r="P259" s="47" t="s">
        <v>930</v>
      </c>
      <c r="Q259" s="47" t="str">
        <f t="shared" si="9"/>
        <v xml:space="preserve"> Chiều T2</v>
      </c>
      <c r="R259" s="47" t="s">
        <v>973</v>
      </c>
      <c r="S259" s="47" t="s">
        <v>1103</v>
      </c>
      <c r="T259" s="47" t="s">
        <v>2595</v>
      </c>
      <c r="U259" s="47" t="s">
        <v>2596</v>
      </c>
      <c r="V259" s="47" t="s">
        <v>18</v>
      </c>
      <c r="W259" s="47" t="s">
        <v>931</v>
      </c>
      <c r="X259" s="47" t="s">
        <v>1030</v>
      </c>
      <c r="Y259" s="47" t="s">
        <v>35</v>
      </c>
      <c r="Z259" s="47" t="s">
        <v>1133</v>
      </c>
      <c r="AA259" s="47" t="s">
        <v>1134</v>
      </c>
      <c r="AB259" s="47" t="s">
        <v>1554</v>
      </c>
      <c r="AC259" s="47" t="s">
        <v>447</v>
      </c>
      <c r="AD259" s="47" t="s">
        <v>2597</v>
      </c>
      <c r="AE259" s="47" t="s">
        <v>937</v>
      </c>
      <c r="AF259" s="47" t="s">
        <v>931</v>
      </c>
      <c r="AG259" s="47" t="s">
        <v>2598</v>
      </c>
      <c r="AH259" s="47" t="s">
        <v>931</v>
      </c>
      <c r="AI259" s="47" t="s">
        <v>931</v>
      </c>
      <c r="AJ259" s="47" t="s">
        <v>931</v>
      </c>
      <c r="AK259" s="47" t="s">
        <v>930</v>
      </c>
      <c r="AL259" s="47" t="s">
        <v>931</v>
      </c>
      <c r="AM259" s="47" t="s">
        <v>931</v>
      </c>
      <c r="AN259" s="37"/>
    </row>
    <row r="260" spans="1:40" ht="20.25" customHeight="1">
      <c r="A260" s="47" t="s">
        <v>982</v>
      </c>
      <c r="B260" s="47" t="s">
        <v>919</v>
      </c>
      <c r="C260" s="47" t="s">
        <v>2599</v>
      </c>
      <c r="D260" s="47">
        <f t="shared" si="10"/>
        <v>756989</v>
      </c>
      <c r="E260" s="47" t="s">
        <v>200</v>
      </c>
      <c r="F260" s="47" t="s">
        <v>191</v>
      </c>
      <c r="G260" s="47" t="s">
        <v>40</v>
      </c>
      <c r="H260" s="47" t="s">
        <v>931</v>
      </c>
      <c r="I260" s="47" t="s">
        <v>2600</v>
      </c>
      <c r="J260" s="47" t="s">
        <v>1024</v>
      </c>
      <c r="K260" s="47" t="s">
        <v>163</v>
      </c>
      <c r="L260" s="47" t="s">
        <v>1269</v>
      </c>
      <c r="M260" s="47" t="s">
        <v>1025</v>
      </c>
      <c r="N260" s="47" t="s">
        <v>1026</v>
      </c>
      <c r="O260" s="47" t="s">
        <v>930</v>
      </c>
      <c r="P260" s="47" t="s">
        <v>930</v>
      </c>
      <c r="Q260" s="47" t="str">
        <f t="shared" ref="Q260:Q278" si="11">LEFT(T260,9)</f>
        <v xml:space="preserve"> Sáng T4:</v>
      </c>
      <c r="R260" s="47" t="s">
        <v>947</v>
      </c>
      <c r="S260" s="47" t="s">
        <v>1059</v>
      </c>
      <c r="T260" s="47" t="s">
        <v>2601</v>
      </c>
      <c r="U260" s="47" t="s">
        <v>2602</v>
      </c>
      <c r="V260" s="47" t="s">
        <v>18</v>
      </c>
      <c r="W260" s="47" t="s">
        <v>931</v>
      </c>
      <c r="X260" s="47" t="s">
        <v>1030</v>
      </c>
      <c r="Y260" s="47" t="s">
        <v>40</v>
      </c>
      <c r="Z260" s="47" t="s">
        <v>1357</v>
      </c>
      <c r="AA260" s="47" t="s">
        <v>1358</v>
      </c>
      <c r="AB260" s="47" t="s">
        <v>1403</v>
      </c>
      <c r="AC260" s="47" t="s">
        <v>447</v>
      </c>
      <c r="AD260" s="47" t="s">
        <v>2603</v>
      </c>
      <c r="AE260" s="47" t="s">
        <v>937</v>
      </c>
      <c r="AF260" s="47" t="s">
        <v>931</v>
      </c>
      <c r="AG260" s="47" t="s">
        <v>931</v>
      </c>
      <c r="AH260" s="47" t="s">
        <v>931</v>
      </c>
      <c r="AI260" s="47" t="s">
        <v>931</v>
      </c>
      <c r="AJ260" s="47" t="s">
        <v>931</v>
      </c>
      <c r="AK260" s="47" t="s">
        <v>930</v>
      </c>
      <c r="AL260" s="47" t="s">
        <v>931</v>
      </c>
      <c r="AM260" s="47" t="s">
        <v>931</v>
      </c>
      <c r="AN260" s="37"/>
    </row>
    <row r="261" spans="1:40" ht="20.25" customHeight="1">
      <c r="A261" s="47" t="s">
        <v>982</v>
      </c>
      <c r="B261" s="47" t="s">
        <v>919</v>
      </c>
      <c r="C261" s="47" t="s">
        <v>2604</v>
      </c>
      <c r="D261" s="47">
        <f t="shared" si="10"/>
        <v>756956</v>
      </c>
      <c r="E261" s="47" t="s">
        <v>200</v>
      </c>
      <c r="F261" s="47" t="s">
        <v>191</v>
      </c>
      <c r="G261" s="47" t="s">
        <v>39</v>
      </c>
      <c r="H261" s="47" t="s">
        <v>931</v>
      </c>
      <c r="I261" s="47" t="s">
        <v>2605</v>
      </c>
      <c r="J261" s="47" t="s">
        <v>1024</v>
      </c>
      <c r="K261" s="47" t="s">
        <v>163</v>
      </c>
      <c r="L261" s="47" t="s">
        <v>1025</v>
      </c>
      <c r="M261" s="47" t="s">
        <v>1025</v>
      </c>
      <c r="N261" s="47" t="s">
        <v>1026</v>
      </c>
      <c r="O261" s="47" t="s">
        <v>930</v>
      </c>
      <c r="P261" s="47" t="s">
        <v>930</v>
      </c>
      <c r="Q261" s="47" t="str">
        <f t="shared" si="11"/>
        <v xml:space="preserve"> Sáng T6:</v>
      </c>
      <c r="R261" s="47" t="s">
        <v>947</v>
      </c>
      <c r="S261" s="47" t="s">
        <v>1140</v>
      </c>
      <c r="T261" s="47" t="s">
        <v>2606</v>
      </c>
      <c r="U261" s="47" t="s">
        <v>2607</v>
      </c>
      <c r="V261" s="47" t="s">
        <v>16</v>
      </c>
      <c r="W261" s="47" t="s">
        <v>931</v>
      </c>
      <c r="X261" s="47" t="s">
        <v>1030</v>
      </c>
      <c r="Y261" s="47" t="s">
        <v>39</v>
      </c>
      <c r="Z261" s="47" t="s">
        <v>1031</v>
      </c>
      <c r="AA261" s="47" t="s">
        <v>1032</v>
      </c>
      <c r="AB261" s="47" t="s">
        <v>1416</v>
      </c>
      <c r="AC261" s="47" t="s">
        <v>447</v>
      </c>
      <c r="AD261" s="47" t="s">
        <v>2608</v>
      </c>
      <c r="AE261" s="47" t="s">
        <v>937</v>
      </c>
      <c r="AF261" s="47" t="s">
        <v>931</v>
      </c>
      <c r="AG261" s="47" t="s">
        <v>931</v>
      </c>
      <c r="AH261" s="47" t="s">
        <v>931</v>
      </c>
      <c r="AI261" s="47" t="s">
        <v>931</v>
      </c>
      <c r="AJ261" s="47" t="s">
        <v>931</v>
      </c>
      <c r="AK261" s="47" t="s">
        <v>930</v>
      </c>
      <c r="AL261" s="47" t="s">
        <v>931</v>
      </c>
      <c r="AM261" s="47" t="s">
        <v>931</v>
      </c>
      <c r="AN261" s="37"/>
    </row>
    <row r="262" spans="1:40" ht="20.25" customHeight="1">
      <c r="A262" s="47" t="s">
        <v>982</v>
      </c>
      <c r="B262" s="47" t="s">
        <v>919</v>
      </c>
      <c r="C262" s="47" t="s">
        <v>796</v>
      </c>
      <c r="D262" s="47">
        <f t="shared" si="10"/>
        <v>756924</v>
      </c>
      <c r="E262" s="47" t="s">
        <v>42</v>
      </c>
      <c r="F262" s="47" t="s">
        <v>191</v>
      </c>
      <c r="G262" s="47" t="s">
        <v>43</v>
      </c>
      <c r="H262" s="47" t="s">
        <v>931</v>
      </c>
      <c r="I262" s="47" t="s">
        <v>2609</v>
      </c>
      <c r="J262" s="47" t="s">
        <v>1024</v>
      </c>
      <c r="K262" s="47" t="s">
        <v>163</v>
      </c>
      <c r="L262" s="47" t="s">
        <v>1124</v>
      </c>
      <c r="M262" s="47" t="s">
        <v>1025</v>
      </c>
      <c r="N262" s="47" t="s">
        <v>1026</v>
      </c>
      <c r="O262" s="47" t="s">
        <v>930</v>
      </c>
      <c r="P262" s="47" t="s">
        <v>930</v>
      </c>
      <c r="Q262" s="47" t="str">
        <f t="shared" si="11"/>
        <v xml:space="preserve"> Chiều T2</v>
      </c>
      <c r="R262" s="47" t="s">
        <v>973</v>
      </c>
      <c r="S262" s="47" t="s">
        <v>1103</v>
      </c>
      <c r="T262" s="47" t="s">
        <v>2610</v>
      </c>
      <c r="U262" s="47" t="s">
        <v>2611</v>
      </c>
      <c r="V262" s="47" t="s">
        <v>27</v>
      </c>
      <c r="W262" s="47" t="s">
        <v>931</v>
      </c>
      <c r="X262" s="47" t="s">
        <v>1030</v>
      </c>
      <c r="Y262" s="47" t="s">
        <v>43</v>
      </c>
      <c r="Z262" s="47" t="s">
        <v>1463</v>
      </c>
      <c r="AA262" s="47" t="s">
        <v>1464</v>
      </c>
      <c r="AB262" s="47" t="s">
        <v>1948</v>
      </c>
      <c r="AC262" s="47" t="s">
        <v>402</v>
      </c>
      <c r="AD262" s="47" t="s">
        <v>2612</v>
      </c>
      <c r="AE262" s="47" t="s">
        <v>937</v>
      </c>
      <c r="AF262" s="47" t="s">
        <v>931</v>
      </c>
      <c r="AG262" s="47" t="s">
        <v>931</v>
      </c>
      <c r="AH262" s="47" t="s">
        <v>931</v>
      </c>
      <c r="AI262" s="47" t="s">
        <v>931</v>
      </c>
      <c r="AJ262" s="47" t="s">
        <v>931</v>
      </c>
      <c r="AK262" s="47" t="s">
        <v>930</v>
      </c>
      <c r="AL262" s="47" t="s">
        <v>931</v>
      </c>
      <c r="AM262" s="47" t="s">
        <v>931</v>
      </c>
      <c r="AN262" s="37"/>
    </row>
    <row r="263" spans="1:40" ht="20.25" customHeight="1">
      <c r="A263" s="47" t="s">
        <v>982</v>
      </c>
      <c r="B263" s="47" t="s">
        <v>919</v>
      </c>
      <c r="C263" s="47" t="s">
        <v>2613</v>
      </c>
      <c r="D263" s="47">
        <f t="shared" si="10"/>
        <v>756977</v>
      </c>
      <c r="E263" s="47" t="s">
        <v>200</v>
      </c>
      <c r="F263" s="47" t="s">
        <v>191</v>
      </c>
      <c r="G263" s="47" t="s">
        <v>39</v>
      </c>
      <c r="H263" s="47" t="s">
        <v>931</v>
      </c>
      <c r="I263" s="47" t="s">
        <v>2614</v>
      </c>
      <c r="J263" s="47" t="s">
        <v>1024</v>
      </c>
      <c r="K263" s="47" t="s">
        <v>163</v>
      </c>
      <c r="L263" s="47" t="s">
        <v>1432</v>
      </c>
      <c r="M263" s="47" t="s">
        <v>1025</v>
      </c>
      <c r="N263" s="47" t="s">
        <v>1026</v>
      </c>
      <c r="O263" s="47" t="s">
        <v>930</v>
      </c>
      <c r="P263" s="47" t="s">
        <v>930</v>
      </c>
      <c r="Q263" s="47" t="str">
        <f t="shared" si="11"/>
        <v xml:space="preserve"> Chiều T2</v>
      </c>
      <c r="R263" s="47" t="s">
        <v>973</v>
      </c>
      <c r="S263" s="47" t="s">
        <v>1103</v>
      </c>
      <c r="T263" s="47" t="s">
        <v>2615</v>
      </c>
      <c r="U263" s="47" t="s">
        <v>2616</v>
      </c>
      <c r="V263" s="47" t="s">
        <v>18</v>
      </c>
      <c r="W263" s="47" t="s">
        <v>931</v>
      </c>
      <c r="X263" s="47" t="s">
        <v>1030</v>
      </c>
      <c r="Y263" s="47" t="s">
        <v>39</v>
      </c>
      <c r="Z263" s="47" t="s">
        <v>1031</v>
      </c>
      <c r="AA263" s="47" t="s">
        <v>1032</v>
      </c>
      <c r="AB263" s="47" t="s">
        <v>1554</v>
      </c>
      <c r="AC263" s="47" t="s">
        <v>447</v>
      </c>
      <c r="AD263" s="47" t="s">
        <v>2617</v>
      </c>
      <c r="AE263" s="47" t="s">
        <v>937</v>
      </c>
      <c r="AF263" s="47" t="s">
        <v>931</v>
      </c>
      <c r="AG263" s="47" t="s">
        <v>931</v>
      </c>
      <c r="AH263" s="47" t="s">
        <v>931</v>
      </c>
      <c r="AI263" s="47" t="s">
        <v>931</v>
      </c>
      <c r="AJ263" s="47" t="s">
        <v>931</v>
      </c>
      <c r="AK263" s="47" t="s">
        <v>930</v>
      </c>
      <c r="AL263" s="47" t="s">
        <v>931</v>
      </c>
      <c r="AM263" s="47" t="s">
        <v>931</v>
      </c>
      <c r="AN263" s="37"/>
    </row>
    <row r="264" spans="1:40" ht="20.25" customHeight="1">
      <c r="A264" s="47" t="s">
        <v>982</v>
      </c>
      <c r="B264" s="47" t="s">
        <v>919</v>
      </c>
      <c r="C264" s="47" t="s">
        <v>2618</v>
      </c>
      <c r="D264" s="47">
        <f t="shared" si="10"/>
        <v>756929</v>
      </c>
      <c r="E264" s="47" t="s">
        <v>200</v>
      </c>
      <c r="F264" s="47" t="s">
        <v>191</v>
      </c>
      <c r="G264" s="47" t="s">
        <v>43</v>
      </c>
      <c r="H264" s="47" t="s">
        <v>931</v>
      </c>
      <c r="I264" s="47" t="s">
        <v>2619</v>
      </c>
      <c r="J264" s="47" t="s">
        <v>1024</v>
      </c>
      <c r="K264" s="47" t="s">
        <v>163</v>
      </c>
      <c r="L264" s="47" t="s">
        <v>1432</v>
      </c>
      <c r="M264" s="47" t="s">
        <v>1025</v>
      </c>
      <c r="N264" s="47" t="s">
        <v>1026</v>
      </c>
      <c r="O264" s="47" t="s">
        <v>930</v>
      </c>
      <c r="P264" s="47" t="s">
        <v>930</v>
      </c>
      <c r="Q264" s="47" t="str">
        <f t="shared" si="11"/>
        <v xml:space="preserve"> Sáng T4:</v>
      </c>
      <c r="R264" s="47" t="s">
        <v>947</v>
      </c>
      <c r="S264" s="47" t="s">
        <v>1059</v>
      </c>
      <c r="T264" s="47" t="s">
        <v>2620</v>
      </c>
      <c r="U264" s="47" t="s">
        <v>2621</v>
      </c>
      <c r="V264" s="47" t="s">
        <v>16</v>
      </c>
      <c r="W264" s="47" t="s">
        <v>931</v>
      </c>
      <c r="X264" s="47" t="s">
        <v>1030</v>
      </c>
      <c r="Y264" s="47" t="s">
        <v>43</v>
      </c>
      <c r="Z264" s="47" t="s">
        <v>1463</v>
      </c>
      <c r="AA264" s="47" t="s">
        <v>1464</v>
      </c>
      <c r="AB264" s="47" t="s">
        <v>1811</v>
      </c>
      <c r="AC264" s="47" t="s">
        <v>447</v>
      </c>
      <c r="AD264" s="47" t="s">
        <v>2622</v>
      </c>
      <c r="AE264" s="47" t="s">
        <v>937</v>
      </c>
      <c r="AF264" s="47" t="s">
        <v>931</v>
      </c>
      <c r="AG264" s="47" t="s">
        <v>931</v>
      </c>
      <c r="AH264" s="47" t="s">
        <v>931</v>
      </c>
      <c r="AI264" s="47" t="s">
        <v>931</v>
      </c>
      <c r="AJ264" s="47" t="s">
        <v>931</v>
      </c>
      <c r="AK264" s="47" t="s">
        <v>930</v>
      </c>
      <c r="AL264" s="47" t="s">
        <v>931</v>
      </c>
      <c r="AM264" s="47" t="s">
        <v>931</v>
      </c>
      <c r="AN264" s="37"/>
    </row>
    <row r="265" spans="1:40" ht="20.25" customHeight="1">
      <c r="A265" s="47" t="s">
        <v>982</v>
      </c>
      <c r="B265" s="47" t="s">
        <v>919</v>
      </c>
      <c r="C265" s="47" t="s">
        <v>2623</v>
      </c>
      <c r="D265" s="47">
        <f t="shared" si="10"/>
        <v>756930</v>
      </c>
      <c r="E265" s="47" t="s">
        <v>200</v>
      </c>
      <c r="F265" s="47" t="s">
        <v>191</v>
      </c>
      <c r="G265" s="47" t="s">
        <v>41</v>
      </c>
      <c r="H265" s="47" t="s">
        <v>1518</v>
      </c>
      <c r="I265" s="47" t="s">
        <v>2624</v>
      </c>
      <c r="J265" s="47" t="s">
        <v>1024</v>
      </c>
      <c r="K265" s="47" t="s">
        <v>163</v>
      </c>
      <c r="L265" s="47" t="s">
        <v>1269</v>
      </c>
      <c r="M265" s="47" t="s">
        <v>1025</v>
      </c>
      <c r="N265" s="47" t="s">
        <v>1026</v>
      </c>
      <c r="O265" s="47" t="s">
        <v>930</v>
      </c>
      <c r="P265" s="47" t="s">
        <v>930</v>
      </c>
      <c r="Q265" s="47" t="str">
        <f t="shared" si="11"/>
        <v xml:space="preserve"> Sáng T5:</v>
      </c>
      <c r="R265" s="47" t="s">
        <v>947</v>
      </c>
      <c r="S265" s="47" t="s">
        <v>1027</v>
      </c>
      <c r="T265" s="47" t="s">
        <v>2625</v>
      </c>
      <c r="U265" s="47" t="s">
        <v>2626</v>
      </c>
      <c r="V265" s="47" t="s">
        <v>16</v>
      </c>
      <c r="W265" s="47" t="s">
        <v>931</v>
      </c>
      <c r="X265" s="47" t="s">
        <v>1030</v>
      </c>
      <c r="Y265" s="47" t="s">
        <v>41</v>
      </c>
      <c r="Z265" s="47" t="s">
        <v>1111</v>
      </c>
      <c r="AA265" s="47" t="s">
        <v>1112</v>
      </c>
      <c r="AB265" s="47" t="s">
        <v>1395</v>
      </c>
      <c r="AC265" s="47" t="s">
        <v>447</v>
      </c>
      <c r="AD265" s="47" t="s">
        <v>2627</v>
      </c>
      <c r="AE265" s="47" t="s">
        <v>937</v>
      </c>
      <c r="AF265" s="47" t="s">
        <v>931</v>
      </c>
      <c r="AG265" s="47" t="s">
        <v>2628</v>
      </c>
      <c r="AH265" s="47" t="s">
        <v>931</v>
      </c>
      <c r="AI265" s="47" t="s">
        <v>931</v>
      </c>
      <c r="AJ265" s="47" t="s">
        <v>931</v>
      </c>
      <c r="AK265" s="47" t="s">
        <v>930</v>
      </c>
      <c r="AL265" s="47" t="s">
        <v>931</v>
      </c>
      <c r="AM265" s="47" t="s">
        <v>931</v>
      </c>
      <c r="AN265" s="37"/>
    </row>
    <row r="266" spans="1:40" ht="20.25" customHeight="1">
      <c r="A266" s="47" t="s">
        <v>982</v>
      </c>
      <c r="B266" s="47" t="s">
        <v>919</v>
      </c>
      <c r="C266" s="47" t="s">
        <v>2629</v>
      </c>
      <c r="D266" s="47">
        <f t="shared" si="10"/>
        <v>756952</v>
      </c>
      <c r="E266" s="47" t="s">
        <v>200</v>
      </c>
      <c r="F266" s="47" t="s">
        <v>191</v>
      </c>
      <c r="G266" s="47" t="s">
        <v>43</v>
      </c>
      <c r="H266" s="47" t="s">
        <v>931</v>
      </c>
      <c r="I266" s="47" t="s">
        <v>2630</v>
      </c>
      <c r="J266" s="47" t="s">
        <v>1024</v>
      </c>
      <c r="K266" s="47" t="s">
        <v>163</v>
      </c>
      <c r="L266" s="47" t="s">
        <v>1432</v>
      </c>
      <c r="M266" s="47" t="s">
        <v>1025</v>
      </c>
      <c r="N266" s="47" t="s">
        <v>1026</v>
      </c>
      <c r="O266" s="47" t="s">
        <v>930</v>
      </c>
      <c r="P266" s="47" t="s">
        <v>930</v>
      </c>
      <c r="Q266" s="47" t="str">
        <f t="shared" si="11"/>
        <v xml:space="preserve"> Sáng T2:</v>
      </c>
      <c r="R266" s="47" t="s">
        <v>947</v>
      </c>
      <c r="S266" s="47" t="s">
        <v>1103</v>
      </c>
      <c r="T266" s="47" t="s">
        <v>2631</v>
      </c>
      <c r="U266" s="47" t="s">
        <v>2632</v>
      </c>
      <c r="V266" s="47" t="s">
        <v>16</v>
      </c>
      <c r="W266" s="47" t="s">
        <v>931</v>
      </c>
      <c r="X266" s="47" t="s">
        <v>1030</v>
      </c>
      <c r="Y266" s="47" t="s">
        <v>43</v>
      </c>
      <c r="Z266" s="47" t="s">
        <v>1463</v>
      </c>
      <c r="AA266" s="47" t="s">
        <v>1464</v>
      </c>
      <c r="AB266" s="47" t="s">
        <v>2383</v>
      </c>
      <c r="AC266" s="47" t="s">
        <v>447</v>
      </c>
      <c r="AD266" s="47" t="s">
        <v>2633</v>
      </c>
      <c r="AE266" s="47" t="s">
        <v>937</v>
      </c>
      <c r="AF266" s="47" t="s">
        <v>931</v>
      </c>
      <c r="AG266" s="47" t="s">
        <v>931</v>
      </c>
      <c r="AH266" s="47" t="s">
        <v>931</v>
      </c>
      <c r="AI266" s="47" t="s">
        <v>931</v>
      </c>
      <c r="AJ266" s="47" t="s">
        <v>931</v>
      </c>
      <c r="AK266" s="47" t="s">
        <v>930</v>
      </c>
      <c r="AL266" s="47" t="s">
        <v>931</v>
      </c>
      <c r="AM266" s="47" t="s">
        <v>931</v>
      </c>
      <c r="AN266" s="37"/>
    </row>
    <row r="267" spans="1:40" ht="20.25" customHeight="1">
      <c r="A267" s="47" t="s">
        <v>982</v>
      </c>
      <c r="B267" s="47" t="s">
        <v>919</v>
      </c>
      <c r="C267" s="47" t="s">
        <v>2634</v>
      </c>
      <c r="D267" s="47">
        <f t="shared" si="10"/>
        <v>756943</v>
      </c>
      <c r="E267" s="47" t="s">
        <v>200</v>
      </c>
      <c r="F267" s="47" t="s">
        <v>191</v>
      </c>
      <c r="G267" s="47" t="s">
        <v>35</v>
      </c>
      <c r="H267" s="47" t="s">
        <v>1518</v>
      </c>
      <c r="I267" s="47" t="s">
        <v>2635</v>
      </c>
      <c r="J267" s="47" t="s">
        <v>1024</v>
      </c>
      <c r="K267" s="47" t="s">
        <v>163</v>
      </c>
      <c r="L267" s="47" t="s">
        <v>1432</v>
      </c>
      <c r="M267" s="47" t="s">
        <v>1025</v>
      </c>
      <c r="N267" s="47" t="s">
        <v>1026</v>
      </c>
      <c r="O267" s="47" t="s">
        <v>930</v>
      </c>
      <c r="P267" s="47" t="s">
        <v>930</v>
      </c>
      <c r="Q267" s="47" t="str">
        <f t="shared" si="11"/>
        <v xml:space="preserve"> Chiều T3</v>
      </c>
      <c r="R267" s="47" t="s">
        <v>973</v>
      </c>
      <c r="S267" s="47" t="s">
        <v>1070</v>
      </c>
      <c r="T267" s="47" t="s">
        <v>2636</v>
      </c>
      <c r="U267" s="47" t="s">
        <v>2637</v>
      </c>
      <c r="V267" s="47" t="s">
        <v>16</v>
      </c>
      <c r="W267" s="47" t="s">
        <v>931</v>
      </c>
      <c r="X267" s="47" t="s">
        <v>1030</v>
      </c>
      <c r="Y267" s="47" t="s">
        <v>35</v>
      </c>
      <c r="Z267" s="47" t="s">
        <v>1133</v>
      </c>
      <c r="AA267" s="47" t="s">
        <v>1134</v>
      </c>
      <c r="AB267" s="47" t="s">
        <v>1562</v>
      </c>
      <c r="AC267" s="47" t="s">
        <v>447</v>
      </c>
      <c r="AD267" s="47" t="s">
        <v>2638</v>
      </c>
      <c r="AE267" s="47" t="s">
        <v>937</v>
      </c>
      <c r="AF267" s="47" t="s">
        <v>931</v>
      </c>
      <c r="AG267" s="47" t="s">
        <v>2639</v>
      </c>
      <c r="AH267" s="47" t="s">
        <v>931</v>
      </c>
      <c r="AI267" s="47" t="s">
        <v>931</v>
      </c>
      <c r="AJ267" s="47" t="s">
        <v>931</v>
      </c>
      <c r="AK267" s="47" t="s">
        <v>930</v>
      </c>
      <c r="AL267" s="47" t="s">
        <v>931</v>
      </c>
      <c r="AM267" s="47" t="s">
        <v>931</v>
      </c>
      <c r="AN267" s="37"/>
    </row>
    <row r="268" spans="1:40" ht="20.25" customHeight="1">
      <c r="A268" s="47" t="s">
        <v>982</v>
      </c>
      <c r="B268" s="47" t="s">
        <v>919</v>
      </c>
      <c r="C268" s="47" t="s">
        <v>2640</v>
      </c>
      <c r="D268" s="47">
        <f t="shared" si="10"/>
        <v>756971</v>
      </c>
      <c r="E268" s="47" t="s">
        <v>200</v>
      </c>
      <c r="F268" s="47" t="s">
        <v>191</v>
      </c>
      <c r="G268" s="47" t="s">
        <v>40</v>
      </c>
      <c r="H268" s="47" t="s">
        <v>931</v>
      </c>
      <c r="I268" s="47" t="s">
        <v>2641</v>
      </c>
      <c r="J268" s="47" t="s">
        <v>1024</v>
      </c>
      <c r="K268" s="47" t="s">
        <v>163</v>
      </c>
      <c r="L268" s="47" t="s">
        <v>1432</v>
      </c>
      <c r="M268" s="47" t="s">
        <v>1025</v>
      </c>
      <c r="N268" s="47" t="s">
        <v>1026</v>
      </c>
      <c r="O268" s="47" t="s">
        <v>930</v>
      </c>
      <c r="P268" s="47" t="s">
        <v>930</v>
      </c>
      <c r="Q268" s="47" t="str">
        <f t="shared" si="11"/>
        <v xml:space="preserve"> Sáng T6:</v>
      </c>
      <c r="R268" s="47" t="s">
        <v>947</v>
      </c>
      <c r="S268" s="47" t="s">
        <v>1140</v>
      </c>
      <c r="T268" s="47" t="s">
        <v>2642</v>
      </c>
      <c r="U268" s="47" t="s">
        <v>2643</v>
      </c>
      <c r="V268" s="47" t="s">
        <v>18</v>
      </c>
      <c r="W268" s="47" t="s">
        <v>931</v>
      </c>
      <c r="X268" s="47" t="s">
        <v>1030</v>
      </c>
      <c r="Y268" s="47" t="s">
        <v>40</v>
      </c>
      <c r="Z268" s="47" t="s">
        <v>1357</v>
      </c>
      <c r="AA268" s="47" t="s">
        <v>1358</v>
      </c>
      <c r="AB268" s="47" t="s">
        <v>1478</v>
      </c>
      <c r="AC268" s="47" t="s">
        <v>447</v>
      </c>
      <c r="AD268" s="47" t="s">
        <v>2644</v>
      </c>
      <c r="AE268" s="47" t="s">
        <v>937</v>
      </c>
      <c r="AF268" s="47" t="s">
        <v>931</v>
      </c>
      <c r="AG268" s="47" t="s">
        <v>931</v>
      </c>
      <c r="AH268" s="47" t="s">
        <v>931</v>
      </c>
      <c r="AI268" s="47" t="s">
        <v>931</v>
      </c>
      <c r="AJ268" s="47" t="s">
        <v>931</v>
      </c>
      <c r="AK268" s="47" t="s">
        <v>930</v>
      </c>
      <c r="AL268" s="47" t="s">
        <v>931</v>
      </c>
      <c r="AM268" s="47" t="s">
        <v>931</v>
      </c>
      <c r="AN268" s="37"/>
    </row>
    <row r="269" spans="1:40" ht="20.25" customHeight="1">
      <c r="A269" s="47" t="s">
        <v>982</v>
      </c>
      <c r="B269" s="47" t="s">
        <v>919</v>
      </c>
      <c r="C269" s="47" t="s">
        <v>2645</v>
      </c>
      <c r="D269" s="47">
        <f t="shared" si="10"/>
        <v>756947</v>
      </c>
      <c r="E269" s="47" t="s">
        <v>200</v>
      </c>
      <c r="F269" s="47" t="s">
        <v>191</v>
      </c>
      <c r="G269" s="47" t="s">
        <v>43</v>
      </c>
      <c r="H269" s="47" t="s">
        <v>931</v>
      </c>
      <c r="I269" s="47" t="s">
        <v>2646</v>
      </c>
      <c r="J269" s="47" t="s">
        <v>1024</v>
      </c>
      <c r="K269" s="47" t="s">
        <v>163</v>
      </c>
      <c r="L269" s="47" t="s">
        <v>1025</v>
      </c>
      <c r="M269" s="47" t="s">
        <v>1025</v>
      </c>
      <c r="N269" s="47" t="s">
        <v>1026</v>
      </c>
      <c r="O269" s="47" t="s">
        <v>930</v>
      </c>
      <c r="P269" s="47" t="s">
        <v>930</v>
      </c>
      <c r="Q269" s="47" t="str">
        <f t="shared" si="11"/>
        <v xml:space="preserve"> Sáng T2:</v>
      </c>
      <c r="R269" s="47" t="s">
        <v>947</v>
      </c>
      <c r="S269" s="47" t="s">
        <v>1103</v>
      </c>
      <c r="T269" s="47" t="s">
        <v>2647</v>
      </c>
      <c r="U269" s="47" t="s">
        <v>2648</v>
      </c>
      <c r="V269" s="47" t="s">
        <v>16</v>
      </c>
      <c r="W269" s="47" t="s">
        <v>931</v>
      </c>
      <c r="X269" s="47" t="s">
        <v>1030</v>
      </c>
      <c r="Y269" s="47" t="s">
        <v>43</v>
      </c>
      <c r="Z269" s="47" t="s">
        <v>1463</v>
      </c>
      <c r="AA269" s="47" t="s">
        <v>1464</v>
      </c>
      <c r="AB269" s="47" t="s">
        <v>2383</v>
      </c>
      <c r="AC269" s="47" t="s">
        <v>447</v>
      </c>
      <c r="AD269" s="47" t="s">
        <v>2649</v>
      </c>
      <c r="AE269" s="47" t="s">
        <v>937</v>
      </c>
      <c r="AF269" s="47" t="s">
        <v>931</v>
      </c>
      <c r="AG269" s="47" t="s">
        <v>931</v>
      </c>
      <c r="AH269" s="47" t="s">
        <v>931</v>
      </c>
      <c r="AI269" s="47" t="s">
        <v>931</v>
      </c>
      <c r="AJ269" s="47" t="s">
        <v>931</v>
      </c>
      <c r="AK269" s="47" t="s">
        <v>930</v>
      </c>
      <c r="AL269" s="47" t="s">
        <v>931</v>
      </c>
      <c r="AM269" s="47" t="s">
        <v>931</v>
      </c>
      <c r="AN269" s="37"/>
    </row>
    <row r="270" spans="1:40" ht="20.25" customHeight="1">
      <c r="A270" s="47" t="s">
        <v>982</v>
      </c>
      <c r="B270" s="47" t="s">
        <v>919</v>
      </c>
      <c r="C270" s="47" t="s">
        <v>809</v>
      </c>
      <c r="D270" s="47">
        <f t="shared" si="10"/>
        <v>756919</v>
      </c>
      <c r="E270" s="47" t="s">
        <v>42</v>
      </c>
      <c r="F270" s="47" t="s">
        <v>191</v>
      </c>
      <c r="G270" s="47" t="s">
        <v>41</v>
      </c>
      <c r="H270" s="47" t="s">
        <v>2412</v>
      </c>
      <c r="I270" s="47" t="s">
        <v>2650</v>
      </c>
      <c r="J270" s="47" t="s">
        <v>1024</v>
      </c>
      <c r="K270" s="47" t="s">
        <v>163</v>
      </c>
      <c r="L270" s="47" t="s">
        <v>1102</v>
      </c>
      <c r="M270" s="47" t="s">
        <v>1025</v>
      </c>
      <c r="N270" s="47" t="s">
        <v>1026</v>
      </c>
      <c r="O270" s="47" t="s">
        <v>930</v>
      </c>
      <c r="P270" s="47" t="s">
        <v>930</v>
      </c>
      <c r="Q270" s="47" t="str">
        <f t="shared" si="11"/>
        <v xml:space="preserve"> Chiều T4</v>
      </c>
      <c r="R270" s="47" t="s">
        <v>973</v>
      </c>
      <c r="S270" s="47" t="s">
        <v>1059</v>
      </c>
      <c r="T270" s="47" t="s">
        <v>2651</v>
      </c>
      <c r="U270" s="47" t="s">
        <v>2652</v>
      </c>
      <c r="V270" s="47" t="s">
        <v>24</v>
      </c>
      <c r="W270" s="47" t="s">
        <v>931</v>
      </c>
      <c r="X270" s="47" t="s">
        <v>1030</v>
      </c>
      <c r="Y270" s="47" t="s">
        <v>41</v>
      </c>
      <c r="Z270" s="47" t="s">
        <v>1111</v>
      </c>
      <c r="AA270" s="47" t="s">
        <v>1112</v>
      </c>
      <c r="AB270" s="47" t="s">
        <v>2311</v>
      </c>
      <c r="AC270" s="47" t="s">
        <v>402</v>
      </c>
      <c r="AD270" s="47" t="s">
        <v>2653</v>
      </c>
      <c r="AE270" s="47" t="s">
        <v>937</v>
      </c>
      <c r="AF270" s="47" t="s">
        <v>931</v>
      </c>
      <c r="AG270" s="47" t="s">
        <v>2654</v>
      </c>
      <c r="AH270" s="47" t="s">
        <v>931</v>
      </c>
      <c r="AI270" s="47" t="s">
        <v>931</v>
      </c>
      <c r="AJ270" s="47" t="s">
        <v>931</v>
      </c>
      <c r="AK270" s="47" t="s">
        <v>930</v>
      </c>
      <c r="AL270" s="47" t="s">
        <v>931</v>
      </c>
      <c r="AM270" s="47" t="s">
        <v>931</v>
      </c>
      <c r="AN270" s="37"/>
    </row>
    <row r="271" spans="1:40" ht="20.25" customHeight="1">
      <c r="A271" s="47" t="s">
        <v>982</v>
      </c>
      <c r="B271" s="47" t="s">
        <v>919</v>
      </c>
      <c r="C271" s="47" t="s">
        <v>2655</v>
      </c>
      <c r="D271" s="47">
        <f t="shared" si="10"/>
        <v>756992</v>
      </c>
      <c r="E271" s="47" t="s">
        <v>200</v>
      </c>
      <c r="F271" s="47" t="s">
        <v>191</v>
      </c>
      <c r="G271" s="47" t="s">
        <v>44</v>
      </c>
      <c r="H271" s="47" t="s">
        <v>1518</v>
      </c>
      <c r="I271" s="47" t="s">
        <v>2656</v>
      </c>
      <c r="J271" s="47" t="s">
        <v>1024</v>
      </c>
      <c r="K271" s="47" t="s">
        <v>163</v>
      </c>
      <c r="L271" s="47" t="s">
        <v>1258</v>
      </c>
      <c r="M271" s="47" t="s">
        <v>1025</v>
      </c>
      <c r="N271" s="47" t="s">
        <v>1026</v>
      </c>
      <c r="O271" s="47" t="s">
        <v>930</v>
      </c>
      <c r="P271" s="47" t="s">
        <v>930</v>
      </c>
      <c r="Q271" s="47" t="str">
        <f t="shared" si="11"/>
        <v xml:space="preserve"> Sáng T2:</v>
      </c>
      <c r="R271" s="47" t="s">
        <v>947</v>
      </c>
      <c r="S271" s="47" t="s">
        <v>1103</v>
      </c>
      <c r="T271" s="47" t="s">
        <v>2657</v>
      </c>
      <c r="U271" s="47" t="s">
        <v>2658</v>
      </c>
      <c r="V271" s="47" t="s">
        <v>18</v>
      </c>
      <c r="W271" s="47" t="s">
        <v>931</v>
      </c>
      <c r="X271" s="47" t="s">
        <v>1030</v>
      </c>
      <c r="Y271" s="47" t="s">
        <v>44</v>
      </c>
      <c r="Z271" s="47" t="s">
        <v>1209</v>
      </c>
      <c r="AA271" s="47" t="s">
        <v>1210</v>
      </c>
      <c r="AB271" s="47" t="s">
        <v>1450</v>
      </c>
      <c r="AC271" s="47" t="s">
        <v>447</v>
      </c>
      <c r="AD271" s="47" t="s">
        <v>2659</v>
      </c>
      <c r="AE271" s="47" t="s">
        <v>937</v>
      </c>
      <c r="AF271" s="47" t="s">
        <v>931</v>
      </c>
      <c r="AG271" s="47" t="s">
        <v>2660</v>
      </c>
      <c r="AH271" s="47" t="s">
        <v>931</v>
      </c>
      <c r="AI271" s="47" t="s">
        <v>931</v>
      </c>
      <c r="AJ271" s="47" t="s">
        <v>931</v>
      </c>
      <c r="AK271" s="47" t="s">
        <v>930</v>
      </c>
      <c r="AL271" s="47" t="s">
        <v>931</v>
      </c>
      <c r="AM271" s="47" t="s">
        <v>931</v>
      </c>
      <c r="AN271" s="37"/>
    </row>
    <row r="272" spans="1:40" ht="20.25" customHeight="1">
      <c r="A272" s="47" t="s">
        <v>982</v>
      </c>
      <c r="B272" s="47" t="s">
        <v>919</v>
      </c>
      <c r="C272" s="47" t="s">
        <v>2661</v>
      </c>
      <c r="D272" s="47">
        <f t="shared" si="10"/>
        <v>756970</v>
      </c>
      <c r="E272" s="47" t="s">
        <v>200</v>
      </c>
      <c r="F272" s="47" t="s">
        <v>191</v>
      </c>
      <c r="G272" s="47" t="s">
        <v>40</v>
      </c>
      <c r="H272" s="47" t="s">
        <v>931</v>
      </c>
      <c r="I272" s="47" t="s">
        <v>2662</v>
      </c>
      <c r="J272" s="47" t="s">
        <v>1024</v>
      </c>
      <c r="K272" s="47" t="s">
        <v>163</v>
      </c>
      <c r="L272" s="47" t="s">
        <v>1025</v>
      </c>
      <c r="M272" s="47" t="s">
        <v>1025</v>
      </c>
      <c r="N272" s="47" t="s">
        <v>1026</v>
      </c>
      <c r="O272" s="47" t="s">
        <v>930</v>
      </c>
      <c r="P272" s="47" t="s">
        <v>930</v>
      </c>
      <c r="Q272" s="47" t="str">
        <f t="shared" si="11"/>
        <v xml:space="preserve"> Sáng T5:</v>
      </c>
      <c r="R272" s="47" t="s">
        <v>947</v>
      </c>
      <c r="S272" s="47" t="s">
        <v>1027</v>
      </c>
      <c r="T272" s="47" t="s">
        <v>2663</v>
      </c>
      <c r="U272" s="47" t="s">
        <v>2664</v>
      </c>
      <c r="V272" s="47" t="s">
        <v>18</v>
      </c>
      <c r="W272" s="47" t="s">
        <v>931</v>
      </c>
      <c r="X272" s="47" t="s">
        <v>1030</v>
      </c>
      <c r="Y272" s="47" t="s">
        <v>40</v>
      </c>
      <c r="Z272" s="47" t="s">
        <v>1357</v>
      </c>
      <c r="AA272" s="47" t="s">
        <v>1358</v>
      </c>
      <c r="AB272" s="47" t="s">
        <v>1033</v>
      </c>
      <c r="AC272" s="47" t="s">
        <v>447</v>
      </c>
      <c r="AD272" s="47" t="s">
        <v>2665</v>
      </c>
      <c r="AE272" s="47" t="s">
        <v>937</v>
      </c>
      <c r="AF272" s="47" t="s">
        <v>931</v>
      </c>
      <c r="AG272" s="47" t="s">
        <v>931</v>
      </c>
      <c r="AH272" s="47" t="s">
        <v>931</v>
      </c>
      <c r="AI272" s="47" t="s">
        <v>931</v>
      </c>
      <c r="AJ272" s="47" t="s">
        <v>931</v>
      </c>
      <c r="AK272" s="47" t="s">
        <v>930</v>
      </c>
      <c r="AL272" s="47" t="s">
        <v>931</v>
      </c>
      <c r="AM272" s="47" t="s">
        <v>931</v>
      </c>
      <c r="AN272" s="37"/>
    </row>
    <row r="273" spans="1:40" ht="20.25" customHeight="1">
      <c r="A273" s="47" t="s">
        <v>982</v>
      </c>
      <c r="B273" s="47" t="s">
        <v>919</v>
      </c>
      <c r="C273" s="47" t="s">
        <v>2666</v>
      </c>
      <c r="D273" s="47">
        <f t="shared" si="10"/>
        <v>756984</v>
      </c>
      <c r="E273" s="47" t="s">
        <v>200</v>
      </c>
      <c r="F273" s="47" t="s">
        <v>191</v>
      </c>
      <c r="G273" s="47" t="s">
        <v>40</v>
      </c>
      <c r="H273" s="47" t="s">
        <v>931</v>
      </c>
      <c r="I273" s="47" t="s">
        <v>2667</v>
      </c>
      <c r="J273" s="47" t="s">
        <v>1024</v>
      </c>
      <c r="K273" s="47" t="s">
        <v>163</v>
      </c>
      <c r="L273" s="47" t="s">
        <v>1109</v>
      </c>
      <c r="M273" s="47" t="s">
        <v>1025</v>
      </c>
      <c r="N273" s="47" t="s">
        <v>1026</v>
      </c>
      <c r="O273" s="47" t="s">
        <v>930</v>
      </c>
      <c r="P273" s="47" t="s">
        <v>930</v>
      </c>
      <c r="Q273" s="47" t="str">
        <f t="shared" si="11"/>
        <v xml:space="preserve"> Chiều T4</v>
      </c>
      <c r="R273" s="47" t="s">
        <v>973</v>
      </c>
      <c r="S273" s="47" t="s">
        <v>1059</v>
      </c>
      <c r="T273" s="47" t="s">
        <v>2668</v>
      </c>
      <c r="U273" s="47" t="s">
        <v>2669</v>
      </c>
      <c r="V273" s="47" t="s">
        <v>18</v>
      </c>
      <c r="W273" s="47" t="s">
        <v>931</v>
      </c>
      <c r="X273" s="47" t="s">
        <v>1030</v>
      </c>
      <c r="Y273" s="47" t="s">
        <v>40</v>
      </c>
      <c r="Z273" s="47" t="s">
        <v>1357</v>
      </c>
      <c r="AA273" s="47" t="s">
        <v>1358</v>
      </c>
      <c r="AB273" s="47" t="s">
        <v>2025</v>
      </c>
      <c r="AC273" s="47" t="s">
        <v>447</v>
      </c>
      <c r="AD273" s="47" t="s">
        <v>2670</v>
      </c>
      <c r="AE273" s="47" t="s">
        <v>937</v>
      </c>
      <c r="AF273" s="47" t="s">
        <v>931</v>
      </c>
      <c r="AG273" s="47" t="s">
        <v>931</v>
      </c>
      <c r="AH273" s="47" t="s">
        <v>931</v>
      </c>
      <c r="AI273" s="47" t="s">
        <v>931</v>
      </c>
      <c r="AJ273" s="47" t="s">
        <v>931</v>
      </c>
      <c r="AK273" s="47" t="s">
        <v>930</v>
      </c>
      <c r="AL273" s="47" t="s">
        <v>931</v>
      </c>
      <c r="AM273" s="47" t="s">
        <v>931</v>
      </c>
      <c r="AN273" s="37"/>
    </row>
    <row r="274" spans="1:40" ht="20.25" customHeight="1">
      <c r="A274" s="47" t="s">
        <v>982</v>
      </c>
      <c r="B274" s="47" t="s">
        <v>919</v>
      </c>
      <c r="C274" s="47" t="s">
        <v>2671</v>
      </c>
      <c r="D274" s="47">
        <f t="shared" si="10"/>
        <v>756980</v>
      </c>
      <c r="E274" s="47" t="s">
        <v>200</v>
      </c>
      <c r="F274" s="47" t="s">
        <v>191</v>
      </c>
      <c r="G274" s="47" t="s">
        <v>40</v>
      </c>
      <c r="H274" s="47" t="s">
        <v>931</v>
      </c>
      <c r="I274" s="47" t="s">
        <v>2672</v>
      </c>
      <c r="J274" s="47" t="s">
        <v>1024</v>
      </c>
      <c r="K274" s="47" t="s">
        <v>163</v>
      </c>
      <c r="L274" s="47" t="s">
        <v>1025</v>
      </c>
      <c r="M274" s="47" t="s">
        <v>1025</v>
      </c>
      <c r="N274" s="47" t="s">
        <v>1026</v>
      </c>
      <c r="O274" s="47" t="s">
        <v>930</v>
      </c>
      <c r="P274" s="47" t="s">
        <v>930</v>
      </c>
      <c r="Q274" s="47" t="str">
        <f t="shared" si="11"/>
        <v xml:space="preserve"> Chiều T5</v>
      </c>
      <c r="R274" s="47" t="s">
        <v>973</v>
      </c>
      <c r="S274" s="47" t="s">
        <v>1027</v>
      </c>
      <c r="T274" s="47" t="s">
        <v>2673</v>
      </c>
      <c r="U274" s="47" t="s">
        <v>2674</v>
      </c>
      <c r="V274" s="47" t="s">
        <v>18</v>
      </c>
      <c r="W274" s="47" t="s">
        <v>931</v>
      </c>
      <c r="X274" s="47" t="s">
        <v>1030</v>
      </c>
      <c r="Y274" s="47" t="s">
        <v>40</v>
      </c>
      <c r="Z274" s="47" t="s">
        <v>1357</v>
      </c>
      <c r="AA274" s="47" t="s">
        <v>1358</v>
      </c>
      <c r="AB274" s="47" t="s">
        <v>1120</v>
      </c>
      <c r="AC274" s="47" t="s">
        <v>447</v>
      </c>
      <c r="AD274" s="47" t="s">
        <v>2675</v>
      </c>
      <c r="AE274" s="47" t="s">
        <v>937</v>
      </c>
      <c r="AF274" s="47" t="s">
        <v>931</v>
      </c>
      <c r="AG274" s="47" t="s">
        <v>931</v>
      </c>
      <c r="AH274" s="47" t="s">
        <v>931</v>
      </c>
      <c r="AI274" s="47" t="s">
        <v>931</v>
      </c>
      <c r="AJ274" s="47" t="s">
        <v>931</v>
      </c>
      <c r="AK274" s="47" t="s">
        <v>930</v>
      </c>
      <c r="AL274" s="47" t="s">
        <v>931</v>
      </c>
      <c r="AM274" s="47" t="s">
        <v>931</v>
      </c>
      <c r="AN274" s="37"/>
    </row>
    <row r="275" spans="1:40" ht="20.25" customHeight="1">
      <c r="A275" s="47" t="s">
        <v>982</v>
      </c>
      <c r="B275" s="47" t="s">
        <v>919</v>
      </c>
      <c r="C275" s="47" t="s">
        <v>2676</v>
      </c>
      <c r="D275" s="47">
        <f t="shared" si="10"/>
        <v>756982</v>
      </c>
      <c r="E275" s="47" t="s">
        <v>200</v>
      </c>
      <c r="F275" s="47" t="s">
        <v>191</v>
      </c>
      <c r="G275" s="47" t="s">
        <v>39</v>
      </c>
      <c r="H275" s="47" t="s">
        <v>931</v>
      </c>
      <c r="I275" s="47" t="s">
        <v>2677</v>
      </c>
      <c r="J275" s="47" t="s">
        <v>1024</v>
      </c>
      <c r="K275" s="47" t="s">
        <v>163</v>
      </c>
      <c r="L275" s="47" t="s">
        <v>1109</v>
      </c>
      <c r="M275" s="47" t="s">
        <v>1025</v>
      </c>
      <c r="N275" s="47" t="s">
        <v>1026</v>
      </c>
      <c r="O275" s="47" t="s">
        <v>930</v>
      </c>
      <c r="P275" s="47" t="s">
        <v>930</v>
      </c>
      <c r="Q275" s="47" t="str">
        <f t="shared" si="11"/>
        <v xml:space="preserve"> Chiều T2</v>
      </c>
      <c r="R275" s="47" t="s">
        <v>973</v>
      </c>
      <c r="S275" s="47" t="s">
        <v>1103</v>
      </c>
      <c r="T275" s="47" t="s">
        <v>2678</v>
      </c>
      <c r="U275" s="47" t="s">
        <v>2679</v>
      </c>
      <c r="V275" s="47" t="s">
        <v>18</v>
      </c>
      <c r="W275" s="47" t="s">
        <v>931</v>
      </c>
      <c r="X275" s="47" t="s">
        <v>1030</v>
      </c>
      <c r="Y275" s="47" t="s">
        <v>39</v>
      </c>
      <c r="Z275" s="47" t="s">
        <v>1031</v>
      </c>
      <c r="AA275" s="47" t="s">
        <v>1032</v>
      </c>
      <c r="AB275" s="47" t="s">
        <v>1554</v>
      </c>
      <c r="AC275" s="47" t="s">
        <v>447</v>
      </c>
      <c r="AD275" s="47" t="s">
        <v>2680</v>
      </c>
      <c r="AE275" s="47" t="s">
        <v>937</v>
      </c>
      <c r="AF275" s="47" t="s">
        <v>931</v>
      </c>
      <c r="AG275" s="47" t="s">
        <v>931</v>
      </c>
      <c r="AH275" s="47" t="s">
        <v>931</v>
      </c>
      <c r="AI275" s="47" t="s">
        <v>931</v>
      </c>
      <c r="AJ275" s="47" t="s">
        <v>931</v>
      </c>
      <c r="AK275" s="47" t="s">
        <v>930</v>
      </c>
      <c r="AL275" s="47" t="s">
        <v>931</v>
      </c>
      <c r="AM275" s="47" t="s">
        <v>931</v>
      </c>
      <c r="AN275" s="37"/>
    </row>
    <row r="276" spans="1:40" ht="20.25" customHeight="1">
      <c r="A276" s="47" t="s">
        <v>982</v>
      </c>
      <c r="B276" s="47" t="s">
        <v>919</v>
      </c>
      <c r="C276" s="47" t="s">
        <v>2681</v>
      </c>
      <c r="D276" s="47">
        <f t="shared" si="10"/>
        <v>756985</v>
      </c>
      <c r="E276" s="47" t="s">
        <v>200</v>
      </c>
      <c r="F276" s="47" t="s">
        <v>191</v>
      </c>
      <c r="G276" s="47" t="s">
        <v>40</v>
      </c>
      <c r="H276" s="47" t="s">
        <v>931</v>
      </c>
      <c r="I276" s="47" t="s">
        <v>2682</v>
      </c>
      <c r="J276" s="47" t="s">
        <v>1024</v>
      </c>
      <c r="K276" s="47" t="s">
        <v>163</v>
      </c>
      <c r="L276" s="47" t="s">
        <v>1447</v>
      </c>
      <c r="M276" s="47" t="s">
        <v>1025</v>
      </c>
      <c r="N276" s="47" t="s">
        <v>1026</v>
      </c>
      <c r="O276" s="47" t="s">
        <v>930</v>
      </c>
      <c r="P276" s="47" t="s">
        <v>930</v>
      </c>
      <c r="Q276" s="47" t="str">
        <f t="shared" si="11"/>
        <v xml:space="preserve"> Chiều T5</v>
      </c>
      <c r="R276" s="47" t="s">
        <v>973</v>
      </c>
      <c r="S276" s="47" t="s">
        <v>1027</v>
      </c>
      <c r="T276" s="47" t="s">
        <v>2683</v>
      </c>
      <c r="U276" s="47" t="s">
        <v>2684</v>
      </c>
      <c r="V276" s="47" t="s">
        <v>18</v>
      </c>
      <c r="W276" s="47" t="s">
        <v>931</v>
      </c>
      <c r="X276" s="47" t="s">
        <v>1030</v>
      </c>
      <c r="Y276" s="47" t="s">
        <v>40</v>
      </c>
      <c r="Z276" s="47" t="s">
        <v>1357</v>
      </c>
      <c r="AA276" s="47" t="s">
        <v>1358</v>
      </c>
      <c r="AB276" s="47" t="s">
        <v>1530</v>
      </c>
      <c r="AC276" s="47" t="s">
        <v>447</v>
      </c>
      <c r="AD276" s="47" t="s">
        <v>2685</v>
      </c>
      <c r="AE276" s="47" t="s">
        <v>937</v>
      </c>
      <c r="AF276" s="47" t="s">
        <v>931</v>
      </c>
      <c r="AG276" s="47" t="s">
        <v>931</v>
      </c>
      <c r="AH276" s="47" t="s">
        <v>931</v>
      </c>
      <c r="AI276" s="47" t="s">
        <v>931</v>
      </c>
      <c r="AJ276" s="47" t="s">
        <v>931</v>
      </c>
      <c r="AK276" s="47" t="s">
        <v>930</v>
      </c>
      <c r="AL276" s="47" t="s">
        <v>931</v>
      </c>
      <c r="AM276" s="47" t="s">
        <v>931</v>
      </c>
      <c r="AN276" s="37"/>
    </row>
    <row r="277" spans="1:40" ht="20.25" customHeight="1">
      <c r="A277" s="47" t="s">
        <v>982</v>
      </c>
      <c r="B277" s="47" t="s">
        <v>919</v>
      </c>
      <c r="C277" s="47" t="s">
        <v>2686</v>
      </c>
      <c r="D277" s="47">
        <f t="shared" si="10"/>
        <v>756983</v>
      </c>
      <c r="E277" s="47" t="s">
        <v>200</v>
      </c>
      <c r="F277" s="47" t="s">
        <v>191</v>
      </c>
      <c r="G277" s="47" t="s">
        <v>1986</v>
      </c>
      <c r="H277" s="47" t="s">
        <v>1518</v>
      </c>
      <c r="I277" s="47" t="s">
        <v>2687</v>
      </c>
      <c r="J277" s="47" t="s">
        <v>1024</v>
      </c>
      <c r="K277" s="47" t="s">
        <v>163</v>
      </c>
      <c r="L277" s="47" t="s">
        <v>1025</v>
      </c>
      <c r="M277" s="47" t="s">
        <v>1025</v>
      </c>
      <c r="N277" s="47" t="s">
        <v>1026</v>
      </c>
      <c r="O277" s="47" t="s">
        <v>930</v>
      </c>
      <c r="P277" s="47" t="s">
        <v>930</v>
      </c>
      <c r="Q277" s="47" t="str">
        <f t="shared" si="11"/>
        <v xml:space="preserve"> Chiều T3</v>
      </c>
      <c r="R277" s="47" t="s">
        <v>973</v>
      </c>
      <c r="S277" s="47" t="s">
        <v>1070</v>
      </c>
      <c r="T277" s="47" t="s">
        <v>2688</v>
      </c>
      <c r="U277" s="47" t="s">
        <v>2689</v>
      </c>
      <c r="V277" s="47" t="s">
        <v>18</v>
      </c>
      <c r="W277" s="47" t="s">
        <v>931</v>
      </c>
      <c r="X277" s="47" t="s">
        <v>1030</v>
      </c>
      <c r="Y277" s="47" t="s">
        <v>1986</v>
      </c>
      <c r="Z277" s="47" t="s">
        <v>1990</v>
      </c>
      <c r="AA277" s="47" t="s">
        <v>1991</v>
      </c>
      <c r="AB277" s="47" t="s">
        <v>2347</v>
      </c>
      <c r="AC277" s="47" t="s">
        <v>447</v>
      </c>
      <c r="AD277" s="47" t="s">
        <v>2690</v>
      </c>
      <c r="AE277" s="47" t="s">
        <v>937</v>
      </c>
      <c r="AF277" s="47" t="s">
        <v>931</v>
      </c>
      <c r="AG277" s="47" t="s">
        <v>2691</v>
      </c>
      <c r="AH277" s="47" t="s">
        <v>931</v>
      </c>
      <c r="AI277" s="47" t="s">
        <v>931</v>
      </c>
      <c r="AJ277" s="47" t="s">
        <v>931</v>
      </c>
      <c r="AK277" s="47" t="s">
        <v>930</v>
      </c>
      <c r="AL277" s="47" t="s">
        <v>931</v>
      </c>
      <c r="AM277" s="47" t="s">
        <v>931</v>
      </c>
      <c r="AN277" s="37"/>
    </row>
    <row r="278" spans="1:40" ht="20.25" customHeight="1">
      <c r="A278" s="47" t="s">
        <v>982</v>
      </c>
      <c r="B278" s="47" t="s">
        <v>919</v>
      </c>
      <c r="C278" s="47" t="s">
        <v>2692</v>
      </c>
      <c r="D278" s="47">
        <f t="shared" si="10"/>
        <v>756981</v>
      </c>
      <c r="E278" s="47" t="s">
        <v>200</v>
      </c>
      <c r="F278" s="47" t="s">
        <v>191</v>
      </c>
      <c r="G278" s="47" t="s">
        <v>44</v>
      </c>
      <c r="H278" s="47" t="s">
        <v>1518</v>
      </c>
      <c r="I278" s="47" t="s">
        <v>2693</v>
      </c>
      <c r="J278" s="47" t="s">
        <v>1024</v>
      </c>
      <c r="K278" s="47" t="s">
        <v>163</v>
      </c>
      <c r="L278" s="47" t="s">
        <v>1109</v>
      </c>
      <c r="M278" s="47" t="s">
        <v>1025</v>
      </c>
      <c r="N278" s="47" t="s">
        <v>1026</v>
      </c>
      <c r="O278" s="47" t="s">
        <v>930</v>
      </c>
      <c r="P278" s="47" t="s">
        <v>930</v>
      </c>
      <c r="Q278" s="47" t="str">
        <f t="shared" si="11"/>
        <v xml:space="preserve"> Chiều T6</v>
      </c>
      <c r="R278" s="47" t="s">
        <v>973</v>
      </c>
      <c r="S278" s="47" t="s">
        <v>1140</v>
      </c>
      <c r="T278" s="47" t="s">
        <v>2694</v>
      </c>
      <c r="U278" s="47" t="s">
        <v>2695</v>
      </c>
      <c r="V278" s="47" t="s">
        <v>18</v>
      </c>
      <c r="W278" s="47" t="s">
        <v>931</v>
      </c>
      <c r="X278" s="47" t="s">
        <v>1030</v>
      </c>
      <c r="Y278" s="47" t="s">
        <v>44</v>
      </c>
      <c r="Z278" s="47" t="s">
        <v>1209</v>
      </c>
      <c r="AA278" s="47" t="s">
        <v>1210</v>
      </c>
      <c r="AB278" s="47" t="s">
        <v>1948</v>
      </c>
      <c r="AC278" s="47" t="s">
        <v>447</v>
      </c>
      <c r="AD278" s="47" t="s">
        <v>2696</v>
      </c>
      <c r="AE278" s="47" t="s">
        <v>937</v>
      </c>
      <c r="AF278" s="47" t="s">
        <v>931</v>
      </c>
      <c r="AG278" s="47" t="s">
        <v>2697</v>
      </c>
      <c r="AH278" s="47" t="s">
        <v>931</v>
      </c>
      <c r="AI278" s="47" t="s">
        <v>931</v>
      </c>
      <c r="AJ278" s="47" t="s">
        <v>931</v>
      </c>
      <c r="AK278" s="47" t="s">
        <v>930</v>
      </c>
      <c r="AL278" s="47" t="s">
        <v>931</v>
      </c>
      <c r="AM278" s="47" t="s">
        <v>931</v>
      </c>
      <c r="AN278" s="37"/>
    </row>
    <row r="279" spans="1:40" ht="20.25" hidden="1" customHeight="1">
      <c r="A279" s="47" t="s">
        <v>982</v>
      </c>
      <c r="B279" s="47" t="s">
        <v>919</v>
      </c>
      <c r="C279" s="47" t="s">
        <v>2698</v>
      </c>
      <c r="D279" s="47">
        <f t="shared" si="10"/>
        <v>755579</v>
      </c>
      <c r="E279" s="47" t="s">
        <v>2699</v>
      </c>
      <c r="F279" s="47" t="s">
        <v>1187</v>
      </c>
      <c r="G279" s="47" t="s">
        <v>931</v>
      </c>
      <c r="H279" s="47" t="s">
        <v>1421</v>
      </c>
      <c r="I279" s="47" t="s">
        <v>2700</v>
      </c>
      <c r="J279" s="47" t="s">
        <v>1354</v>
      </c>
      <c r="K279" s="47" t="s">
        <v>163</v>
      </c>
      <c r="L279" s="47" t="s">
        <v>2701</v>
      </c>
      <c r="M279" s="47" t="s">
        <v>1124</v>
      </c>
      <c r="N279" s="47" t="s">
        <v>1190</v>
      </c>
      <c r="O279" s="47" t="s">
        <v>930</v>
      </c>
      <c r="P279" s="47" t="s">
        <v>930</v>
      </c>
      <c r="Q279" s="47"/>
      <c r="R279" s="47"/>
      <c r="S279" s="47"/>
      <c r="T279" s="47" t="s">
        <v>931</v>
      </c>
      <c r="U279" s="47" t="s">
        <v>931</v>
      </c>
      <c r="V279" s="47" t="s">
        <v>931</v>
      </c>
      <c r="W279" s="47" t="s">
        <v>931</v>
      </c>
      <c r="X279" s="47" t="s">
        <v>982</v>
      </c>
      <c r="Y279" s="47" t="s">
        <v>931</v>
      </c>
      <c r="Z279" s="47" t="s">
        <v>931</v>
      </c>
      <c r="AA279" s="47" t="s">
        <v>931</v>
      </c>
      <c r="AB279" s="47" t="s">
        <v>931</v>
      </c>
      <c r="AC279" s="47" t="s">
        <v>409</v>
      </c>
      <c r="AD279" s="47" t="s">
        <v>2702</v>
      </c>
      <c r="AE279" s="47" t="s">
        <v>937</v>
      </c>
      <c r="AF279" s="47" t="s">
        <v>931</v>
      </c>
      <c r="AG279" s="47" t="s">
        <v>931</v>
      </c>
      <c r="AH279" s="47" t="s">
        <v>931</v>
      </c>
      <c r="AI279" s="47" t="s">
        <v>931</v>
      </c>
      <c r="AJ279" s="47" t="s">
        <v>931</v>
      </c>
      <c r="AK279" s="47" t="s">
        <v>930</v>
      </c>
      <c r="AL279" s="47" t="s">
        <v>931</v>
      </c>
      <c r="AM279" s="47" t="s">
        <v>931</v>
      </c>
      <c r="AN279" s="37"/>
    </row>
    <row r="280" spans="1:40" ht="20.25" hidden="1" customHeight="1">
      <c r="A280" s="47" t="s">
        <v>982</v>
      </c>
      <c r="B280" s="47" t="s">
        <v>919</v>
      </c>
      <c r="C280" s="47" t="s">
        <v>2703</v>
      </c>
      <c r="D280" s="47">
        <f t="shared" si="10"/>
        <v>755583</v>
      </c>
      <c r="E280" s="47" t="s">
        <v>2704</v>
      </c>
      <c r="F280" s="47" t="s">
        <v>2705</v>
      </c>
      <c r="G280" s="47" t="s">
        <v>931</v>
      </c>
      <c r="H280" s="47" t="s">
        <v>1146</v>
      </c>
      <c r="I280" s="47" t="s">
        <v>2706</v>
      </c>
      <c r="J280" s="47" t="s">
        <v>944</v>
      </c>
      <c r="K280" s="47" t="s">
        <v>163</v>
      </c>
      <c r="L280" s="47" t="s">
        <v>1371</v>
      </c>
      <c r="M280" s="47" t="s">
        <v>1173</v>
      </c>
      <c r="N280" s="47" t="s">
        <v>8</v>
      </c>
      <c r="O280" s="47" t="s">
        <v>930</v>
      </c>
      <c r="P280" s="47" t="s">
        <v>930</v>
      </c>
      <c r="Q280" s="47"/>
      <c r="R280" s="47"/>
      <c r="S280" s="47"/>
      <c r="T280" s="47" t="s">
        <v>931</v>
      </c>
      <c r="U280" s="47" t="s">
        <v>931</v>
      </c>
      <c r="V280" s="47" t="s">
        <v>931</v>
      </c>
      <c r="W280" s="47" t="s">
        <v>931</v>
      </c>
      <c r="X280" s="47" t="s">
        <v>931</v>
      </c>
      <c r="Y280" s="47" t="s">
        <v>931</v>
      </c>
      <c r="Z280" s="47" t="s">
        <v>931</v>
      </c>
      <c r="AA280" s="47" t="s">
        <v>931</v>
      </c>
      <c r="AB280" s="47" t="s">
        <v>931</v>
      </c>
      <c r="AC280" s="47" t="s">
        <v>931</v>
      </c>
      <c r="AD280" s="47" t="s">
        <v>2707</v>
      </c>
      <c r="AE280" s="47" t="s">
        <v>937</v>
      </c>
      <c r="AF280" s="47" t="s">
        <v>931</v>
      </c>
      <c r="AG280" s="47" t="s">
        <v>931</v>
      </c>
      <c r="AH280" s="47" t="s">
        <v>931</v>
      </c>
      <c r="AI280" s="47" t="s">
        <v>931</v>
      </c>
      <c r="AJ280" s="47" t="s">
        <v>931</v>
      </c>
      <c r="AK280" s="47" t="s">
        <v>930</v>
      </c>
      <c r="AL280" s="47" t="s">
        <v>931</v>
      </c>
      <c r="AM280" s="47" t="s">
        <v>931</v>
      </c>
      <c r="AN280" s="37"/>
    </row>
    <row r="281" spans="1:40" ht="20.25" hidden="1" customHeight="1">
      <c r="A281" s="47" t="s">
        <v>982</v>
      </c>
      <c r="B281" s="47" t="s">
        <v>919</v>
      </c>
      <c r="C281" s="47" t="s">
        <v>2708</v>
      </c>
      <c r="D281" s="47">
        <f t="shared" si="10"/>
        <v>755587</v>
      </c>
      <c r="E281" s="47" t="s">
        <v>1419</v>
      </c>
      <c r="F281" s="47" t="s">
        <v>1420</v>
      </c>
      <c r="G281" s="47" t="s">
        <v>931</v>
      </c>
      <c r="H281" s="47" t="s">
        <v>1421</v>
      </c>
      <c r="I281" s="47" t="s">
        <v>2709</v>
      </c>
      <c r="J281" s="47" t="s">
        <v>1024</v>
      </c>
      <c r="K281" s="47" t="s">
        <v>163</v>
      </c>
      <c r="L281" s="47" t="s">
        <v>2710</v>
      </c>
      <c r="M281" s="47" t="s">
        <v>2711</v>
      </c>
      <c r="N281" s="47" t="s">
        <v>1190</v>
      </c>
      <c r="O281" s="47" t="s">
        <v>930</v>
      </c>
      <c r="P281" s="47" t="s">
        <v>930</v>
      </c>
      <c r="Q281" s="47"/>
      <c r="R281" s="47"/>
      <c r="S281" s="47"/>
      <c r="T281" s="47" t="s">
        <v>931</v>
      </c>
      <c r="U281" s="47" t="s">
        <v>931</v>
      </c>
      <c r="V281" s="47" t="s">
        <v>931</v>
      </c>
      <c r="W281" s="47" t="s">
        <v>931</v>
      </c>
      <c r="X281" s="47" t="s">
        <v>932</v>
      </c>
      <c r="Y281" s="47" t="s">
        <v>931</v>
      </c>
      <c r="Z281" s="47" t="s">
        <v>931</v>
      </c>
      <c r="AA281" s="47" t="s">
        <v>931</v>
      </c>
      <c r="AB281" s="47" t="s">
        <v>931</v>
      </c>
      <c r="AC281" s="47" t="s">
        <v>1423</v>
      </c>
      <c r="AD281" s="47" t="s">
        <v>2712</v>
      </c>
      <c r="AE281" s="47" t="s">
        <v>937</v>
      </c>
      <c r="AF281" s="47" t="s">
        <v>931</v>
      </c>
      <c r="AG281" s="47" t="s">
        <v>931</v>
      </c>
      <c r="AH281" s="47" t="s">
        <v>931</v>
      </c>
      <c r="AI281" s="47" t="s">
        <v>931</v>
      </c>
      <c r="AJ281" s="47" t="s">
        <v>931</v>
      </c>
      <c r="AK281" s="47" t="s">
        <v>930</v>
      </c>
      <c r="AL281" s="47" t="s">
        <v>931</v>
      </c>
      <c r="AM281" s="47" t="s">
        <v>931</v>
      </c>
      <c r="AN281" s="37"/>
    </row>
    <row r="282" spans="1:40" ht="20.25" hidden="1" customHeight="1">
      <c r="A282" s="47" t="s">
        <v>982</v>
      </c>
      <c r="B282" s="47" t="s">
        <v>919</v>
      </c>
      <c r="C282" s="47" t="s">
        <v>2713</v>
      </c>
      <c r="D282" s="47">
        <f t="shared" si="10"/>
        <v>755580</v>
      </c>
      <c r="E282" s="47" t="s">
        <v>1438</v>
      </c>
      <c r="F282" s="47" t="s">
        <v>1439</v>
      </c>
      <c r="G282" s="47" t="s">
        <v>931</v>
      </c>
      <c r="H282" s="47" t="s">
        <v>1146</v>
      </c>
      <c r="I282" s="47" t="s">
        <v>2714</v>
      </c>
      <c r="J282" s="47" t="s">
        <v>1354</v>
      </c>
      <c r="K282" s="47" t="s">
        <v>163</v>
      </c>
      <c r="L282" s="47" t="s">
        <v>1344</v>
      </c>
      <c r="M282" s="47" t="s">
        <v>1173</v>
      </c>
      <c r="N282" s="47" t="s">
        <v>8</v>
      </c>
      <c r="O282" s="47" t="s">
        <v>930</v>
      </c>
      <c r="P282" s="47" t="s">
        <v>930</v>
      </c>
      <c r="Q282" s="47"/>
      <c r="R282" s="47"/>
      <c r="S282" s="47"/>
      <c r="T282" s="47" t="s">
        <v>931</v>
      </c>
      <c r="U282" s="47" t="s">
        <v>931</v>
      </c>
      <c r="V282" s="47" t="s">
        <v>931</v>
      </c>
      <c r="W282" s="47" t="s">
        <v>931</v>
      </c>
      <c r="X282" s="47" t="s">
        <v>931</v>
      </c>
      <c r="Y282" s="47" t="s">
        <v>931</v>
      </c>
      <c r="Z282" s="47" t="s">
        <v>931</v>
      </c>
      <c r="AA282" s="47" t="s">
        <v>931</v>
      </c>
      <c r="AB282" s="47" t="s">
        <v>931</v>
      </c>
      <c r="AC282" s="47" t="s">
        <v>931</v>
      </c>
      <c r="AD282" s="47" t="s">
        <v>2715</v>
      </c>
      <c r="AE282" s="47" t="s">
        <v>937</v>
      </c>
      <c r="AF282" s="47" t="s">
        <v>931</v>
      </c>
      <c r="AG282" s="47" t="s">
        <v>931</v>
      </c>
      <c r="AH282" s="47" t="s">
        <v>931</v>
      </c>
      <c r="AI282" s="47" t="s">
        <v>931</v>
      </c>
      <c r="AJ282" s="47" t="s">
        <v>931</v>
      </c>
      <c r="AK282" s="47" t="s">
        <v>930</v>
      </c>
      <c r="AL282" s="47" t="s">
        <v>931</v>
      </c>
      <c r="AM282" s="47" t="s">
        <v>931</v>
      </c>
      <c r="AN282" s="37"/>
    </row>
    <row r="283" spans="1:40" ht="20.25" hidden="1" customHeight="1">
      <c r="A283" s="47" t="s">
        <v>982</v>
      </c>
      <c r="B283" s="47" t="s">
        <v>919</v>
      </c>
      <c r="C283" s="47" t="s">
        <v>2716</v>
      </c>
      <c r="D283" s="47">
        <f t="shared" si="10"/>
        <v>755584</v>
      </c>
      <c r="E283" s="47" t="s">
        <v>2704</v>
      </c>
      <c r="F283" s="47" t="s">
        <v>2705</v>
      </c>
      <c r="G283" s="47" t="s">
        <v>931</v>
      </c>
      <c r="H283" s="47" t="s">
        <v>1146</v>
      </c>
      <c r="I283" s="47" t="s">
        <v>2717</v>
      </c>
      <c r="J283" s="47" t="s">
        <v>944</v>
      </c>
      <c r="K283" s="47" t="s">
        <v>163</v>
      </c>
      <c r="L283" s="47" t="s">
        <v>2718</v>
      </c>
      <c r="M283" s="47" t="s">
        <v>2719</v>
      </c>
      <c r="N283" s="47" t="s">
        <v>8</v>
      </c>
      <c r="O283" s="47" t="s">
        <v>930</v>
      </c>
      <c r="P283" s="47" t="s">
        <v>930</v>
      </c>
      <c r="Q283" s="47"/>
      <c r="R283" s="47"/>
      <c r="S283" s="47"/>
      <c r="T283" s="47" t="s">
        <v>931</v>
      </c>
      <c r="U283" s="47" t="s">
        <v>931</v>
      </c>
      <c r="V283" s="47" t="s">
        <v>931</v>
      </c>
      <c r="W283" s="47" t="s">
        <v>931</v>
      </c>
      <c r="X283" s="47" t="s">
        <v>931</v>
      </c>
      <c r="Y283" s="47" t="s">
        <v>931</v>
      </c>
      <c r="Z283" s="47" t="s">
        <v>931</v>
      </c>
      <c r="AA283" s="47" t="s">
        <v>931</v>
      </c>
      <c r="AB283" s="47" t="s">
        <v>931</v>
      </c>
      <c r="AC283" s="47" t="s">
        <v>931</v>
      </c>
      <c r="AD283" s="47" t="s">
        <v>2720</v>
      </c>
      <c r="AE283" s="47" t="s">
        <v>937</v>
      </c>
      <c r="AF283" s="47" t="s">
        <v>931</v>
      </c>
      <c r="AG283" s="47" t="s">
        <v>931</v>
      </c>
      <c r="AH283" s="47" t="s">
        <v>931</v>
      </c>
      <c r="AI283" s="47" t="s">
        <v>931</v>
      </c>
      <c r="AJ283" s="47" t="s">
        <v>931</v>
      </c>
      <c r="AK283" s="47" t="s">
        <v>930</v>
      </c>
      <c r="AL283" s="47" t="s">
        <v>931</v>
      </c>
      <c r="AM283" s="47" t="s">
        <v>931</v>
      </c>
      <c r="AN283" s="37"/>
    </row>
    <row r="284" spans="1:40" ht="20.25" hidden="1" customHeight="1">
      <c r="A284" s="47" t="s">
        <v>982</v>
      </c>
      <c r="B284" s="47" t="s">
        <v>919</v>
      </c>
      <c r="C284" s="47" t="s">
        <v>2721</v>
      </c>
      <c r="D284" s="47">
        <f t="shared" si="10"/>
        <v>755574</v>
      </c>
      <c r="E284" s="47" t="s">
        <v>2722</v>
      </c>
      <c r="F284" s="47" t="s">
        <v>2723</v>
      </c>
      <c r="G284" s="47" t="s">
        <v>931</v>
      </c>
      <c r="H284" s="47" t="s">
        <v>1088</v>
      </c>
      <c r="I284" s="47" t="s">
        <v>2724</v>
      </c>
      <c r="J284" s="47" t="s">
        <v>944</v>
      </c>
      <c r="K284" s="47" t="s">
        <v>163</v>
      </c>
      <c r="L284" s="47" t="s">
        <v>1282</v>
      </c>
      <c r="M284" s="47" t="s">
        <v>2725</v>
      </c>
      <c r="N284" s="47" t="s">
        <v>929</v>
      </c>
      <c r="O284" s="47" t="s">
        <v>930</v>
      </c>
      <c r="P284" s="47" t="s">
        <v>930</v>
      </c>
      <c r="Q284" s="47"/>
      <c r="R284" s="47"/>
      <c r="S284" s="47"/>
      <c r="T284" s="47" t="s">
        <v>931</v>
      </c>
      <c r="U284" s="47" t="s">
        <v>931</v>
      </c>
      <c r="V284" s="47" t="s">
        <v>931</v>
      </c>
      <c r="W284" s="47" t="s">
        <v>931</v>
      </c>
      <c r="X284" s="47" t="s">
        <v>932</v>
      </c>
      <c r="Y284" s="47" t="s">
        <v>931</v>
      </c>
      <c r="Z284" s="47" t="s">
        <v>931</v>
      </c>
      <c r="AA284" s="47" t="s">
        <v>931</v>
      </c>
      <c r="AB284" s="47" t="s">
        <v>931</v>
      </c>
      <c r="AC284" s="47" t="s">
        <v>1423</v>
      </c>
      <c r="AD284" s="47" t="s">
        <v>2726</v>
      </c>
      <c r="AE284" s="47" t="s">
        <v>937</v>
      </c>
      <c r="AF284" s="47" t="s">
        <v>931</v>
      </c>
      <c r="AG284" s="47" t="s">
        <v>931</v>
      </c>
      <c r="AH284" s="47" t="s">
        <v>931</v>
      </c>
      <c r="AI284" s="47" t="s">
        <v>931</v>
      </c>
      <c r="AJ284" s="47" t="s">
        <v>931</v>
      </c>
      <c r="AK284" s="47" t="s">
        <v>930</v>
      </c>
      <c r="AL284" s="47" t="s">
        <v>931</v>
      </c>
      <c r="AM284" s="47" t="s">
        <v>931</v>
      </c>
      <c r="AN284" s="37"/>
    </row>
    <row r="285" spans="1:40" ht="20.25" hidden="1" customHeight="1">
      <c r="A285" s="47" t="s">
        <v>982</v>
      </c>
      <c r="B285" s="47" t="s">
        <v>919</v>
      </c>
      <c r="C285" s="47" t="s">
        <v>2727</v>
      </c>
      <c r="D285" s="47">
        <f t="shared" si="10"/>
        <v>755582</v>
      </c>
      <c r="E285" s="47" t="s">
        <v>1438</v>
      </c>
      <c r="F285" s="47" t="s">
        <v>1439</v>
      </c>
      <c r="G285" s="47" t="s">
        <v>931</v>
      </c>
      <c r="H285" s="47" t="s">
        <v>1146</v>
      </c>
      <c r="I285" s="47" t="s">
        <v>2728</v>
      </c>
      <c r="J285" s="47" t="s">
        <v>1505</v>
      </c>
      <c r="K285" s="47" t="s">
        <v>163</v>
      </c>
      <c r="L285" s="47" t="s">
        <v>2729</v>
      </c>
      <c r="M285" s="47" t="s">
        <v>1124</v>
      </c>
      <c r="N285" s="47" t="s">
        <v>8</v>
      </c>
      <c r="O285" s="47" t="s">
        <v>930</v>
      </c>
      <c r="P285" s="47" t="s">
        <v>930</v>
      </c>
      <c r="Q285" s="47"/>
      <c r="R285" s="47"/>
      <c r="S285" s="47"/>
      <c r="T285" s="47" t="s">
        <v>931</v>
      </c>
      <c r="U285" s="47" t="s">
        <v>931</v>
      </c>
      <c r="V285" s="47" t="s">
        <v>931</v>
      </c>
      <c r="W285" s="47" t="s">
        <v>931</v>
      </c>
      <c r="X285" s="47" t="s">
        <v>931</v>
      </c>
      <c r="Y285" s="47" t="s">
        <v>931</v>
      </c>
      <c r="Z285" s="47" t="s">
        <v>931</v>
      </c>
      <c r="AA285" s="47" t="s">
        <v>931</v>
      </c>
      <c r="AB285" s="47" t="s">
        <v>931</v>
      </c>
      <c r="AC285" s="47" t="s">
        <v>931</v>
      </c>
      <c r="AD285" s="47" t="s">
        <v>2730</v>
      </c>
      <c r="AE285" s="47" t="s">
        <v>937</v>
      </c>
      <c r="AF285" s="47" t="s">
        <v>931</v>
      </c>
      <c r="AG285" s="47" t="s">
        <v>931</v>
      </c>
      <c r="AH285" s="47" t="s">
        <v>931</v>
      </c>
      <c r="AI285" s="47" t="s">
        <v>931</v>
      </c>
      <c r="AJ285" s="47" t="s">
        <v>931</v>
      </c>
      <c r="AK285" s="47" t="s">
        <v>930</v>
      </c>
      <c r="AL285" s="47" t="s">
        <v>931</v>
      </c>
      <c r="AM285" s="47" t="s">
        <v>931</v>
      </c>
      <c r="AN285" s="37"/>
    </row>
    <row r="286" spans="1:40" ht="20.25" hidden="1" customHeight="1">
      <c r="A286" s="47" t="s">
        <v>982</v>
      </c>
      <c r="B286" s="47" t="s">
        <v>919</v>
      </c>
      <c r="C286" s="47" t="s">
        <v>2731</v>
      </c>
      <c r="D286" s="47">
        <f t="shared" si="10"/>
        <v>755586</v>
      </c>
      <c r="E286" s="47" t="s">
        <v>2732</v>
      </c>
      <c r="F286" s="47" t="s">
        <v>2733</v>
      </c>
      <c r="G286" s="47" t="s">
        <v>931</v>
      </c>
      <c r="H286" s="47" t="s">
        <v>2734</v>
      </c>
      <c r="I286" s="47" t="s">
        <v>2735</v>
      </c>
      <c r="J286" s="47" t="s">
        <v>1505</v>
      </c>
      <c r="K286" s="47" t="s">
        <v>163</v>
      </c>
      <c r="L286" s="47" t="s">
        <v>1309</v>
      </c>
      <c r="M286" s="47" t="s">
        <v>2736</v>
      </c>
      <c r="N286" s="47" t="s">
        <v>1190</v>
      </c>
      <c r="O286" s="47" t="s">
        <v>930</v>
      </c>
      <c r="P286" s="47" t="s">
        <v>930</v>
      </c>
      <c r="Q286" s="47"/>
      <c r="R286" s="47"/>
      <c r="S286" s="47"/>
      <c r="T286" s="47" t="s">
        <v>931</v>
      </c>
      <c r="U286" s="47" t="s">
        <v>931</v>
      </c>
      <c r="V286" s="47" t="s">
        <v>931</v>
      </c>
      <c r="W286" s="47" t="s">
        <v>931</v>
      </c>
      <c r="X286" s="47" t="s">
        <v>982</v>
      </c>
      <c r="Y286" s="47" t="s">
        <v>931</v>
      </c>
      <c r="Z286" s="47" t="s">
        <v>931</v>
      </c>
      <c r="AA286" s="47" t="s">
        <v>931</v>
      </c>
      <c r="AB286" s="47" t="s">
        <v>931</v>
      </c>
      <c r="AC286" s="47" t="s">
        <v>931</v>
      </c>
      <c r="AD286" s="47" t="s">
        <v>2737</v>
      </c>
      <c r="AE286" s="47" t="s">
        <v>937</v>
      </c>
      <c r="AF286" s="47" t="s">
        <v>931</v>
      </c>
      <c r="AG286" s="47" t="s">
        <v>931</v>
      </c>
      <c r="AH286" s="47" t="s">
        <v>931</v>
      </c>
      <c r="AI286" s="47" t="s">
        <v>931</v>
      </c>
      <c r="AJ286" s="47" t="s">
        <v>931</v>
      </c>
      <c r="AK286" s="47" t="s">
        <v>930</v>
      </c>
      <c r="AL286" s="47" t="s">
        <v>931</v>
      </c>
      <c r="AM286" s="47" t="s">
        <v>931</v>
      </c>
      <c r="AN286" s="37"/>
    </row>
    <row r="287" spans="1:40" ht="20.25" hidden="1" customHeight="1">
      <c r="A287" s="47" t="s">
        <v>982</v>
      </c>
      <c r="B287" s="47" t="s">
        <v>919</v>
      </c>
      <c r="C287" s="47" t="s">
        <v>2738</v>
      </c>
      <c r="D287" s="47">
        <f t="shared" si="10"/>
        <v>755568</v>
      </c>
      <c r="E287" s="47" t="s">
        <v>1426</v>
      </c>
      <c r="F287" s="47" t="s">
        <v>1427</v>
      </c>
      <c r="G287" s="47" t="s">
        <v>931</v>
      </c>
      <c r="H287" s="47" t="s">
        <v>1170</v>
      </c>
      <c r="I287" s="47" t="s">
        <v>2739</v>
      </c>
      <c r="J287" s="47" t="s">
        <v>1505</v>
      </c>
      <c r="K287" s="47" t="s">
        <v>163</v>
      </c>
      <c r="L287" s="47" t="s">
        <v>1056</v>
      </c>
      <c r="M287" s="47" t="s">
        <v>1173</v>
      </c>
      <c r="N287" s="47" t="s">
        <v>929</v>
      </c>
      <c r="O287" s="47" t="s">
        <v>930</v>
      </c>
      <c r="P287" s="47" t="s">
        <v>930</v>
      </c>
      <c r="Q287" s="47"/>
      <c r="R287" s="47"/>
      <c r="S287" s="47"/>
      <c r="T287" s="47" t="s">
        <v>931</v>
      </c>
      <c r="U287" s="47" t="s">
        <v>931</v>
      </c>
      <c r="V287" s="47" t="s">
        <v>931</v>
      </c>
      <c r="W287" s="47" t="s">
        <v>931</v>
      </c>
      <c r="X287" s="47" t="s">
        <v>982</v>
      </c>
      <c r="Y287" s="47" t="s">
        <v>931</v>
      </c>
      <c r="Z287" s="47" t="s">
        <v>931</v>
      </c>
      <c r="AA287" s="47" t="s">
        <v>931</v>
      </c>
      <c r="AB287" s="47" t="s">
        <v>931</v>
      </c>
      <c r="AC287" s="47" t="s">
        <v>387</v>
      </c>
      <c r="AD287" s="47" t="s">
        <v>2740</v>
      </c>
      <c r="AE287" s="47" t="s">
        <v>937</v>
      </c>
      <c r="AF287" s="47" t="s">
        <v>931</v>
      </c>
      <c r="AG287" s="47" t="s">
        <v>931</v>
      </c>
      <c r="AH287" s="47" t="s">
        <v>931</v>
      </c>
      <c r="AI287" s="47" t="s">
        <v>931</v>
      </c>
      <c r="AJ287" s="47" t="s">
        <v>931</v>
      </c>
      <c r="AK287" s="47" t="s">
        <v>930</v>
      </c>
      <c r="AL287" s="47" t="s">
        <v>931</v>
      </c>
      <c r="AM287" s="47" t="s">
        <v>931</v>
      </c>
      <c r="AN287" s="37"/>
    </row>
    <row r="288" spans="1:40" ht="20.25" hidden="1" customHeight="1">
      <c r="A288" s="47" t="s">
        <v>982</v>
      </c>
      <c r="B288" s="47" t="s">
        <v>919</v>
      </c>
      <c r="C288" s="47" t="s">
        <v>2741</v>
      </c>
      <c r="D288" s="47">
        <f t="shared" si="10"/>
        <v>755585</v>
      </c>
      <c r="E288" s="47" t="s">
        <v>2742</v>
      </c>
      <c r="F288" s="47" t="s">
        <v>1439</v>
      </c>
      <c r="G288" s="47" t="s">
        <v>931</v>
      </c>
      <c r="H288" s="47" t="s">
        <v>1170</v>
      </c>
      <c r="I288" s="47" t="s">
        <v>2743</v>
      </c>
      <c r="J288" s="47" t="s">
        <v>1090</v>
      </c>
      <c r="K288" s="47" t="s">
        <v>163</v>
      </c>
      <c r="L288" s="47" t="s">
        <v>971</v>
      </c>
      <c r="M288" s="47" t="s">
        <v>2744</v>
      </c>
      <c r="N288" s="47" t="s">
        <v>8</v>
      </c>
      <c r="O288" s="47" t="s">
        <v>930</v>
      </c>
      <c r="P288" s="47" t="s">
        <v>930</v>
      </c>
      <c r="Q288" s="47"/>
      <c r="R288" s="47"/>
      <c r="S288" s="47"/>
      <c r="T288" s="47" t="s">
        <v>931</v>
      </c>
      <c r="U288" s="47" t="s">
        <v>931</v>
      </c>
      <c r="V288" s="47" t="s">
        <v>931</v>
      </c>
      <c r="W288" s="47" t="s">
        <v>931</v>
      </c>
      <c r="X288" s="47" t="s">
        <v>931</v>
      </c>
      <c r="Y288" s="47" t="s">
        <v>931</v>
      </c>
      <c r="Z288" s="47" t="s">
        <v>931</v>
      </c>
      <c r="AA288" s="47" t="s">
        <v>931</v>
      </c>
      <c r="AB288" s="47" t="s">
        <v>931</v>
      </c>
      <c r="AC288" s="47" t="s">
        <v>931</v>
      </c>
      <c r="AD288" s="47" t="s">
        <v>2745</v>
      </c>
      <c r="AE288" s="47" t="s">
        <v>937</v>
      </c>
      <c r="AF288" s="47" t="s">
        <v>931</v>
      </c>
      <c r="AG288" s="47" t="s">
        <v>931</v>
      </c>
      <c r="AH288" s="47" t="s">
        <v>931</v>
      </c>
      <c r="AI288" s="47" t="s">
        <v>931</v>
      </c>
      <c r="AJ288" s="47" t="s">
        <v>931</v>
      </c>
      <c r="AK288" s="47" t="s">
        <v>930</v>
      </c>
      <c r="AL288" s="47" t="s">
        <v>931</v>
      </c>
      <c r="AM288" s="47" t="s">
        <v>931</v>
      </c>
      <c r="AN288" s="37"/>
    </row>
    <row r="289" spans="1:40" ht="20.25" hidden="1" customHeight="1">
      <c r="A289" s="47" t="s">
        <v>982</v>
      </c>
      <c r="B289" s="47" t="s">
        <v>919</v>
      </c>
      <c r="C289" s="47" t="s">
        <v>2746</v>
      </c>
      <c r="D289" s="47">
        <f t="shared" si="10"/>
        <v>755567</v>
      </c>
      <c r="E289" s="47" t="s">
        <v>1426</v>
      </c>
      <c r="F289" s="47" t="s">
        <v>1427</v>
      </c>
      <c r="G289" s="47" t="s">
        <v>931</v>
      </c>
      <c r="H289" s="47" t="s">
        <v>1170</v>
      </c>
      <c r="I289" s="47" t="s">
        <v>2747</v>
      </c>
      <c r="J289" s="47" t="s">
        <v>944</v>
      </c>
      <c r="K289" s="47" t="s">
        <v>163</v>
      </c>
      <c r="L289" s="47" t="s">
        <v>928</v>
      </c>
      <c r="M289" s="47" t="s">
        <v>2725</v>
      </c>
      <c r="N289" s="47" t="s">
        <v>929</v>
      </c>
      <c r="O289" s="47" t="s">
        <v>930</v>
      </c>
      <c r="P289" s="47" t="s">
        <v>930</v>
      </c>
      <c r="Q289" s="47"/>
      <c r="R289" s="47"/>
      <c r="S289" s="47"/>
      <c r="T289" s="47" t="s">
        <v>931</v>
      </c>
      <c r="U289" s="47" t="s">
        <v>931</v>
      </c>
      <c r="V289" s="47" t="s">
        <v>931</v>
      </c>
      <c r="W289" s="47" t="s">
        <v>931</v>
      </c>
      <c r="X289" s="47" t="s">
        <v>982</v>
      </c>
      <c r="Y289" s="47" t="s">
        <v>931</v>
      </c>
      <c r="Z289" s="47" t="s">
        <v>931</v>
      </c>
      <c r="AA289" s="47" t="s">
        <v>931</v>
      </c>
      <c r="AB289" s="47" t="s">
        <v>931</v>
      </c>
      <c r="AC289" s="47" t="s">
        <v>387</v>
      </c>
      <c r="AD289" s="47" t="s">
        <v>2748</v>
      </c>
      <c r="AE289" s="47" t="s">
        <v>937</v>
      </c>
      <c r="AF289" s="47" t="s">
        <v>931</v>
      </c>
      <c r="AG289" s="47" t="s">
        <v>931</v>
      </c>
      <c r="AH289" s="47" t="s">
        <v>931</v>
      </c>
      <c r="AI289" s="47" t="s">
        <v>931</v>
      </c>
      <c r="AJ289" s="47" t="s">
        <v>931</v>
      </c>
      <c r="AK289" s="47" t="s">
        <v>930</v>
      </c>
      <c r="AL289" s="47" t="s">
        <v>931</v>
      </c>
      <c r="AM289" s="47" t="s">
        <v>931</v>
      </c>
      <c r="AN289" s="37"/>
    </row>
    <row r="290" spans="1:40" ht="20.25" hidden="1" customHeight="1">
      <c r="A290" s="47" t="s">
        <v>982</v>
      </c>
      <c r="B290" s="47" t="s">
        <v>919</v>
      </c>
      <c r="C290" s="47" t="s">
        <v>2749</v>
      </c>
      <c r="D290" s="47">
        <f t="shared" si="10"/>
        <v>755569</v>
      </c>
      <c r="E290" s="47" t="s">
        <v>2750</v>
      </c>
      <c r="F290" s="47" t="s">
        <v>1427</v>
      </c>
      <c r="G290" s="47" t="s">
        <v>931</v>
      </c>
      <c r="H290" s="47" t="s">
        <v>1170</v>
      </c>
      <c r="I290" s="47" t="s">
        <v>2751</v>
      </c>
      <c r="J290" s="47" t="s">
        <v>944</v>
      </c>
      <c r="K290" s="47" t="s">
        <v>163</v>
      </c>
      <c r="L290" s="47" t="s">
        <v>2752</v>
      </c>
      <c r="M290" s="47" t="s">
        <v>2753</v>
      </c>
      <c r="N290" s="47" t="s">
        <v>929</v>
      </c>
      <c r="O290" s="47" t="s">
        <v>930</v>
      </c>
      <c r="P290" s="47" t="s">
        <v>930</v>
      </c>
      <c r="Q290" s="47"/>
      <c r="R290" s="47"/>
      <c r="S290" s="47"/>
      <c r="T290" s="47" t="s">
        <v>931</v>
      </c>
      <c r="U290" s="47" t="s">
        <v>931</v>
      </c>
      <c r="V290" s="47" t="s">
        <v>931</v>
      </c>
      <c r="W290" s="47" t="s">
        <v>931</v>
      </c>
      <c r="X290" s="47" t="s">
        <v>932</v>
      </c>
      <c r="Y290" s="47" t="s">
        <v>931</v>
      </c>
      <c r="Z290" s="47" t="s">
        <v>931</v>
      </c>
      <c r="AA290" s="47" t="s">
        <v>931</v>
      </c>
      <c r="AB290" s="47" t="s">
        <v>931</v>
      </c>
      <c r="AC290" s="47" t="s">
        <v>2754</v>
      </c>
      <c r="AD290" s="47" t="s">
        <v>2755</v>
      </c>
      <c r="AE290" s="47" t="s">
        <v>937</v>
      </c>
      <c r="AF290" s="47" t="s">
        <v>931</v>
      </c>
      <c r="AG290" s="47" t="s">
        <v>931</v>
      </c>
      <c r="AH290" s="47" t="s">
        <v>931</v>
      </c>
      <c r="AI290" s="47" t="s">
        <v>931</v>
      </c>
      <c r="AJ290" s="47" t="s">
        <v>931</v>
      </c>
      <c r="AK290" s="47" t="s">
        <v>930</v>
      </c>
      <c r="AL290" s="47" t="s">
        <v>931</v>
      </c>
      <c r="AM290" s="47" t="s">
        <v>931</v>
      </c>
      <c r="AN290" s="37"/>
    </row>
    <row r="291" spans="1:40" ht="20.25" hidden="1" customHeight="1">
      <c r="A291" s="47" t="s">
        <v>982</v>
      </c>
      <c r="B291" s="47" t="s">
        <v>919</v>
      </c>
      <c r="C291" s="47" t="s">
        <v>2756</v>
      </c>
      <c r="D291" s="47">
        <f t="shared" si="10"/>
        <v>755588</v>
      </c>
      <c r="E291" s="47" t="s">
        <v>1419</v>
      </c>
      <c r="F291" s="47" t="s">
        <v>1420</v>
      </c>
      <c r="G291" s="47" t="s">
        <v>931</v>
      </c>
      <c r="H291" s="47" t="s">
        <v>1421</v>
      </c>
      <c r="I291" s="47" t="s">
        <v>2757</v>
      </c>
      <c r="J291" s="47" t="s">
        <v>1505</v>
      </c>
      <c r="K291" s="47" t="s">
        <v>163</v>
      </c>
      <c r="L291" s="47" t="s">
        <v>994</v>
      </c>
      <c r="M291" s="47" t="s">
        <v>2744</v>
      </c>
      <c r="N291" s="47" t="s">
        <v>1190</v>
      </c>
      <c r="O291" s="47" t="s">
        <v>930</v>
      </c>
      <c r="P291" s="47" t="s">
        <v>930</v>
      </c>
      <c r="Q291" s="47"/>
      <c r="R291" s="47"/>
      <c r="S291" s="47"/>
      <c r="T291" s="47" t="s">
        <v>931</v>
      </c>
      <c r="U291" s="47" t="s">
        <v>931</v>
      </c>
      <c r="V291" s="47" t="s">
        <v>931</v>
      </c>
      <c r="W291" s="47" t="s">
        <v>931</v>
      </c>
      <c r="X291" s="47" t="s">
        <v>982</v>
      </c>
      <c r="Y291" s="47" t="s">
        <v>931</v>
      </c>
      <c r="Z291" s="47" t="s">
        <v>931</v>
      </c>
      <c r="AA291" s="47" t="s">
        <v>931</v>
      </c>
      <c r="AB291" s="47" t="s">
        <v>931</v>
      </c>
      <c r="AC291" s="47" t="s">
        <v>1423</v>
      </c>
      <c r="AD291" s="47" t="s">
        <v>2758</v>
      </c>
      <c r="AE291" s="47" t="s">
        <v>937</v>
      </c>
      <c r="AF291" s="47" t="s">
        <v>931</v>
      </c>
      <c r="AG291" s="47" t="s">
        <v>931</v>
      </c>
      <c r="AH291" s="47" t="s">
        <v>931</v>
      </c>
      <c r="AI291" s="47" t="s">
        <v>931</v>
      </c>
      <c r="AJ291" s="47" t="s">
        <v>931</v>
      </c>
      <c r="AK291" s="47" t="s">
        <v>930</v>
      </c>
      <c r="AL291" s="47" t="s">
        <v>931</v>
      </c>
      <c r="AM291" s="47" t="s">
        <v>931</v>
      </c>
      <c r="AN291" s="37"/>
    </row>
    <row r="292" spans="1:40" ht="20.25" hidden="1" customHeight="1">
      <c r="A292" s="47" t="s">
        <v>982</v>
      </c>
      <c r="B292" s="47" t="s">
        <v>919</v>
      </c>
      <c r="C292" s="47" t="s">
        <v>2759</v>
      </c>
      <c r="D292" s="47">
        <f t="shared" si="10"/>
        <v>755548</v>
      </c>
      <c r="E292" s="47" t="s">
        <v>2722</v>
      </c>
      <c r="F292" s="47" t="s">
        <v>2723</v>
      </c>
      <c r="G292" s="47" t="s">
        <v>931</v>
      </c>
      <c r="H292" s="47" t="s">
        <v>1088</v>
      </c>
      <c r="I292" s="47" t="s">
        <v>2760</v>
      </c>
      <c r="J292" s="47" t="s">
        <v>1013</v>
      </c>
      <c r="K292" s="47" t="s">
        <v>163</v>
      </c>
      <c r="L292" s="47" t="s">
        <v>1056</v>
      </c>
      <c r="M292" s="47" t="s">
        <v>1269</v>
      </c>
      <c r="N292" s="47" t="s">
        <v>929</v>
      </c>
      <c r="O292" s="47" t="s">
        <v>930</v>
      </c>
      <c r="P292" s="47" t="s">
        <v>930</v>
      </c>
      <c r="Q292" s="47"/>
      <c r="R292" s="47"/>
      <c r="S292" s="47"/>
      <c r="T292" s="47" t="s">
        <v>931</v>
      </c>
      <c r="U292" s="47" t="s">
        <v>931</v>
      </c>
      <c r="V292" s="47" t="s">
        <v>931</v>
      </c>
      <c r="W292" s="47" t="s">
        <v>931</v>
      </c>
      <c r="X292" s="47" t="s">
        <v>982</v>
      </c>
      <c r="Y292" s="47" t="s">
        <v>931</v>
      </c>
      <c r="Z292" s="47" t="s">
        <v>931</v>
      </c>
      <c r="AA292" s="47" t="s">
        <v>931</v>
      </c>
      <c r="AB292" s="47" t="s">
        <v>931</v>
      </c>
      <c r="AC292" s="47" t="s">
        <v>1423</v>
      </c>
      <c r="AD292" s="47" t="s">
        <v>2761</v>
      </c>
      <c r="AE292" s="47" t="s">
        <v>937</v>
      </c>
      <c r="AF292" s="47" t="s">
        <v>931</v>
      </c>
      <c r="AG292" s="47" t="s">
        <v>931</v>
      </c>
      <c r="AH292" s="47" t="s">
        <v>931</v>
      </c>
      <c r="AI292" s="47" t="s">
        <v>931</v>
      </c>
      <c r="AJ292" s="47" t="s">
        <v>931</v>
      </c>
      <c r="AK292" s="47" t="s">
        <v>930</v>
      </c>
      <c r="AL292" s="47" t="s">
        <v>931</v>
      </c>
      <c r="AM292" s="47" t="s">
        <v>931</v>
      </c>
      <c r="AN292" s="37"/>
    </row>
    <row r="293" spans="1:40" ht="20.25" hidden="1" customHeight="1">
      <c r="A293" s="47" t="s">
        <v>982</v>
      </c>
      <c r="B293" s="47" t="s">
        <v>919</v>
      </c>
      <c r="C293" s="47" t="s">
        <v>2762</v>
      </c>
      <c r="D293" s="47">
        <f t="shared" si="10"/>
        <v>755581</v>
      </c>
      <c r="E293" s="47" t="s">
        <v>1438</v>
      </c>
      <c r="F293" s="47" t="s">
        <v>1439</v>
      </c>
      <c r="G293" s="47" t="s">
        <v>931</v>
      </c>
      <c r="H293" s="47" t="s">
        <v>1146</v>
      </c>
      <c r="I293" s="47" t="s">
        <v>2763</v>
      </c>
      <c r="J293" s="47" t="s">
        <v>1024</v>
      </c>
      <c r="K293" s="47" t="s">
        <v>163</v>
      </c>
      <c r="L293" s="47" t="s">
        <v>2764</v>
      </c>
      <c r="M293" s="47" t="s">
        <v>2765</v>
      </c>
      <c r="N293" s="47" t="s">
        <v>8</v>
      </c>
      <c r="O293" s="47" t="s">
        <v>930</v>
      </c>
      <c r="P293" s="47" t="s">
        <v>930</v>
      </c>
      <c r="Q293" s="47"/>
      <c r="R293" s="47"/>
      <c r="S293" s="47"/>
      <c r="T293" s="47" t="s">
        <v>931</v>
      </c>
      <c r="U293" s="47" t="s">
        <v>931</v>
      </c>
      <c r="V293" s="47" t="s">
        <v>931</v>
      </c>
      <c r="W293" s="47" t="s">
        <v>931</v>
      </c>
      <c r="X293" s="47" t="s">
        <v>931</v>
      </c>
      <c r="Y293" s="47" t="s">
        <v>931</v>
      </c>
      <c r="Z293" s="47" t="s">
        <v>931</v>
      </c>
      <c r="AA293" s="47" t="s">
        <v>931</v>
      </c>
      <c r="AB293" s="47" t="s">
        <v>931</v>
      </c>
      <c r="AC293" s="47" t="s">
        <v>931</v>
      </c>
      <c r="AD293" s="47" t="s">
        <v>2766</v>
      </c>
      <c r="AE293" s="47" t="s">
        <v>937</v>
      </c>
      <c r="AF293" s="47" t="s">
        <v>931</v>
      </c>
      <c r="AG293" s="47" t="s">
        <v>931</v>
      </c>
      <c r="AH293" s="47" t="s">
        <v>931</v>
      </c>
      <c r="AI293" s="47" t="s">
        <v>931</v>
      </c>
      <c r="AJ293" s="47" t="s">
        <v>931</v>
      </c>
      <c r="AK293" s="47" t="s">
        <v>930</v>
      </c>
      <c r="AL293" s="47" t="s">
        <v>931</v>
      </c>
      <c r="AM293" s="47" t="s">
        <v>931</v>
      </c>
      <c r="AN293" s="37"/>
    </row>
    <row r="294" spans="1:40" ht="20.25" hidden="1" customHeight="1">
      <c r="A294" s="47" t="s">
        <v>982</v>
      </c>
      <c r="B294" s="47" t="s">
        <v>919</v>
      </c>
      <c r="C294" s="47" t="s">
        <v>2767</v>
      </c>
      <c r="D294" s="47">
        <f t="shared" si="10"/>
        <v>755571</v>
      </c>
      <c r="E294" s="47" t="s">
        <v>2768</v>
      </c>
      <c r="F294" s="47" t="s">
        <v>2769</v>
      </c>
      <c r="G294" s="47" t="s">
        <v>931</v>
      </c>
      <c r="H294" s="47" t="s">
        <v>1170</v>
      </c>
      <c r="I294" s="47" t="s">
        <v>2770</v>
      </c>
      <c r="J294" s="47" t="s">
        <v>944</v>
      </c>
      <c r="K294" s="47" t="s">
        <v>163</v>
      </c>
      <c r="L294" s="47" t="s">
        <v>1866</v>
      </c>
      <c r="M294" s="47" t="s">
        <v>2744</v>
      </c>
      <c r="N294" s="47" t="s">
        <v>929</v>
      </c>
      <c r="O294" s="47" t="s">
        <v>930</v>
      </c>
      <c r="P294" s="47" t="s">
        <v>930</v>
      </c>
      <c r="Q294" s="47"/>
      <c r="R294" s="47"/>
      <c r="S294" s="47"/>
      <c r="T294" s="47" t="s">
        <v>931</v>
      </c>
      <c r="U294" s="47" t="s">
        <v>931</v>
      </c>
      <c r="V294" s="47" t="s">
        <v>931</v>
      </c>
      <c r="W294" s="47" t="s">
        <v>931</v>
      </c>
      <c r="X294" s="47" t="s">
        <v>982</v>
      </c>
      <c r="Y294" s="47" t="s">
        <v>931</v>
      </c>
      <c r="Z294" s="47" t="s">
        <v>931</v>
      </c>
      <c r="AA294" s="47" t="s">
        <v>931</v>
      </c>
      <c r="AB294" s="47" t="s">
        <v>931</v>
      </c>
      <c r="AC294" s="47" t="s">
        <v>2754</v>
      </c>
      <c r="AD294" s="47" t="s">
        <v>2771</v>
      </c>
      <c r="AE294" s="47" t="s">
        <v>937</v>
      </c>
      <c r="AF294" s="47" t="s">
        <v>931</v>
      </c>
      <c r="AG294" s="47" t="s">
        <v>931</v>
      </c>
      <c r="AH294" s="47" t="s">
        <v>931</v>
      </c>
      <c r="AI294" s="47" t="s">
        <v>931</v>
      </c>
      <c r="AJ294" s="47" t="s">
        <v>931</v>
      </c>
      <c r="AK294" s="47" t="s">
        <v>930</v>
      </c>
      <c r="AL294" s="47" t="s">
        <v>931</v>
      </c>
      <c r="AM294" s="47" t="s">
        <v>931</v>
      </c>
      <c r="AN294" s="37"/>
    </row>
    <row r="295" spans="1:40" ht="20.25" hidden="1" customHeight="1">
      <c r="A295" s="47" t="s">
        <v>982</v>
      </c>
      <c r="B295" s="47" t="s">
        <v>919</v>
      </c>
      <c r="C295" s="47" t="s">
        <v>2772</v>
      </c>
      <c r="D295" s="47">
        <f t="shared" si="10"/>
        <v>755589</v>
      </c>
      <c r="E295" s="47" t="s">
        <v>2773</v>
      </c>
      <c r="F295" s="47" t="s">
        <v>2774</v>
      </c>
      <c r="G295" s="47" t="s">
        <v>931</v>
      </c>
      <c r="H295" s="47" t="s">
        <v>1421</v>
      </c>
      <c r="I295" s="47" t="s">
        <v>2775</v>
      </c>
      <c r="J295" s="47" t="s">
        <v>944</v>
      </c>
      <c r="K295" s="47" t="s">
        <v>163</v>
      </c>
      <c r="L295" s="47" t="s">
        <v>956</v>
      </c>
      <c r="M295" s="47" t="s">
        <v>1124</v>
      </c>
      <c r="N295" s="47" t="s">
        <v>1190</v>
      </c>
      <c r="O295" s="47" t="s">
        <v>930</v>
      </c>
      <c r="P295" s="47" t="s">
        <v>930</v>
      </c>
      <c r="Q295" s="47"/>
      <c r="R295" s="47"/>
      <c r="S295" s="47"/>
      <c r="T295" s="47" t="s">
        <v>931</v>
      </c>
      <c r="U295" s="47" t="s">
        <v>931</v>
      </c>
      <c r="V295" s="47" t="s">
        <v>931</v>
      </c>
      <c r="W295" s="47" t="s">
        <v>931</v>
      </c>
      <c r="X295" s="47" t="s">
        <v>982</v>
      </c>
      <c r="Y295" s="47" t="s">
        <v>931</v>
      </c>
      <c r="Z295" s="47" t="s">
        <v>931</v>
      </c>
      <c r="AA295" s="47" t="s">
        <v>931</v>
      </c>
      <c r="AB295" s="47" t="s">
        <v>931</v>
      </c>
      <c r="AC295" s="47" t="s">
        <v>2776</v>
      </c>
      <c r="AD295" s="47" t="s">
        <v>2777</v>
      </c>
      <c r="AE295" s="47" t="s">
        <v>937</v>
      </c>
      <c r="AF295" s="47" t="s">
        <v>931</v>
      </c>
      <c r="AG295" s="47" t="s">
        <v>931</v>
      </c>
      <c r="AH295" s="47" t="s">
        <v>931</v>
      </c>
      <c r="AI295" s="47" t="s">
        <v>931</v>
      </c>
      <c r="AJ295" s="47" t="s">
        <v>931</v>
      </c>
      <c r="AK295" s="47" t="s">
        <v>930</v>
      </c>
      <c r="AL295" s="47" t="s">
        <v>931</v>
      </c>
      <c r="AM295" s="47" t="s">
        <v>931</v>
      </c>
      <c r="AN295" s="37"/>
    </row>
    <row r="296" spans="1:40" ht="20.25" hidden="1" customHeight="1">
      <c r="A296" s="47" t="s">
        <v>982</v>
      </c>
      <c r="B296" s="47" t="s">
        <v>919</v>
      </c>
      <c r="C296" s="47" t="s">
        <v>2778</v>
      </c>
      <c r="D296" s="47">
        <f t="shared" si="10"/>
        <v>755572</v>
      </c>
      <c r="E296" s="47" t="s">
        <v>2779</v>
      </c>
      <c r="F296" s="47" t="s">
        <v>2769</v>
      </c>
      <c r="G296" s="47" t="s">
        <v>931</v>
      </c>
      <c r="H296" s="47" t="s">
        <v>1170</v>
      </c>
      <c r="I296" s="47" t="s">
        <v>2780</v>
      </c>
      <c r="J296" s="47" t="s">
        <v>1024</v>
      </c>
      <c r="K296" s="47" t="s">
        <v>163</v>
      </c>
      <c r="L296" s="47" t="s">
        <v>2781</v>
      </c>
      <c r="M296" s="47" t="s">
        <v>2782</v>
      </c>
      <c r="N296" s="47" t="s">
        <v>929</v>
      </c>
      <c r="O296" s="47" t="s">
        <v>930</v>
      </c>
      <c r="P296" s="47" t="s">
        <v>930</v>
      </c>
      <c r="Q296" s="47"/>
      <c r="R296" s="47"/>
      <c r="S296" s="47"/>
      <c r="T296" s="47" t="s">
        <v>931</v>
      </c>
      <c r="U296" s="47" t="s">
        <v>931</v>
      </c>
      <c r="V296" s="47" t="s">
        <v>931</v>
      </c>
      <c r="W296" s="47" t="s">
        <v>931</v>
      </c>
      <c r="X296" s="47" t="s">
        <v>995</v>
      </c>
      <c r="Y296" s="47" t="s">
        <v>931</v>
      </c>
      <c r="Z296" s="47" t="s">
        <v>931</v>
      </c>
      <c r="AA296" s="47" t="s">
        <v>931</v>
      </c>
      <c r="AB296" s="47" t="s">
        <v>931</v>
      </c>
      <c r="AC296" s="47" t="s">
        <v>2783</v>
      </c>
      <c r="AD296" s="47" t="s">
        <v>2784</v>
      </c>
      <c r="AE296" s="47" t="s">
        <v>937</v>
      </c>
      <c r="AF296" s="47" t="s">
        <v>931</v>
      </c>
      <c r="AG296" s="47" t="s">
        <v>931</v>
      </c>
      <c r="AH296" s="47" t="s">
        <v>931</v>
      </c>
      <c r="AI296" s="47" t="s">
        <v>931</v>
      </c>
      <c r="AJ296" s="47" t="s">
        <v>931</v>
      </c>
      <c r="AK296" s="47" t="s">
        <v>930</v>
      </c>
      <c r="AL296" s="47" t="s">
        <v>931</v>
      </c>
      <c r="AM296" s="47" t="s">
        <v>931</v>
      </c>
      <c r="AN296" s="37"/>
    </row>
    <row r="297" spans="1:40" ht="20.25" hidden="1" customHeight="1">
      <c r="A297" s="47" t="s">
        <v>982</v>
      </c>
      <c r="B297" s="47" t="s">
        <v>919</v>
      </c>
      <c r="C297" s="47" t="s">
        <v>2785</v>
      </c>
      <c r="D297" s="47">
        <f t="shared" si="10"/>
        <v>755566</v>
      </c>
      <c r="E297" s="47" t="s">
        <v>1426</v>
      </c>
      <c r="F297" s="47" t="s">
        <v>1427</v>
      </c>
      <c r="G297" s="47" t="s">
        <v>931</v>
      </c>
      <c r="H297" s="47" t="s">
        <v>1170</v>
      </c>
      <c r="I297" s="47" t="s">
        <v>2786</v>
      </c>
      <c r="J297" s="47" t="s">
        <v>1024</v>
      </c>
      <c r="K297" s="47" t="s">
        <v>163</v>
      </c>
      <c r="L297" s="47" t="s">
        <v>2787</v>
      </c>
      <c r="M297" s="47" t="s">
        <v>2788</v>
      </c>
      <c r="N297" s="47" t="s">
        <v>929</v>
      </c>
      <c r="O297" s="47" t="s">
        <v>930</v>
      </c>
      <c r="P297" s="47" t="s">
        <v>930</v>
      </c>
      <c r="Q297" s="47"/>
      <c r="R297" s="47"/>
      <c r="S297" s="47"/>
      <c r="T297" s="47" t="s">
        <v>931</v>
      </c>
      <c r="U297" s="47" t="s">
        <v>931</v>
      </c>
      <c r="V297" s="47" t="s">
        <v>931</v>
      </c>
      <c r="W297" s="47" t="s">
        <v>931</v>
      </c>
      <c r="X297" s="47" t="s">
        <v>982</v>
      </c>
      <c r="Y297" s="47" t="s">
        <v>931</v>
      </c>
      <c r="Z297" s="47" t="s">
        <v>931</v>
      </c>
      <c r="AA297" s="47" t="s">
        <v>931</v>
      </c>
      <c r="AB297" s="47" t="s">
        <v>931</v>
      </c>
      <c r="AC297" s="47" t="s">
        <v>387</v>
      </c>
      <c r="AD297" s="47" t="s">
        <v>2789</v>
      </c>
      <c r="AE297" s="47" t="s">
        <v>937</v>
      </c>
      <c r="AF297" s="47" t="s">
        <v>931</v>
      </c>
      <c r="AG297" s="47" t="s">
        <v>931</v>
      </c>
      <c r="AH297" s="47" t="s">
        <v>931</v>
      </c>
      <c r="AI297" s="47" t="s">
        <v>931</v>
      </c>
      <c r="AJ297" s="47" t="s">
        <v>931</v>
      </c>
      <c r="AK297" s="47" t="s">
        <v>930</v>
      </c>
      <c r="AL297" s="47" t="s">
        <v>931</v>
      </c>
      <c r="AM297" s="47" t="s">
        <v>931</v>
      </c>
      <c r="AN297" s="37"/>
    </row>
    <row r="298" spans="1:40" ht="20.25" hidden="1" customHeight="1">
      <c r="A298" s="47" t="s">
        <v>982</v>
      </c>
      <c r="B298" s="47" t="s">
        <v>919</v>
      </c>
      <c r="C298" s="47" t="s">
        <v>2790</v>
      </c>
      <c r="D298" s="47">
        <f t="shared" si="10"/>
        <v>755570</v>
      </c>
      <c r="E298" s="47" t="s">
        <v>2791</v>
      </c>
      <c r="F298" s="47" t="s">
        <v>2769</v>
      </c>
      <c r="G298" s="47" t="s">
        <v>931</v>
      </c>
      <c r="H298" s="47" t="s">
        <v>1170</v>
      </c>
      <c r="I298" s="47" t="s">
        <v>2792</v>
      </c>
      <c r="J298" s="47" t="s">
        <v>1024</v>
      </c>
      <c r="K298" s="47" t="s">
        <v>163</v>
      </c>
      <c r="L298" s="47" t="s">
        <v>1014</v>
      </c>
      <c r="M298" s="47" t="s">
        <v>928</v>
      </c>
      <c r="N298" s="47" t="s">
        <v>929</v>
      </c>
      <c r="O298" s="47" t="s">
        <v>930</v>
      </c>
      <c r="P298" s="47" t="s">
        <v>930</v>
      </c>
      <c r="Q298" s="47"/>
      <c r="R298" s="47"/>
      <c r="S298" s="47"/>
      <c r="T298" s="47" t="s">
        <v>931</v>
      </c>
      <c r="U298" s="47" t="s">
        <v>931</v>
      </c>
      <c r="V298" s="47" t="s">
        <v>931</v>
      </c>
      <c r="W298" s="47" t="s">
        <v>931</v>
      </c>
      <c r="X298" s="47" t="s">
        <v>932</v>
      </c>
      <c r="Y298" s="47" t="s">
        <v>931</v>
      </c>
      <c r="Z298" s="47" t="s">
        <v>931</v>
      </c>
      <c r="AA298" s="47" t="s">
        <v>931</v>
      </c>
      <c r="AB298" s="47" t="s">
        <v>931</v>
      </c>
      <c r="AC298" s="47" t="s">
        <v>1423</v>
      </c>
      <c r="AD298" s="47" t="s">
        <v>2793</v>
      </c>
      <c r="AE298" s="47" t="s">
        <v>937</v>
      </c>
      <c r="AF298" s="47" t="s">
        <v>931</v>
      </c>
      <c r="AG298" s="47" t="s">
        <v>931</v>
      </c>
      <c r="AH298" s="47" t="s">
        <v>931</v>
      </c>
      <c r="AI298" s="47" t="s">
        <v>931</v>
      </c>
      <c r="AJ298" s="47" t="s">
        <v>931</v>
      </c>
      <c r="AK298" s="47" t="s">
        <v>930</v>
      </c>
      <c r="AL298" s="47" t="s">
        <v>931</v>
      </c>
      <c r="AM298" s="47" t="s">
        <v>931</v>
      </c>
      <c r="AN298" s="37"/>
    </row>
    <row r="299" spans="1:40" ht="20.25" hidden="1" customHeight="1">
      <c r="A299" s="47" t="s">
        <v>982</v>
      </c>
      <c r="B299" s="47" t="s">
        <v>919</v>
      </c>
      <c r="C299" s="47" t="s">
        <v>2794</v>
      </c>
      <c r="D299" s="47">
        <f t="shared" si="10"/>
        <v>755591</v>
      </c>
      <c r="E299" s="47" t="s">
        <v>2795</v>
      </c>
      <c r="F299" s="47" t="s">
        <v>2796</v>
      </c>
      <c r="G299" s="47" t="s">
        <v>931</v>
      </c>
      <c r="H299" s="47" t="s">
        <v>2734</v>
      </c>
      <c r="I299" s="47" t="s">
        <v>2797</v>
      </c>
      <c r="J299" s="47" t="s">
        <v>1024</v>
      </c>
      <c r="K299" s="47" t="s">
        <v>163</v>
      </c>
      <c r="L299" s="47" t="s">
        <v>1909</v>
      </c>
      <c r="M299" s="47" t="s">
        <v>1124</v>
      </c>
      <c r="N299" s="47" t="s">
        <v>1190</v>
      </c>
      <c r="O299" s="47" t="s">
        <v>930</v>
      </c>
      <c r="P299" s="47" t="s">
        <v>930</v>
      </c>
      <c r="Q299" s="47"/>
      <c r="R299" s="47"/>
      <c r="S299" s="47"/>
      <c r="T299" s="47" t="s">
        <v>931</v>
      </c>
      <c r="U299" s="47" t="s">
        <v>931</v>
      </c>
      <c r="V299" s="47" t="s">
        <v>931</v>
      </c>
      <c r="W299" s="47" t="s">
        <v>931</v>
      </c>
      <c r="X299" s="47" t="s">
        <v>932</v>
      </c>
      <c r="Y299" s="47" t="s">
        <v>931</v>
      </c>
      <c r="Z299" s="47" t="s">
        <v>931</v>
      </c>
      <c r="AA299" s="47" t="s">
        <v>931</v>
      </c>
      <c r="AB299" s="47" t="s">
        <v>931</v>
      </c>
      <c r="AC299" s="47" t="s">
        <v>931</v>
      </c>
      <c r="AD299" s="47" t="s">
        <v>2798</v>
      </c>
      <c r="AE299" s="47" t="s">
        <v>937</v>
      </c>
      <c r="AF299" s="47" t="s">
        <v>931</v>
      </c>
      <c r="AG299" s="47" t="s">
        <v>931</v>
      </c>
      <c r="AH299" s="47" t="s">
        <v>931</v>
      </c>
      <c r="AI299" s="47" t="s">
        <v>931</v>
      </c>
      <c r="AJ299" s="47" t="s">
        <v>931</v>
      </c>
      <c r="AK299" s="47" t="s">
        <v>930</v>
      </c>
      <c r="AL299" s="47" t="s">
        <v>931</v>
      </c>
      <c r="AM299" s="47" t="s">
        <v>931</v>
      </c>
      <c r="AN299" s="37"/>
    </row>
    <row r="300" spans="1:40" ht="20.25" hidden="1" customHeight="1">
      <c r="A300" s="47" t="s">
        <v>982</v>
      </c>
      <c r="B300" s="47" t="s">
        <v>919</v>
      </c>
      <c r="C300" s="47" t="s">
        <v>2799</v>
      </c>
      <c r="D300" s="47">
        <f t="shared" si="10"/>
        <v>755573</v>
      </c>
      <c r="E300" s="47" t="s">
        <v>2722</v>
      </c>
      <c r="F300" s="47" t="s">
        <v>2723</v>
      </c>
      <c r="G300" s="47" t="s">
        <v>931</v>
      </c>
      <c r="H300" s="47" t="s">
        <v>1088</v>
      </c>
      <c r="I300" s="47" t="s">
        <v>2739</v>
      </c>
      <c r="J300" s="47" t="s">
        <v>1505</v>
      </c>
      <c r="K300" s="47" t="s">
        <v>163</v>
      </c>
      <c r="L300" s="47" t="s">
        <v>1015</v>
      </c>
      <c r="M300" s="47" t="s">
        <v>1004</v>
      </c>
      <c r="N300" s="47" t="s">
        <v>929</v>
      </c>
      <c r="O300" s="47" t="s">
        <v>930</v>
      </c>
      <c r="P300" s="47" t="s">
        <v>930</v>
      </c>
      <c r="Q300" s="47"/>
      <c r="R300" s="47"/>
      <c r="S300" s="47"/>
      <c r="T300" s="47" t="s">
        <v>931</v>
      </c>
      <c r="U300" s="47" t="s">
        <v>931</v>
      </c>
      <c r="V300" s="47" t="s">
        <v>931</v>
      </c>
      <c r="W300" s="47" t="s">
        <v>931</v>
      </c>
      <c r="X300" s="47" t="s">
        <v>932</v>
      </c>
      <c r="Y300" s="47" t="s">
        <v>931</v>
      </c>
      <c r="Z300" s="47" t="s">
        <v>931</v>
      </c>
      <c r="AA300" s="47" t="s">
        <v>931</v>
      </c>
      <c r="AB300" s="47" t="s">
        <v>931</v>
      </c>
      <c r="AC300" s="47" t="s">
        <v>1423</v>
      </c>
      <c r="AD300" s="47" t="s">
        <v>2740</v>
      </c>
      <c r="AE300" s="47" t="s">
        <v>937</v>
      </c>
      <c r="AF300" s="47" t="s">
        <v>931</v>
      </c>
      <c r="AG300" s="47" t="s">
        <v>931</v>
      </c>
      <c r="AH300" s="47" t="s">
        <v>931</v>
      </c>
      <c r="AI300" s="47" t="s">
        <v>931</v>
      </c>
      <c r="AJ300" s="47" t="s">
        <v>931</v>
      </c>
      <c r="AK300" s="47" t="s">
        <v>930</v>
      </c>
      <c r="AL300" s="47" t="s">
        <v>931</v>
      </c>
      <c r="AM300" s="47" t="s">
        <v>931</v>
      </c>
      <c r="AN300" s="37"/>
    </row>
    <row r="301" spans="1:40" ht="20.25" hidden="1" customHeight="1">
      <c r="A301" s="47" t="s">
        <v>982</v>
      </c>
      <c r="B301" s="47" t="s">
        <v>919</v>
      </c>
      <c r="C301" s="47" t="s">
        <v>2800</v>
      </c>
      <c r="D301" s="47">
        <f t="shared" si="10"/>
        <v>755599</v>
      </c>
      <c r="E301" s="47" t="s">
        <v>2801</v>
      </c>
      <c r="F301" s="47" t="s">
        <v>2802</v>
      </c>
      <c r="G301" s="47" t="s">
        <v>931</v>
      </c>
      <c r="H301" s="47" t="s">
        <v>2803</v>
      </c>
      <c r="I301" s="47" t="s">
        <v>2804</v>
      </c>
      <c r="J301" s="47" t="s">
        <v>1172</v>
      </c>
      <c r="K301" s="47" t="s">
        <v>163</v>
      </c>
      <c r="L301" s="47" t="s">
        <v>2392</v>
      </c>
      <c r="M301" s="47" t="s">
        <v>1173</v>
      </c>
      <c r="N301" s="47" t="s">
        <v>1190</v>
      </c>
      <c r="O301" s="47" t="s">
        <v>930</v>
      </c>
      <c r="P301" s="47" t="s">
        <v>930</v>
      </c>
      <c r="Q301" s="47"/>
      <c r="R301" s="47"/>
      <c r="S301" s="47"/>
      <c r="T301" s="47" t="s">
        <v>931</v>
      </c>
      <c r="U301" s="47" t="s">
        <v>931</v>
      </c>
      <c r="V301" s="47" t="s">
        <v>931</v>
      </c>
      <c r="W301" s="47" t="s">
        <v>931</v>
      </c>
      <c r="X301" s="47" t="s">
        <v>982</v>
      </c>
      <c r="Y301" s="47" t="s">
        <v>931</v>
      </c>
      <c r="Z301" s="47" t="s">
        <v>931</v>
      </c>
      <c r="AA301" s="47" t="s">
        <v>931</v>
      </c>
      <c r="AB301" s="47" t="s">
        <v>931</v>
      </c>
      <c r="AC301" s="47" t="s">
        <v>931</v>
      </c>
      <c r="AD301" s="47" t="s">
        <v>2805</v>
      </c>
      <c r="AE301" s="47" t="s">
        <v>937</v>
      </c>
      <c r="AF301" s="47" t="s">
        <v>931</v>
      </c>
      <c r="AG301" s="47" t="s">
        <v>931</v>
      </c>
      <c r="AH301" s="47" t="s">
        <v>931</v>
      </c>
      <c r="AI301" s="47" t="s">
        <v>931</v>
      </c>
      <c r="AJ301" s="47" t="s">
        <v>931</v>
      </c>
      <c r="AK301" s="47" t="s">
        <v>930</v>
      </c>
      <c r="AL301" s="47" t="s">
        <v>931</v>
      </c>
      <c r="AM301" s="47" t="s">
        <v>931</v>
      </c>
      <c r="AN301" s="37"/>
    </row>
    <row r="302" spans="1:40" ht="20.25" hidden="1" customHeight="1">
      <c r="A302" s="47" t="s">
        <v>982</v>
      </c>
      <c r="B302" s="47" t="s">
        <v>919</v>
      </c>
      <c r="C302" s="47" t="s">
        <v>2806</v>
      </c>
      <c r="D302" s="47">
        <f t="shared" si="10"/>
        <v>755590</v>
      </c>
      <c r="E302" s="47" t="s">
        <v>2807</v>
      </c>
      <c r="F302" s="47" t="s">
        <v>1420</v>
      </c>
      <c r="G302" s="47" t="s">
        <v>931</v>
      </c>
      <c r="H302" s="47" t="s">
        <v>1421</v>
      </c>
      <c r="I302" s="47" t="s">
        <v>2808</v>
      </c>
      <c r="J302" s="47" t="s">
        <v>1024</v>
      </c>
      <c r="K302" s="47" t="s">
        <v>163</v>
      </c>
      <c r="L302" s="47" t="s">
        <v>1275</v>
      </c>
      <c r="M302" s="47" t="s">
        <v>2719</v>
      </c>
      <c r="N302" s="47" t="s">
        <v>1190</v>
      </c>
      <c r="O302" s="47" t="s">
        <v>930</v>
      </c>
      <c r="P302" s="47" t="s">
        <v>930</v>
      </c>
      <c r="Q302" s="47"/>
      <c r="R302" s="47"/>
      <c r="S302" s="47"/>
      <c r="T302" s="47" t="s">
        <v>931</v>
      </c>
      <c r="U302" s="47" t="s">
        <v>931</v>
      </c>
      <c r="V302" s="47" t="s">
        <v>931</v>
      </c>
      <c r="W302" s="47" t="s">
        <v>931</v>
      </c>
      <c r="X302" s="47" t="s">
        <v>995</v>
      </c>
      <c r="Y302" s="47" t="s">
        <v>931</v>
      </c>
      <c r="Z302" s="47" t="s">
        <v>931</v>
      </c>
      <c r="AA302" s="47" t="s">
        <v>931</v>
      </c>
      <c r="AB302" s="47" t="s">
        <v>931</v>
      </c>
      <c r="AC302" s="47" t="s">
        <v>2783</v>
      </c>
      <c r="AD302" s="47" t="s">
        <v>2809</v>
      </c>
      <c r="AE302" s="47" t="s">
        <v>937</v>
      </c>
      <c r="AF302" s="47" t="s">
        <v>931</v>
      </c>
      <c r="AG302" s="47" t="s">
        <v>931</v>
      </c>
      <c r="AH302" s="47" t="s">
        <v>931</v>
      </c>
      <c r="AI302" s="47" t="s">
        <v>931</v>
      </c>
      <c r="AJ302" s="47" t="s">
        <v>931</v>
      </c>
      <c r="AK302" s="47" t="s">
        <v>930</v>
      </c>
      <c r="AL302" s="47" t="s">
        <v>931</v>
      </c>
      <c r="AM302" s="47" t="s">
        <v>931</v>
      </c>
      <c r="AN302" s="37"/>
    </row>
    <row r="303" spans="1:40" ht="20.25" hidden="1" customHeight="1">
      <c r="A303" s="47" t="s">
        <v>982</v>
      </c>
      <c r="B303" s="47" t="s">
        <v>919</v>
      </c>
      <c r="C303" s="47" t="s">
        <v>2810</v>
      </c>
      <c r="D303" s="47">
        <f t="shared" si="10"/>
        <v>755594</v>
      </c>
      <c r="E303" s="47" t="s">
        <v>2811</v>
      </c>
      <c r="F303" s="47" t="s">
        <v>1177</v>
      </c>
      <c r="G303" s="47" t="s">
        <v>931</v>
      </c>
      <c r="H303" s="47" t="s">
        <v>1188</v>
      </c>
      <c r="I303" s="47" t="s">
        <v>2804</v>
      </c>
      <c r="J303" s="47" t="s">
        <v>1172</v>
      </c>
      <c r="K303" s="47" t="s">
        <v>163</v>
      </c>
      <c r="L303" s="47" t="s">
        <v>2392</v>
      </c>
      <c r="M303" s="47" t="s">
        <v>1173</v>
      </c>
      <c r="N303" s="47" t="s">
        <v>8</v>
      </c>
      <c r="O303" s="47" t="s">
        <v>930</v>
      </c>
      <c r="P303" s="47" t="s">
        <v>930</v>
      </c>
      <c r="Q303" s="47"/>
      <c r="R303" s="47"/>
      <c r="S303" s="47"/>
      <c r="T303" s="47" t="s">
        <v>931</v>
      </c>
      <c r="U303" s="47" t="s">
        <v>931</v>
      </c>
      <c r="V303" s="47" t="s">
        <v>931</v>
      </c>
      <c r="W303" s="47" t="s">
        <v>931</v>
      </c>
      <c r="X303" s="47" t="s">
        <v>982</v>
      </c>
      <c r="Y303" s="47" t="s">
        <v>931</v>
      </c>
      <c r="Z303" s="47" t="s">
        <v>931</v>
      </c>
      <c r="AA303" s="47" t="s">
        <v>931</v>
      </c>
      <c r="AB303" s="47" t="s">
        <v>931</v>
      </c>
      <c r="AC303" s="47" t="s">
        <v>931</v>
      </c>
      <c r="AD303" s="47" t="s">
        <v>2805</v>
      </c>
      <c r="AE303" s="47" t="s">
        <v>937</v>
      </c>
      <c r="AF303" s="47" t="s">
        <v>931</v>
      </c>
      <c r="AG303" s="47" t="s">
        <v>931</v>
      </c>
      <c r="AH303" s="47" t="s">
        <v>931</v>
      </c>
      <c r="AI303" s="47" t="s">
        <v>931</v>
      </c>
      <c r="AJ303" s="47" t="s">
        <v>931</v>
      </c>
      <c r="AK303" s="47" t="s">
        <v>930</v>
      </c>
      <c r="AL303" s="47" t="s">
        <v>931</v>
      </c>
      <c r="AM303" s="47" t="s">
        <v>931</v>
      </c>
      <c r="AN303" s="37"/>
    </row>
    <row r="304" spans="1:40" ht="20.25" hidden="1" customHeight="1">
      <c r="A304" s="47" t="s">
        <v>982</v>
      </c>
      <c r="B304" s="47" t="s">
        <v>919</v>
      </c>
      <c r="C304" s="47" t="s">
        <v>2812</v>
      </c>
      <c r="D304" s="47">
        <f t="shared" si="10"/>
        <v>755577</v>
      </c>
      <c r="E304" s="47" t="s">
        <v>2813</v>
      </c>
      <c r="F304" s="47" t="s">
        <v>2723</v>
      </c>
      <c r="G304" s="47" t="s">
        <v>931</v>
      </c>
      <c r="H304" s="47" t="s">
        <v>1088</v>
      </c>
      <c r="I304" s="47" t="s">
        <v>2775</v>
      </c>
      <c r="J304" s="47" t="s">
        <v>944</v>
      </c>
      <c r="K304" s="47" t="s">
        <v>163</v>
      </c>
      <c r="L304" s="47" t="s">
        <v>2248</v>
      </c>
      <c r="M304" s="47" t="s">
        <v>2711</v>
      </c>
      <c r="N304" s="47" t="s">
        <v>929</v>
      </c>
      <c r="O304" s="47" t="s">
        <v>930</v>
      </c>
      <c r="P304" s="47" t="s">
        <v>930</v>
      </c>
      <c r="Q304" s="47"/>
      <c r="R304" s="47"/>
      <c r="S304" s="47"/>
      <c r="T304" s="47" t="s">
        <v>931</v>
      </c>
      <c r="U304" s="47" t="s">
        <v>931</v>
      </c>
      <c r="V304" s="47" t="s">
        <v>931</v>
      </c>
      <c r="W304" s="47" t="s">
        <v>931</v>
      </c>
      <c r="X304" s="47" t="s">
        <v>982</v>
      </c>
      <c r="Y304" s="47" t="s">
        <v>931</v>
      </c>
      <c r="Z304" s="47" t="s">
        <v>931</v>
      </c>
      <c r="AA304" s="47" t="s">
        <v>931</v>
      </c>
      <c r="AB304" s="47" t="s">
        <v>931</v>
      </c>
      <c r="AC304" s="47" t="s">
        <v>2754</v>
      </c>
      <c r="AD304" s="47" t="s">
        <v>2777</v>
      </c>
      <c r="AE304" s="47" t="s">
        <v>937</v>
      </c>
      <c r="AF304" s="47" t="s">
        <v>931</v>
      </c>
      <c r="AG304" s="47" t="s">
        <v>931</v>
      </c>
      <c r="AH304" s="47" t="s">
        <v>931</v>
      </c>
      <c r="AI304" s="47" t="s">
        <v>931</v>
      </c>
      <c r="AJ304" s="47" t="s">
        <v>931</v>
      </c>
      <c r="AK304" s="47" t="s">
        <v>930</v>
      </c>
      <c r="AL304" s="47" t="s">
        <v>931</v>
      </c>
      <c r="AM304" s="47" t="s">
        <v>931</v>
      </c>
      <c r="AN304" s="37"/>
    </row>
    <row r="305" spans="1:40" ht="20.25" hidden="1" customHeight="1">
      <c r="A305" s="47" t="s">
        <v>982</v>
      </c>
      <c r="B305" s="47" t="s">
        <v>919</v>
      </c>
      <c r="C305" s="47" t="s">
        <v>2814</v>
      </c>
      <c r="D305" s="47">
        <f t="shared" si="10"/>
        <v>755595</v>
      </c>
      <c r="E305" s="47" t="s">
        <v>2815</v>
      </c>
      <c r="F305" s="47" t="s">
        <v>2816</v>
      </c>
      <c r="G305" s="47" t="s">
        <v>931</v>
      </c>
      <c r="H305" s="47" t="s">
        <v>1088</v>
      </c>
      <c r="I305" s="47" t="s">
        <v>2817</v>
      </c>
      <c r="J305" s="47" t="s">
        <v>1024</v>
      </c>
      <c r="K305" s="47" t="s">
        <v>163</v>
      </c>
      <c r="L305" s="47" t="s">
        <v>987</v>
      </c>
      <c r="M305" s="47" t="s">
        <v>2736</v>
      </c>
      <c r="N305" s="47" t="s">
        <v>929</v>
      </c>
      <c r="O305" s="47" t="s">
        <v>930</v>
      </c>
      <c r="P305" s="47" t="s">
        <v>930</v>
      </c>
      <c r="Q305" s="47"/>
      <c r="R305" s="47"/>
      <c r="S305" s="47"/>
      <c r="T305" s="47" t="s">
        <v>931</v>
      </c>
      <c r="U305" s="47" t="s">
        <v>931</v>
      </c>
      <c r="V305" s="47" t="s">
        <v>931</v>
      </c>
      <c r="W305" s="47" t="s">
        <v>931</v>
      </c>
      <c r="X305" s="47" t="s">
        <v>995</v>
      </c>
      <c r="Y305" s="47" t="s">
        <v>931</v>
      </c>
      <c r="Z305" s="47" t="s">
        <v>931</v>
      </c>
      <c r="AA305" s="47" t="s">
        <v>931</v>
      </c>
      <c r="AB305" s="47" t="s">
        <v>931</v>
      </c>
      <c r="AC305" s="47" t="s">
        <v>931</v>
      </c>
      <c r="AD305" s="47" t="s">
        <v>2818</v>
      </c>
      <c r="AE305" s="47" t="s">
        <v>937</v>
      </c>
      <c r="AF305" s="47" t="s">
        <v>931</v>
      </c>
      <c r="AG305" s="47" t="s">
        <v>931</v>
      </c>
      <c r="AH305" s="47" t="s">
        <v>931</v>
      </c>
      <c r="AI305" s="47" t="s">
        <v>931</v>
      </c>
      <c r="AJ305" s="47" t="s">
        <v>931</v>
      </c>
      <c r="AK305" s="47" t="s">
        <v>930</v>
      </c>
      <c r="AL305" s="47" t="s">
        <v>931</v>
      </c>
      <c r="AM305" s="47" t="s">
        <v>931</v>
      </c>
      <c r="AN305" s="37"/>
    </row>
    <row r="306" spans="1:40" ht="20.25" hidden="1" customHeight="1">
      <c r="A306" s="47" t="s">
        <v>982</v>
      </c>
      <c r="B306" s="47" t="s">
        <v>919</v>
      </c>
      <c r="C306" s="47" t="s">
        <v>2819</v>
      </c>
      <c r="D306" s="47">
        <f t="shared" si="10"/>
        <v>755592</v>
      </c>
      <c r="E306" s="47" t="s">
        <v>2820</v>
      </c>
      <c r="F306" s="47" t="s">
        <v>2821</v>
      </c>
      <c r="G306" s="47" t="s">
        <v>931</v>
      </c>
      <c r="H306" s="47" t="s">
        <v>2734</v>
      </c>
      <c r="I306" s="47" t="s">
        <v>2822</v>
      </c>
      <c r="J306" s="47" t="s">
        <v>944</v>
      </c>
      <c r="K306" s="47" t="s">
        <v>163</v>
      </c>
      <c r="L306" s="47" t="s">
        <v>1118</v>
      </c>
      <c r="M306" s="47" t="s">
        <v>2736</v>
      </c>
      <c r="N306" s="47" t="s">
        <v>1190</v>
      </c>
      <c r="O306" s="47" t="s">
        <v>930</v>
      </c>
      <c r="P306" s="47" t="s">
        <v>930</v>
      </c>
      <c r="Q306" s="47"/>
      <c r="R306" s="47"/>
      <c r="S306" s="47"/>
      <c r="T306" s="47" t="s">
        <v>931</v>
      </c>
      <c r="U306" s="47" t="s">
        <v>931</v>
      </c>
      <c r="V306" s="47" t="s">
        <v>931</v>
      </c>
      <c r="W306" s="47" t="s">
        <v>931</v>
      </c>
      <c r="X306" s="47" t="s">
        <v>982</v>
      </c>
      <c r="Y306" s="47" t="s">
        <v>931</v>
      </c>
      <c r="Z306" s="47" t="s">
        <v>931</v>
      </c>
      <c r="AA306" s="47" t="s">
        <v>931</v>
      </c>
      <c r="AB306" s="47" t="s">
        <v>931</v>
      </c>
      <c r="AC306" s="47" t="s">
        <v>931</v>
      </c>
      <c r="AD306" s="47" t="s">
        <v>2823</v>
      </c>
      <c r="AE306" s="47" t="s">
        <v>937</v>
      </c>
      <c r="AF306" s="47" t="s">
        <v>931</v>
      </c>
      <c r="AG306" s="47" t="s">
        <v>931</v>
      </c>
      <c r="AH306" s="47" t="s">
        <v>931</v>
      </c>
      <c r="AI306" s="47" t="s">
        <v>931</v>
      </c>
      <c r="AJ306" s="47" t="s">
        <v>931</v>
      </c>
      <c r="AK306" s="47" t="s">
        <v>930</v>
      </c>
      <c r="AL306" s="47" t="s">
        <v>931</v>
      </c>
      <c r="AM306" s="47" t="s">
        <v>931</v>
      </c>
      <c r="AN306" s="37"/>
    </row>
    <row r="307" spans="1:40" ht="20.25" hidden="1" customHeight="1">
      <c r="A307" s="47" t="s">
        <v>982</v>
      </c>
      <c r="B307" s="47" t="s">
        <v>919</v>
      </c>
      <c r="C307" s="47" t="s">
        <v>2824</v>
      </c>
      <c r="D307" s="47">
        <f t="shared" si="10"/>
        <v>755598</v>
      </c>
      <c r="E307" s="47" t="s">
        <v>2825</v>
      </c>
      <c r="F307" s="47" t="s">
        <v>2802</v>
      </c>
      <c r="G307" s="47" t="s">
        <v>931</v>
      </c>
      <c r="H307" s="47" t="s">
        <v>2803</v>
      </c>
      <c r="I307" s="47" t="s">
        <v>2826</v>
      </c>
      <c r="J307" s="47" t="s">
        <v>1179</v>
      </c>
      <c r="K307" s="47" t="s">
        <v>163</v>
      </c>
      <c r="L307" s="47" t="s">
        <v>1319</v>
      </c>
      <c r="M307" s="47" t="s">
        <v>1083</v>
      </c>
      <c r="N307" s="47" t="s">
        <v>1190</v>
      </c>
      <c r="O307" s="47" t="s">
        <v>930</v>
      </c>
      <c r="P307" s="47" t="s">
        <v>930</v>
      </c>
      <c r="Q307" s="47"/>
      <c r="R307" s="47"/>
      <c r="S307" s="47"/>
      <c r="T307" s="47" t="s">
        <v>931</v>
      </c>
      <c r="U307" s="47" t="s">
        <v>931</v>
      </c>
      <c r="V307" s="47" t="s">
        <v>931</v>
      </c>
      <c r="W307" s="47" t="s">
        <v>931</v>
      </c>
      <c r="X307" s="47" t="s">
        <v>995</v>
      </c>
      <c r="Y307" s="47" t="s">
        <v>931</v>
      </c>
      <c r="Z307" s="47" t="s">
        <v>931</v>
      </c>
      <c r="AA307" s="47" t="s">
        <v>931</v>
      </c>
      <c r="AB307" s="47" t="s">
        <v>931</v>
      </c>
      <c r="AC307" s="47" t="s">
        <v>931</v>
      </c>
      <c r="AD307" s="47" t="s">
        <v>2827</v>
      </c>
      <c r="AE307" s="47" t="s">
        <v>937</v>
      </c>
      <c r="AF307" s="47" t="s">
        <v>931</v>
      </c>
      <c r="AG307" s="47" t="s">
        <v>931</v>
      </c>
      <c r="AH307" s="47" t="s">
        <v>931</v>
      </c>
      <c r="AI307" s="47" t="s">
        <v>931</v>
      </c>
      <c r="AJ307" s="47" t="s">
        <v>931</v>
      </c>
      <c r="AK307" s="47" t="s">
        <v>930</v>
      </c>
      <c r="AL307" s="47" t="s">
        <v>931</v>
      </c>
      <c r="AM307" s="47" t="s">
        <v>931</v>
      </c>
      <c r="AN307" s="37"/>
    </row>
    <row r="308" spans="1:40" ht="20.25" hidden="1" customHeight="1">
      <c r="A308" s="47" t="s">
        <v>982</v>
      </c>
      <c r="B308" s="47" t="s">
        <v>919</v>
      </c>
      <c r="C308" s="47" t="s">
        <v>2828</v>
      </c>
      <c r="D308" s="47">
        <f t="shared" si="10"/>
        <v>755597</v>
      </c>
      <c r="E308" s="47" t="s">
        <v>2829</v>
      </c>
      <c r="F308" s="47" t="s">
        <v>2802</v>
      </c>
      <c r="G308" s="47" t="s">
        <v>931</v>
      </c>
      <c r="H308" s="47" t="s">
        <v>2803</v>
      </c>
      <c r="I308" s="47" t="s">
        <v>2830</v>
      </c>
      <c r="J308" s="47" t="s">
        <v>1179</v>
      </c>
      <c r="K308" s="47" t="s">
        <v>163</v>
      </c>
      <c r="L308" s="47" t="s">
        <v>2831</v>
      </c>
      <c r="M308" s="47" t="s">
        <v>1083</v>
      </c>
      <c r="N308" s="47" t="s">
        <v>1190</v>
      </c>
      <c r="O308" s="47" t="s">
        <v>930</v>
      </c>
      <c r="P308" s="47" t="s">
        <v>930</v>
      </c>
      <c r="Q308" s="47"/>
      <c r="R308" s="47"/>
      <c r="S308" s="47"/>
      <c r="T308" s="47" t="s">
        <v>931</v>
      </c>
      <c r="U308" s="47" t="s">
        <v>931</v>
      </c>
      <c r="V308" s="47" t="s">
        <v>931</v>
      </c>
      <c r="W308" s="47" t="s">
        <v>931</v>
      </c>
      <c r="X308" s="47" t="s">
        <v>932</v>
      </c>
      <c r="Y308" s="47" t="s">
        <v>931</v>
      </c>
      <c r="Z308" s="47" t="s">
        <v>931</v>
      </c>
      <c r="AA308" s="47" t="s">
        <v>931</v>
      </c>
      <c r="AB308" s="47" t="s">
        <v>931</v>
      </c>
      <c r="AC308" s="47" t="s">
        <v>931</v>
      </c>
      <c r="AD308" s="47" t="s">
        <v>2832</v>
      </c>
      <c r="AE308" s="47" t="s">
        <v>937</v>
      </c>
      <c r="AF308" s="47" t="s">
        <v>931</v>
      </c>
      <c r="AG308" s="47" t="s">
        <v>931</v>
      </c>
      <c r="AH308" s="47" t="s">
        <v>931</v>
      </c>
      <c r="AI308" s="47" t="s">
        <v>931</v>
      </c>
      <c r="AJ308" s="47" t="s">
        <v>931</v>
      </c>
      <c r="AK308" s="47" t="s">
        <v>930</v>
      </c>
      <c r="AL308" s="47" t="s">
        <v>931</v>
      </c>
      <c r="AM308" s="47" t="s">
        <v>931</v>
      </c>
      <c r="AN308" s="37"/>
    </row>
    <row r="309" spans="1:40" ht="20.25" hidden="1" customHeight="1">
      <c r="A309" s="47" t="s">
        <v>982</v>
      </c>
      <c r="B309" s="47" t="s">
        <v>919</v>
      </c>
      <c r="C309" s="47" t="s">
        <v>2833</v>
      </c>
      <c r="D309" s="47">
        <f t="shared" si="10"/>
        <v>755578</v>
      </c>
      <c r="E309" s="47" t="s">
        <v>2834</v>
      </c>
      <c r="F309" s="47" t="s">
        <v>2723</v>
      </c>
      <c r="G309" s="47" t="s">
        <v>931</v>
      </c>
      <c r="H309" s="47" t="s">
        <v>1088</v>
      </c>
      <c r="I309" s="47" t="s">
        <v>2835</v>
      </c>
      <c r="J309" s="47" t="s">
        <v>1024</v>
      </c>
      <c r="K309" s="47" t="s">
        <v>163</v>
      </c>
      <c r="L309" s="47" t="s">
        <v>2764</v>
      </c>
      <c r="M309" s="47" t="s">
        <v>2836</v>
      </c>
      <c r="N309" s="47" t="s">
        <v>929</v>
      </c>
      <c r="O309" s="47" t="s">
        <v>930</v>
      </c>
      <c r="P309" s="47" t="s">
        <v>930</v>
      </c>
      <c r="Q309" s="47"/>
      <c r="R309" s="47"/>
      <c r="S309" s="47"/>
      <c r="T309" s="47" t="s">
        <v>931</v>
      </c>
      <c r="U309" s="47" t="s">
        <v>931</v>
      </c>
      <c r="V309" s="47" t="s">
        <v>931</v>
      </c>
      <c r="W309" s="47" t="s">
        <v>931</v>
      </c>
      <c r="X309" s="47" t="s">
        <v>995</v>
      </c>
      <c r="Y309" s="47" t="s">
        <v>931</v>
      </c>
      <c r="Z309" s="47" t="s">
        <v>931</v>
      </c>
      <c r="AA309" s="47" t="s">
        <v>931</v>
      </c>
      <c r="AB309" s="47" t="s">
        <v>931</v>
      </c>
      <c r="AC309" s="47" t="s">
        <v>2783</v>
      </c>
      <c r="AD309" s="47" t="s">
        <v>2837</v>
      </c>
      <c r="AE309" s="47" t="s">
        <v>937</v>
      </c>
      <c r="AF309" s="47" t="s">
        <v>931</v>
      </c>
      <c r="AG309" s="47" t="s">
        <v>931</v>
      </c>
      <c r="AH309" s="47" t="s">
        <v>931</v>
      </c>
      <c r="AI309" s="47" t="s">
        <v>931</v>
      </c>
      <c r="AJ309" s="47" t="s">
        <v>931</v>
      </c>
      <c r="AK309" s="47" t="s">
        <v>930</v>
      </c>
      <c r="AL309" s="47" t="s">
        <v>931</v>
      </c>
      <c r="AM309" s="47" t="s">
        <v>931</v>
      </c>
      <c r="AN309" s="37"/>
    </row>
    <row r="310" spans="1:40" ht="20.25" hidden="1" customHeight="1">
      <c r="A310" s="47" t="s">
        <v>982</v>
      </c>
      <c r="B310" s="47" t="s">
        <v>919</v>
      </c>
      <c r="C310" s="47" t="s">
        <v>2838</v>
      </c>
      <c r="D310" s="47">
        <f t="shared" si="10"/>
        <v>755575</v>
      </c>
      <c r="E310" s="47" t="s">
        <v>2722</v>
      </c>
      <c r="F310" s="47" t="s">
        <v>2723</v>
      </c>
      <c r="G310" s="47" t="s">
        <v>931</v>
      </c>
      <c r="H310" s="47" t="s">
        <v>1088</v>
      </c>
      <c r="I310" s="47" t="s">
        <v>2839</v>
      </c>
      <c r="J310" s="47" t="s">
        <v>1024</v>
      </c>
      <c r="K310" s="47" t="s">
        <v>163</v>
      </c>
      <c r="L310" s="47" t="s">
        <v>2840</v>
      </c>
      <c r="M310" s="47" t="s">
        <v>2765</v>
      </c>
      <c r="N310" s="47" t="s">
        <v>929</v>
      </c>
      <c r="O310" s="47" t="s">
        <v>930</v>
      </c>
      <c r="P310" s="47" t="s">
        <v>930</v>
      </c>
      <c r="Q310" s="47"/>
      <c r="R310" s="47"/>
      <c r="S310" s="47"/>
      <c r="T310" s="47" t="s">
        <v>931</v>
      </c>
      <c r="U310" s="47" t="s">
        <v>931</v>
      </c>
      <c r="V310" s="47" t="s">
        <v>931</v>
      </c>
      <c r="W310" s="47" t="s">
        <v>931</v>
      </c>
      <c r="X310" s="47" t="s">
        <v>932</v>
      </c>
      <c r="Y310" s="47" t="s">
        <v>931</v>
      </c>
      <c r="Z310" s="47" t="s">
        <v>931</v>
      </c>
      <c r="AA310" s="47" t="s">
        <v>931</v>
      </c>
      <c r="AB310" s="47" t="s">
        <v>931</v>
      </c>
      <c r="AC310" s="47" t="s">
        <v>1423</v>
      </c>
      <c r="AD310" s="47" t="s">
        <v>2841</v>
      </c>
      <c r="AE310" s="47" t="s">
        <v>937</v>
      </c>
      <c r="AF310" s="47" t="s">
        <v>931</v>
      </c>
      <c r="AG310" s="47" t="s">
        <v>931</v>
      </c>
      <c r="AH310" s="47" t="s">
        <v>931</v>
      </c>
      <c r="AI310" s="47" t="s">
        <v>931</v>
      </c>
      <c r="AJ310" s="47" t="s">
        <v>931</v>
      </c>
      <c r="AK310" s="47" t="s">
        <v>930</v>
      </c>
      <c r="AL310" s="47" t="s">
        <v>931</v>
      </c>
      <c r="AM310" s="47" t="s">
        <v>931</v>
      </c>
      <c r="AN310" s="37"/>
    </row>
    <row r="311" spans="1:40" ht="20.25" hidden="1" customHeight="1">
      <c r="A311" s="47" t="s">
        <v>982</v>
      </c>
      <c r="B311" s="47" t="s">
        <v>919</v>
      </c>
      <c r="C311" s="47" t="s">
        <v>2842</v>
      </c>
      <c r="D311" s="47">
        <f t="shared" si="10"/>
        <v>755593</v>
      </c>
      <c r="E311" s="47" t="s">
        <v>2843</v>
      </c>
      <c r="F311" s="47" t="s">
        <v>2844</v>
      </c>
      <c r="G311" s="47" t="s">
        <v>931</v>
      </c>
      <c r="H311" s="47" t="s">
        <v>2734</v>
      </c>
      <c r="I311" s="47" t="s">
        <v>2845</v>
      </c>
      <c r="J311" s="47" t="s">
        <v>1024</v>
      </c>
      <c r="K311" s="47" t="s">
        <v>163</v>
      </c>
      <c r="L311" s="47" t="s">
        <v>994</v>
      </c>
      <c r="M311" s="47" t="s">
        <v>1124</v>
      </c>
      <c r="N311" s="47" t="s">
        <v>1190</v>
      </c>
      <c r="O311" s="47" t="s">
        <v>930</v>
      </c>
      <c r="P311" s="47" t="s">
        <v>930</v>
      </c>
      <c r="Q311" s="47"/>
      <c r="R311" s="47"/>
      <c r="S311" s="47"/>
      <c r="T311" s="47" t="s">
        <v>931</v>
      </c>
      <c r="U311" s="47" t="s">
        <v>931</v>
      </c>
      <c r="V311" s="47" t="s">
        <v>931</v>
      </c>
      <c r="W311" s="47" t="s">
        <v>931</v>
      </c>
      <c r="X311" s="47" t="s">
        <v>995</v>
      </c>
      <c r="Y311" s="47" t="s">
        <v>931</v>
      </c>
      <c r="Z311" s="47" t="s">
        <v>931</v>
      </c>
      <c r="AA311" s="47" t="s">
        <v>931</v>
      </c>
      <c r="AB311" s="47" t="s">
        <v>931</v>
      </c>
      <c r="AC311" s="47" t="s">
        <v>931</v>
      </c>
      <c r="AD311" s="47" t="s">
        <v>2846</v>
      </c>
      <c r="AE311" s="47" t="s">
        <v>937</v>
      </c>
      <c r="AF311" s="47" t="s">
        <v>931</v>
      </c>
      <c r="AG311" s="47" t="s">
        <v>931</v>
      </c>
      <c r="AH311" s="47" t="s">
        <v>931</v>
      </c>
      <c r="AI311" s="47" t="s">
        <v>931</v>
      </c>
      <c r="AJ311" s="47" t="s">
        <v>931</v>
      </c>
      <c r="AK311" s="47" t="s">
        <v>930</v>
      </c>
      <c r="AL311" s="47" t="s">
        <v>931</v>
      </c>
      <c r="AM311" s="47" t="s">
        <v>931</v>
      </c>
      <c r="AN311" s="37"/>
    </row>
    <row r="312" spans="1:40" ht="20.25" hidden="1" customHeight="1">
      <c r="A312" s="47" t="s">
        <v>982</v>
      </c>
      <c r="B312" s="47" t="s">
        <v>919</v>
      </c>
      <c r="C312" s="47" t="s">
        <v>2847</v>
      </c>
      <c r="D312" s="47">
        <f t="shared" si="10"/>
        <v>755576</v>
      </c>
      <c r="E312" s="47" t="s">
        <v>2813</v>
      </c>
      <c r="F312" s="47" t="s">
        <v>2723</v>
      </c>
      <c r="G312" s="47" t="s">
        <v>931</v>
      </c>
      <c r="H312" s="47" t="s">
        <v>1088</v>
      </c>
      <c r="I312" s="47" t="s">
        <v>2848</v>
      </c>
      <c r="J312" s="47" t="s">
        <v>944</v>
      </c>
      <c r="K312" s="47" t="s">
        <v>163</v>
      </c>
      <c r="L312" s="47" t="s">
        <v>2782</v>
      </c>
      <c r="M312" s="47" t="s">
        <v>2725</v>
      </c>
      <c r="N312" s="47" t="s">
        <v>929</v>
      </c>
      <c r="O312" s="47" t="s">
        <v>930</v>
      </c>
      <c r="P312" s="47" t="s">
        <v>930</v>
      </c>
      <c r="Q312" s="47"/>
      <c r="R312" s="47"/>
      <c r="S312" s="47"/>
      <c r="T312" s="47" t="s">
        <v>931</v>
      </c>
      <c r="U312" s="47" t="s">
        <v>931</v>
      </c>
      <c r="V312" s="47" t="s">
        <v>931</v>
      </c>
      <c r="W312" s="47" t="s">
        <v>931</v>
      </c>
      <c r="X312" s="47" t="s">
        <v>982</v>
      </c>
      <c r="Y312" s="47" t="s">
        <v>931</v>
      </c>
      <c r="Z312" s="47" t="s">
        <v>931</v>
      </c>
      <c r="AA312" s="47" t="s">
        <v>931</v>
      </c>
      <c r="AB312" s="47" t="s">
        <v>931</v>
      </c>
      <c r="AC312" s="47" t="s">
        <v>2754</v>
      </c>
      <c r="AD312" s="47" t="s">
        <v>2849</v>
      </c>
      <c r="AE312" s="47" t="s">
        <v>937</v>
      </c>
      <c r="AF312" s="47" t="s">
        <v>931</v>
      </c>
      <c r="AG312" s="47" t="s">
        <v>931</v>
      </c>
      <c r="AH312" s="47" t="s">
        <v>931</v>
      </c>
      <c r="AI312" s="47" t="s">
        <v>931</v>
      </c>
      <c r="AJ312" s="47" t="s">
        <v>931</v>
      </c>
      <c r="AK312" s="47" t="s">
        <v>930</v>
      </c>
      <c r="AL312" s="47" t="s">
        <v>931</v>
      </c>
      <c r="AM312" s="47" t="s">
        <v>931</v>
      </c>
      <c r="AN312" s="37"/>
    </row>
    <row r="313" spans="1:40" ht="20.25" hidden="1" customHeight="1">
      <c r="A313" s="47" t="s">
        <v>982</v>
      </c>
      <c r="B313" s="47" t="s">
        <v>919</v>
      </c>
      <c r="C313" s="47" t="s">
        <v>2850</v>
      </c>
      <c r="D313" s="47">
        <f t="shared" si="10"/>
        <v>755500</v>
      </c>
      <c r="E313" s="47" t="s">
        <v>2791</v>
      </c>
      <c r="F313" s="47" t="s">
        <v>2769</v>
      </c>
      <c r="G313" s="47" t="s">
        <v>931</v>
      </c>
      <c r="H313" s="47" t="s">
        <v>1170</v>
      </c>
      <c r="I313" s="47" t="s">
        <v>2760</v>
      </c>
      <c r="J313" s="47" t="s">
        <v>1013</v>
      </c>
      <c r="K313" s="47" t="s">
        <v>163</v>
      </c>
      <c r="L313" s="47" t="s">
        <v>1289</v>
      </c>
      <c r="M313" s="47" t="s">
        <v>1269</v>
      </c>
      <c r="N313" s="47" t="s">
        <v>929</v>
      </c>
      <c r="O313" s="47" t="s">
        <v>930</v>
      </c>
      <c r="P313" s="47" t="s">
        <v>930</v>
      </c>
      <c r="Q313" s="47"/>
      <c r="R313" s="47"/>
      <c r="S313" s="47"/>
      <c r="T313" s="47" t="s">
        <v>931</v>
      </c>
      <c r="U313" s="47" t="s">
        <v>931</v>
      </c>
      <c r="V313" s="47" t="s">
        <v>931</v>
      </c>
      <c r="W313" s="47" t="s">
        <v>931</v>
      </c>
      <c r="X313" s="47" t="s">
        <v>982</v>
      </c>
      <c r="Y313" s="47" t="s">
        <v>931</v>
      </c>
      <c r="Z313" s="47" t="s">
        <v>931</v>
      </c>
      <c r="AA313" s="47" t="s">
        <v>931</v>
      </c>
      <c r="AB313" s="47" t="s">
        <v>931</v>
      </c>
      <c r="AC313" s="47" t="s">
        <v>1423</v>
      </c>
      <c r="AD313" s="47" t="s">
        <v>2761</v>
      </c>
      <c r="AE313" s="47" t="s">
        <v>937</v>
      </c>
      <c r="AF313" s="47" t="s">
        <v>931</v>
      </c>
      <c r="AG313" s="47" t="s">
        <v>931</v>
      </c>
      <c r="AH313" s="47" t="s">
        <v>931</v>
      </c>
      <c r="AI313" s="47" t="s">
        <v>931</v>
      </c>
      <c r="AJ313" s="47" t="s">
        <v>931</v>
      </c>
      <c r="AK313" s="47" t="s">
        <v>930</v>
      </c>
      <c r="AL313" s="47" t="s">
        <v>931</v>
      </c>
      <c r="AM313" s="47" t="s">
        <v>931</v>
      </c>
      <c r="AN313" s="37"/>
    </row>
    <row r="314" spans="1:40" ht="20.25" hidden="1" customHeight="1">
      <c r="A314" s="47" t="s">
        <v>982</v>
      </c>
      <c r="B314" s="47" t="s">
        <v>919</v>
      </c>
      <c r="C314" s="47" t="s">
        <v>2851</v>
      </c>
      <c r="D314" s="47">
        <f t="shared" si="10"/>
        <v>755072</v>
      </c>
      <c r="E314" s="47" t="s">
        <v>235</v>
      </c>
      <c r="F314" s="47" t="s">
        <v>236</v>
      </c>
      <c r="G314" s="47" t="s">
        <v>472</v>
      </c>
      <c r="H314" s="47" t="s">
        <v>969</v>
      </c>
      <c r="I314" s="47" t="s">
        <v>1195</v>
      </c>
      <c r="J314" s="47" t="s">
        <v>1013</v>
      </c>
      <c r="K314" s="47" t="s">
        <v>163</v>
      </c>
      <c r="L314" s="47" t="s">
        <v>2725</v>
      </c>
      <c r="M314" s="47" t="s">
        <v>1197</v>
      </c>
      <c r="N314" s="47" t="s">
        <v>946</v>
      </c>
      <c r="O314" s="47" t="s">
        <v>930</v>
      </c>
      <c r="P314" s="47" t="s">
        <v>930</v>
      </c>
      <c r="Q314" s="47"/>
      <c r="R314" s="47"/>
      <c r="S314" s="47"/>
      <c r="T314" s="47" t="s">
        <v>2852</v>
      </c>
      <c r="U314" s="47" t="s">
        <v>931</v>
      </c>
      <c r="V314" s="47" t="s">
        <v>1199</v>
      </c>
      <c r="W314" s="47" t="s">
        <v>931</v>
      </c>
      <c r="X314" s="47" t="s">
        <v>932</v>
      </c>
      <c r="Y314" s="47" t="s">
        <v>472</v>
      </c>
      <c r="Z314" s="47" t="s">
        <v>1018</v>
      </c>
      <c r="AA314" s="47" t="s">
        <v>1019</v>
      </c>
      <c r="AB314" s="47" t="s">
        <v>931</v>
      </c>
      <c r="AC314" s="47" t="s">
        <v>387</v>
      </c>
      <c r="AD314" s="47" t="s">
        <v>1203</v>
      </c>
      <c r="AE314" s="47" t="s">
        <v>1021</v>
      </c>
      <c r="AF314" s="47" t="s">
        <v>931</v>
      </c>
      <c r="AG314" s="47" t="s">
        <v>931</v>
      </c>
      <c r="AH314" s="47" t="s">
        <v>931</v>
      </c>
      <c r="AI314" s="47" t="s">
        <v>931</v>
      </c>
      <c r="AJ314" s="47" t="s">
        <v>931</v>
      </c>
      <c r="AK314" s="47" t="s">
        <v>930</v>
      </c>
      <c r="AL314" s="47" t="s">
        <v>931</v>
      </c>
      <c r="AM314" s="47" t="s">
        <v>931</v>
      </c>
      <c r="AN314" s="37"/>
    </row>
    <row r="315" spans="1:40" ht="20.25" hidden="1" customHeight="1">
      <c r="A315" s="47" t="s">
        <v>982</v>
      </c>
      <c r="B315" s="47" t="s">
        <v>919</v>
      </c>
      <c r="C315" s="47" t="s">
        <v>2853</v>
      </c>
      <c r="D315" s="47">
        <f t="shared" si="10"/>
        <v>755076</v>
      </c>
      <c r="E315" s="47" t="s">
        <v>216</v>
      </c>
      <c r="F315" s="47" t="s">
        <v>217</v>
      </c>
      <c r="G315" s="47" t="s">
        <v>430</v>
      </c>
      <c r="H315" s="47" t="s">
        <v>924</v>
      </c>
      <c r="I315" s="47" t="s">
        <v>1012</v>
      </c>
      <c r="J315" s="47" t="s">
        <v>1013</v>
      </c>
      <c r="K315" s="47" t="s">
        <v>163</v>
      </c>
      <c r="L315" s="47" t="s">
        <v>1506</v>
      </c>
      <c r="M315" s="47" t="s">
        <v>1015</v>
      </c>
      <c r="N315" s="47" t="s">
        <v>946</v>
      </c>
      <c r="O315" s="47" t="s">
        <v>930</v>
      </c>
      <c r="P315" s="47" t="s">
        <v>930</v>
      </c>
      <c r="Q315" s="47"/>
      <c r="R315" s="47"/>
      <c r="S315" s="47"/>
      <c r="T315" s="47" t="s">
        <v>931</v>
      </c>
      <c r="U315" s="47" t="s">
        <v>931</v>
      </c>
      <c r="V315" s="47" t="s">
        <v>931</v>
      </c>
      <c r="W315" s="47" t="s">
        <v>931</v>
      </c>
      <c r="X315" s="47" t="s">
        <v>931</v>
      </c>
      <c r="Y315" s="47" t="s">
        <v>430</v>
      </c>
      <c r="Z315" s="47" t="s">
        <v>2854</v>
      </c>
      <c r="AA315" s="47" t="s">
        <v>2855</v>
      </c>
      <c r="AB315" s="47" t="s">
        <v>931</v>
      </c>
      <c r="AC315" s="47" t="s">
        <v>438</v>
      </c>
      <c r="AD315" s="47" t="s">
        <v>1020</v>
      </c>
      <c r="AE315" s="47" t="s">
        <v>937</v>
      </c>
      <c r="AF315" s="47" t="s">
        <v>931</v>
      </c>
      <c r="AG315" s="47" t="s">
        <v>931</v>
      </c>
      <c r="AH315" s="47" t="s">
        <v>931</v>
      </c>
      <c r="AI315" s="47" t="s">
        <v>931</v>
      </c>
      <c r="AJ315" s="47" t="s">
        <v>931</v>
      </c>
      <c r="AK315" s="47" t="s">
        <v>930</v>
      </c>
      <c r="AL315" s="47" t="s">
        <v>931</v>
      </c>
      <c r="AM315" s="47" t="s">
        <v>931</v>
      </c>
      <c r="AN315" s="37"/>
    </row>
    <row r="316" spans="1:40" ht="20.25" hidden="1" customHeight="1">
      <c r="A316" s="47" t="s">
        <v>982</v>
      </c>
      <c r="B316" s="47" t="s">
        <v>919</v>
      </c>
      <c r="C316" s="47" t="s">
        <v>2856</v>
      </c>
      <c r="D316" s="47">
        <f t="shared" si="10"/>
        <v>755443</v>
      </c>
      <c r="E316" s="47" t="s">
        <v>2857</v>
      </c>
      <c r="F316" s="47" t="s">
        <v>1187</v>
      </c>
      <c r="G316" s="47" t="s">
        <v>931</v>
      </c>
      <c r="H316" s="47" t="s">
        <v>2858</v>
      </c>
      <c r="I316" s="47" t="s">
        <v>2859</v>
      </c>
      <c r="J316" s="47" t="s">
        <v>1055</v>
      </c>
      <c r="K316" s="47" t="s">
        <v>163</v>
      </c>
      <c r="L316" s="47" t="s">
        <v>1083</v>
      </c>
      <c r="M316" s="47" t="s">
        <v>2831</v>
      </c>
      <c r="N316" s="47" t="s">
        <v>1190</v>
      </c>
      <c r="O316" s="47" t="s">
        <v>930</v>
      </c>
      <c r="P316" s="47" t="s">
        <v>930</v>
      </c>
      <c r="Q316" s="47"/>
      <c r="R316" s="47"/>
      <c r="S316" s="47"/>
      <c r="T316" s="47" t="s">
        <v>931</v>
      </c>
      <c r="U316" s="47" t="s">
        <v>931</v>
      </c>
      <c r="V316" s="47" t="s">
        <v>931</v>
      </c>
      <c r="W316" s="47" t="s">
        <v>931</v>
      </c>
      <c r="X316" s="47" t="s">
        <v>982</v>
      </c>
      <c r="Y316" s="47" t="s">
        <v>931</v>
      </c>
      <c r="Z316" s="47" t="s">
        <v>931</v>
      </c>
      <c r="AA316" s="47" t="s">
        <v>931</v>
      </c>
      <c r="AB316" s="47" t="s">
        <v>931</v>
      </c>
      <c r="AC316" s="47" t="s">
        <v>931</v>
      </c>
      <c r="AD316" s="47" t="s">
        <v>2860</v>
      </c>
      <c r="AE316" s="47" t="s">
        <v>937</v>
      </c>
      <c r="AF316" s="47" t="s">
        <v>931</v>
      </c>
      <c r="AG316" s="47" t="s">
        <v>931</v>
      </c>
      <c r="AH316" s="47" t="s">
        <v>931</v>
      </c>
      <c r="AI316" s="47" t="s">
        <v>931</v>
      </c>
      <c r="AJ316" s="47" t="s">
        <v>931</v>
      </c>
      <c r="AK316" s="47" t="s">
        <v>930</v>
      </c>
      <c r="AL316" s="47" t="s">
        <v>931</v>
      </c>
      <c r="AM316" s="47" t="s">
        <v>931</v>
      </c>
      <c r="AN316" s="37"/>
    </row>
    <row r="317" spans="1:40" ht="20.25" hidden="1" customHeight="1">
      <c r="A317" s="47" t="s">
        <v>982</v>
      </c>
      <c r="B317" s="47" t="s">
        <v>919</v>
      </c>
      <c r="C317" s="47" t="s">
        <v>2861</v>
      </c>
      <c r="D317" s="47">
        <f t="shared" si="10"/>
        <v>755084</v>
      </c>
      <c r="E317" s="47" t="s">
        <v>431</v>
      </c>
      <c r="F317" s="47" t="s">
        <v>432</v>
      </c>
      <c r="G317" s="47" t="s">
        <v>36</v>
      </c>
      <c r="H317" s="47" t="s">
        <v>1194</v>
      </c>
      <c r="I317" s="47" t="s">
        <v>1012</v>
      </c>
      <c r="J317" s="47" t="s">
        <v>1013</v>
      </c>
      <c r="K317" s="47" t="s">
        <v>163</v>
      </c>
      <c r="L317" s="47" t="s">
        <v>1014</v>
      </c>
      <c r="M317" s="47" t="s">
        <v>1015</v>
      </c>
      <c r="N317" s="47" t="s">
        <v>946</v>
      </c>
      <c r="O317" s="47" t="s">
        <v>930</v>
      </c>
      <c r="P317" s="47" t="s">
        <v>930</v>
      </c>
      <c r="Q317" s="47"/>
      <c r="R317" s="47"/>
      <c r="S317" s="47"/>
      <c r="T317" s="47" t="s">
        <v>931</v>
      </c>
      <c r="U317" s="47" t="s">
        <v>931</v>
      </c>
      <c r="V317" s="47" t="s">
        <v>931</v>
      </c>
      <c r="W317" s="47" t="s">
        <v>931</v>
      </c>
      <c r="X317" s="47" t="s">
        <v>931</v>
      </c>
      <c r="Y317" s="47" t="s">
        <v>36</v>
      </c>
      <c r="Z317" s="47" t="s">
        <v>1126</v>
      </c>
      <c r="AA317" s="47" t="s">
        <v>1127</v>
      </c>
      <c r="AB317" s="47" t="s">
        <v>931</v>
      </c>
      <c r="AC317" s="47" t="s">
        <v>1202</v>
      </c>
      <c r="AD317" s="47" t="s">
        <v>1020</v>
      </c>
      <c r="AE317" s="47" t="s">
        <v>937</v>
      </c>
      <c r="AF317" s="47" t="s">
        <v>931</v>
      </c>
      <c r="AG317" s="47" t="s">
        <v>931</v>
      </c>
      <c r="AH317" s="47" t="s">
        <v>931</v>
      </c>
      <c r="AI317" s="47" t="s">
        <v>931</v>
      </c>
      <c r="AJ317" s="47" t="s">
        <v>931</v>
      </c>
      <c r="AK317" s="47" t="s">
        <v>930</v>
      </c>
      <c r="AL317" s="47" t="s">
        <v>931</v>
      </c>
      <c r="AM317" s="47" t="s">
        <v>931</v>
      </c>
      <c r="AN317" s="37"/>
    </row>
    <row r="318" spans="1:40" ht="20.25" hidden="1" customHeight="1">
      <c r="A318" s="47" t="s">
        <v>982</v>
      </c>
      <c r="B318" s="47" t="s">
        <v>919</v>
      </c>
      <c r="C318" s="47" t="s">
        <v>2862</v>
      </c>
      <c r="D318" s="47">
        <f t="shared" si="10"/>
        <v>755078</v>
      </c>
      <c r="E318" s="47" t="s">
        <v>1323</v>
      </c>
      <c r="F318" s="47" t="s">
        <v>1324</v>
      </c>
      <c r="G318" s="47" t="s">
        <v>479</v>
      </c>
      <c r="H318" s="47" t="s">
        <v>1325</v>
      </c>
      <c r="I318" s="47" t="s">
        <v>1012</v>
      </c>
      <c r="J318" s="47" t="s">
        <v>1013</v>
      </c>
      <c r="K318" s="47" t="s">
        <v>163</v>
      </c>
      <c r="L318" s="47" t="s">
        <v>1014</v>
      </c>
      <c r="M318" s="47" t="s">
        <v>1015</v>
      </c>
      <c r="N318" s="47" t="s">
        <v>946</v>
      </c>
      <c r="O318" s="47" t="s">
        <v>930</v>
      </c>
      <c r="P318" s="47" t="s">
        <v>930</v>
      </c>
      <c r="Q318" s="47"/>
      <c r="R318" s="47"/>
      <c r="S318" s="47"/>
      <c r="T318" s="47" t="s">
        <v>931</v>
      </c>
      <c r="U318" s="47" t="s">
        <v>931</v>
      </c>
      <c r="V318" s="47" t="s">
        <v>931</v>
      </c>
      <c r="W318" s="47" t="s">
        <v>931</v>
      </c>
      <c r="X318" s="47" t="s">
        <v>931</v>
      </c>
      <c r="Y318" s="47" t="s">
        <v>479</v>
      </c>
      <c r="Z318" s="47" t="s">
        <v>1228</v>
      </c>
      <c r="AA318" s="47" t="s">
        <v>1229</v>
      </c>
      <c r="AB318" s="47" t="s">
        <v>931</v>
      </c>
      <c r="AC318" s="47" t="s">
        <v>1328</v>
      </c>
      <c r="AD318" s="47" t="s">
        <v>1020</v>
      </c>
      <c r="AE318" s="47" t="s">
        <v>937</v>
      </c>
      <c r="AF318" s="47" t="s">
        <v>931</v>
      </c>
      <c r="AG318" s="47" t="s">
        <v>931</v>
      </c>
      <c r="AH318" s="47" t="s">
        <v>931</v>
      </c>
      <c r="AI318" s="47" t="s">
        <v>931</v>
      </c>
      <c r="AJ318" s="47" t="s">
        <v>931</v>
      </c>
      <c r="AK318" s="47" t="s">
        <v>930</v>
      </c>
      <c r="AL318" s="47" t="s">
        <v>931</v>
      </c>
      <c r="AM318" s="47" t="s">
        <v>931</v>
      </c>
      <c r="AN318" s="37"/>
    </row>
    <row r="319" spans="1:40" ht="20.25" hidden="1" customHeight="1">
      <c r="A319" s="47" t="s">
        <v>982</v>
      </c>
      <c r="B319" s="47" t="s">
        <v>919</v>
      </c>
      <c r="C319" s="47" t="s">
        <v>2863</v>
      </c>
      <c r="D319" s="47">
        <f t="shared" si="10"/>
        <v>755070</v>
      </c>
      <c r="E319" s="47" t="s">
        <v>225</v>
      </c>
      <c r="F319" s="47" t="s">
        <v>226</v>
      </c>
      <c r="G319" s="47" t="s">
        <v>38</v>
      </c>
      <c r="H319" s="47" t="s">
        <v>969</v>
      </c>
      <c r="I319" s="47" t="s">
        <v>1195</v>
      </c>
      <c r="J319" s="47" t="s">
        <v>1013</v>
      </c>
      <c r="K319" s="47" t="s">
        <v>163</v>
      </c>
      <c r="L319" s="47" t="s">
        <v>1196</v>
      </c>
      <c r="M319" s="47" t="s">
        <v>1197</v>
      </c>
      <c r="N319" s="47" t="s">
        <v>946</v>
      </c>
      <c r="O319" s="47" t="s">
        <v>930</v>
      </c>
      <c r="P319" s="47" t="s">
        <v>930</v>
      </c>
      <c r="Q319" s="47"/>
      <c r="R319" s="47"/>
      <c r="S319" s="47"/>
      <c r="T319" s="47" t="s">
        <v>931</v>
      </c>
      <c r="U319" s="47" t="s">
        <v>931</v>
      </c>
      <c r="V319" s="47" t="s">
        <v>931</v>
      </c>
      <c r="W319" s="47" t="s">
        <v>931</v>
      </c>
      <c r="X319" s="47" t="s">
        <v>931</v>
      </c>
      <c r="Y319" s="47" t="s">
        <v>38</v>
      </c>
      <c r="Z319" s="47" t="s">
        <v>1347</v>
      </c>
      <c r="AA319" s="47" t="s">
        <v>1348</v>
      </c>
      <c r="AB319" s="47" t="s">
        <v>931</v>
      </c>
      <c r="AC319" s="47" t="s">
        <v>504</v>
      </c>
      <c r="AD319" s="47" t="s">
        <v>1203</v>
      </c>
      <c r="AE319" s="47" t="s">
        <v>937</v>
      </c>
      <c r="AF319" s="47" t="s">
        <v>2864</v>
      </c>
      <c r="AG319" s="47" t="s">
        <v>2865</v>
      </c>
      <c r="AH319" s="47" t="s">
        <v>931</v>
      </c>
      <c r="AI319" s="47" t="s">
        <v>931</v>
      </c>
      <c r="AJ319" s="47" t="s">
        <v>931</v>
      </c>
      <c r="AK319" s="47" t="s">
        <v>930</v>
      </c>
      <c r="AL319" s="47" t="s">
        <v>931</v>
      </c>
      <c r="AM319" s="47" t="s">
        <v>931</v>
      </c>
      <c r="AN319" s="37"/>
    </row>
    <row r="320" spans="1:40" ht="20.25" hidden="1" customHeight="1">
      <c r="A320" s="47" t="s">
        <v>982</v>
      </c>
      <c r="B320" s="47" t="s">
        <v>919</v>
      </c>
      <c r="C320" s="47" t="s">
        <v>2866</v>
      </c>
      <c r="D320" s="47">
        <f t="shared" si="10"/>
        <v>755445</v>
      </c>
      <c r="E320" s="47" t="s">
        <v>2867</v>
      </c>
      <c r="F320" s="47" t="s">
        <v>1333</v>
      </c>
      <c r="G320" s="47" t="s">
        <v>931</v>
      </c>
      <c r="H320" s="47" t="s">
        <v>1081</v>
      </c>
      <c r="I320" s="47" t="s">
        <v>2868</v>
      </c>
      <c r="J320" s="47" t="s">
        <v>944</v>
      </c>
      <c r="K320" s="47" t="s">
        <v>163</v>
      </c>
      <c r="L320" s="47" t="s">
        <v>994</v>
      </c>
      <c r="M320" s="47" t="s">
        <v>1083</v>
      </c>
      <c r="N320" s="47" t="s">
        <v>929</v>
      </c>
      <c r="O320" s="47" t="s">
        <v>930</v>
      </c>
      <c r="P320" s="47" t="s">
        <v>930</v>
      </c>
      <c r="Q320" s="47"/>
      <c r="R320" s="47"/>
      <c r="S320" s="47"/>
      <c r="T320" s="47" t="s">
        <v>931</v>
      </c>
      <c r="U320" s="47" t="s">
        <v>931</v>
      </c>
      <c r="V320" s="47" t="s">
        <v>931</v>
      </c>
      <c r="W320" s="47" t="s">
        <v>931</v>
      </c>
      <c r="X320" s="47" t="s">
        <v>982</v>
      </c>
      <c r="Y320" s="47" t="s">
        <v>931</v>
      </c>
      <c r="Z320" s="47" t="s">
        <v>931</v>
      </c>
      <c r="AA320" s="47" t="s">
        <v>931</v>
      </c>
      <c r="AB320" s="47" t="s">
        <v>931</v>
      </c>
      <c r="AC320" s="47" t="s">
        <v>931</v>
      </c>
      <c r="AD320" s="47" t="s">
        <v>2869</v>
      </c>
      <c r="AE320" s="47" t="s">
        <v>937</v>
      </c>
      <c r="AF320" s="47" t="s">
        <v>931</v>
      </c>
      <c r="AG320" s="47" t="s">
        <v>931</v>
      </c>
      <c r="AH320" s="47" t="s">
        <v>931</v>
      </c>
      <c r="AI320" s="47" t="s">
        <v>931</v>
      </c>
      <c r="AJ320" s="47" t="s">
        <v>931</v>
      </c>
      <c r="AK320" s="47" t="s">
        <v>930</v>
      </c>
      <c r="AL320" s="47" t="s">
        <v>931</v>
      </c>
      <c r="AM320" s="47" t="s">
        <v>931</v>
      </c>
      <c r="AN320" s="37"/>
    </row>
    <row r="321" spans="1:40" ht="20.25" hidden="1" customHeight="1">
      <c r="A321" s="47" t="s">
        <v>982</v>
      </c>
      <c r="B321" s="47" t="s">
        <v>919</v>
      </c>
      <c r="C321" s="47" t="s">
        <v>2870</v>
      </c>
      <c r="D321" s="47">
        <f t="shared" si="10"/>
        <v>755077</v>
      </c>
      <c r="E321" s="47" t="s">
        <v>225</v>
      </c>
      <c r="F321" s="47" t="s">
        <v>226</v>
      </c>
      <c r="G321" s="47" t="s">
        <v>38</v>
      </c>
      <c r="H321" s="47" t="s">
        <v>969</v>
      </c>
      <c r="I321" s="47" t="s">
        <v>1012</v>
      </c>
      <c r="J321" s="47" t="s">
        <v>1013</v>
      </c>
      <c r="K321" s="47" t="s">
        <v>163</v>
      </c>
      <c r="L321" s="47" t="s">
        <v>1014</v>
      </c>
      <c r="M321" s="47" t="s">
        <v>1015</v>
      </c>
      <c r="N321" s="47" t="s">
        <v>946</v>
      </c>
      <c r="O321" s="47" t="s">
        <v>930</v>
      </c>
      <c r="P321" s="47" t="s">
        <v>930</v>
      </c>
      <c r="Q321" s="47"/>
      <c r="R321" s="47"/>
      <c r="S321" s="47"/>
      <c r="T321" s="47" t="s">
        <v>931</v>
      </c>
      <c r="U321" s="47" t="s">
        <v>931</v>
      </c>
      <c r="V321" s="47" t="s">
        <v>931</v>
      </c>
      <c r="W321" s="47" t="s">
        <v>931</v>
      </c>
      <c r="X321" s="47" t="s">
        <v>931</v>
      </c>
      <c r="Y321" s="47" t="s">
        <v>38</v>
      </c>
      <c r="Z321" s="47" t="s">
        <v>1347</v>
      </c>
      <c r="AA321" s="47" t="s">
        <v>1348</v>
      </c>
      <c r="AB321" s="47" t="s">
        <v>931</v>
      </c>
      <c r="AC321" s="47" t="s">
        <v>504</v>
      </c>
      <c r="AD321" s="47" t="s">
        <v>1020</v>
      </c>
      <c r="AE321" s="47" t="s">
        <v>937</v>
      </c>
      <c r="AF321" s="47" t="s">
        <v>2871</v>
      </c>
      <c r="AG321" s="47" t="s">
        <v>2872</v>
      </c>
      <c r="AH321" s="47" t="s">
        <v>931</v>
      </c>
      <c r="AI321" s="47" t="s">
        <v>931</v>
      </c>
      <c r="AJ321" s="47" t="s">
        <v>931</v>
      </c>
      <c r="AK321" s="47" t="s">
        <v>930</v>
      </c>
      <c r="AL321" s="47" t="s">
        <v>931</v>
      </c>
      <c r="AM321" s="47" t="s">
        <v>931</v>
      </c>
      <c r="AN321" s="37"/>
    </row>
    <row r="322" spans="1:40" ht="20.25" hidden="1" customHeight="1">
      <c r="A322" s="47" t="s">
        <v>982</v>
      </c>
      <c r="B322" s="47" t="s">
        <v>919</v>
      </c>
      <c r="C322" s="47" t="s">
        <v>2873</v>
      </c>
      <c r="D322" s="47">
        <f t="shared" si="10"/>
        <v>755071</v>
      </c>
      <c r="E322" s="47" t="s">
        <v>1323</v>
      </c>
      <c r="F322" s="47" t="s">
        <v>1324</v>
      </c>
      <c r="G322" s="47" t="s">
        <v>479</v>
      </c>
      <c r="H322" s="47" t="s">
        <v>1325</v>
      </c>
      <c r="I322" s="47" t="s">
        <v>1195</v>
      </c>
      <c r="J322" s="47" t="s">
        <v>1013</v>
      </c>
      <c r="K322" s="47" t="s">
        <v>163</v>
      </c>
      <c r="L322" s="47" t="s">
        <v>2725</v>
      </c>
      <c r="M322" s="47" t="s">
        <v>1197</v>
      </c>
      <c r="N322" s="47" t="s">
        <v>946</v>
      </c>
      <c r="O322" s="47" t="s">
        <v>930</v>
      </c>
      <c r="P322" s="47" t="s">
        <v>930</v>
      </c>
      <c r="Q322" s="47"/>
      <c r="R322" s="47"/>
      <c r="S322" s="47"/>
      <c r="T322" s="47" t="s">
        <v>931</v>
      </c>
      <c r="U322" s="47" t="s">
        <v>931</v>
      </c>
      <c r="V322" s="47" t="s">
        <v>931</v>
      </c>
      <c r="W322" s="47" t="s">
        <v>931</v>
      </c>
      <c r="X322" s="47" t="s">
        <v>931</v>
      </c>
      <c r="Y322" s="47" t="s">
        <v>479</v>
      </c>
      <c r="Z322" s="47" t="s">
        <v>1228</v>
      </c>
      <c r="AA322" s="47" t="s">
        <v>1229</v>
      </c>
      <c r="AB322" s="47" t="s">
        <v>931</v>
      </c>
      <c r="AC322" s="47" t="s">
        <v>1328</v>
      </c>
      <c r="AD322" s="47" t="s">
        <v>1203</v>
      </c>
      <c r="AE322" s="47" t="s">
        <v>937</v>
      </c>
      <c r="AF322" s="47" t="s">
        <v>931</v>
      </c>
      <c r="AG322" s="47" t="s">
        <v>931</v>
      </c>
      <c r="AH322" s="47" t="s">
        <v>931</v>
      </c>
      <c r="AI322" s="47" t="s">
        <v>931</v>
      </c>
      <c r="AJ322" s="47" t="s">
        <v>931</v>
      </c>
      <c r="AK322" s="47" t="s">
        <v>930</v>
      </c>
      <c r="AL322" s="47" t="s">
        <v>931</v>
      </c>
      <c r="AM322" s="47" t="s">
        <v>931</v>
      </c>
      <c r="AN322" s="37"/>
    </row>
    <row r="323" spans="1:40" ht="20.25" hidden="1" customHeight="1">
      <c r="A323" s="47" t="s">
        <v>982</v>
      </c>
      <c r="B323" s="47" t="s">
        <v>919</v>
      </c>
      <c r="C323" s="47" t="s">
        <v>2874</v>
      </c>
      <c r="D323" s="47">
        <f t="shared" ref="D323:D386" si="12">VALUE(C323)</f>
        <v>755444</v>
      </c>
      <c r="E323" s="47" t="s">
        <v>2875</v>
      </c>
      <c r="F323" s="47" t="s">
        <v>2774</v>
      </c>
      <c r="G323" s="47" t="s">
        <v>931</v>
      </c>
      <c r="H323" s="47" t="s">
        <v>2858</v>
      </c>
      <c r="I323" s="47" t="s">
        <v>2868</v>
      </c>
      <c r="J323" s="47" t="s">
        <v>944</v>
      </c>
      <c r="K323" s="47" t="s">
        <v>163</v>
      </c>
      <c r="L323" s="47" t="s">
        <v>1319</v>
      </c>
      <c r="M323" s="47" t="s">
        <v>2736</v>
      </c>
      <c r="N323" s="47" t="s">
        <v>1190</v>
      </c>
      <c r="O323" s="47" t="s">
        <v>930</v>
      </c>
      <c r="P323" s="47" t="s">
        <v>930</v>
      </c>
      <c r="Q323" s="47"/>
      <c r="R323" s="47"/>
      <c r="S323" s="47"/>
      <c r="T323" s="47" t="s">
        <v>931</v>
      </c>
      <c r="U323" s="47" t="s">
        <v>931</v>
      </c>
      <c r="V323" s="47" t="s">
        <v>931</v>
      </c>
      <c r="W323" s="47" t="s">
        <v>931</v>
      </c>
      <c r="X323" s="47" t="s">
        <v>982</v>
      </c>
      <c r="Y323" s="47" t="s">
        <v>931</v>
      </c>
      <c r="Z323" s="47" t="s">
        <v>931</v>
      </c>
      <c r="AA323" s="47" t="s">
        <v>931</v>
      </c>
      <c r="AB323" s="47" t="s">
        <v>931</v>
      </c>
      <c r="AC323" s="47" t="s">
        <v>931</v>
      </c>
      <c r="AD323" s="47" t="s">
        <v>2869</v>
      </c>
      <c r="AE323" s="47" t="s">
        <v>937</v>
      </c>
      <c r="AF323" s="47" t="s">
        <v>931</v>
      </c>
      <c r="AG323" s="47" t="s">
        <v>931</v>
      </c>
      <c r="AH323" s="47" t="s">
        <v>931</v>
      </c>
      <c r="AI323" s="47" t="s">
        <v>931</v>
      </c>
      <c r="AJ323" s="47" t="s">
        <v>931</v>
      </c>
      <c r="AK323" s="47" t="s">
        <v>930</v>
      </c>
      <c r="AL323" s="47" t="s">
        <v>931</v>
      </c>
      <c r="AM323" s="47" t="s">
        <v>931</v>
      </c>
      <c r="AN323" s="37"/>
    </row>
    <row r="324" spans="1:40" ht="20.25" hidden="1" customHeight="1">
      <c r="A324" s="47" t="s">
        <v>982</v>
      </c>
      <c r="B324" s="47" t="s">
        <v>919</v>
      </c>
      <c r="C324" s="47" t="s">
        <v>2876</v>
      </c>
      <c r="D324" s="47">
        <f t="shared" si="12"/>
        <v>755458</v>
      </c>
      <c r="E324" s="47" t="s">
        <v>2877</v>
      </c>
      <c r="F324" s="47" t="s">
        <v>2878</v>
      </c>
      <c r="G324" s="47" t="s">
        <v>931</v>
      </c>
      <c r="H324" s="47" t="s">
        <v>1146</v>
      </c>
      <c r="I324" s="47" t="s">
        <v>2879</v>
      </c>
      <c r="J324" s="47" t="s">
        <v>944</v>
      </c>
      <c r="K324" s="47" t="s">
        <v>163</v>
      </c>
      <c r="L324" s="47" t="s">
        <v>2248</v>
      </c>
      <c r="M324" s="47" t="s">
        <v>2753</v>
      </c>
      <c r="N324" s="47" t="s">
        <v>929</v>
      </c>
      <c r="O324" s="47" t="s">
        <v>930</v>
      </c>
      <c r="P324" s="47" t="s">
        <v>930</v>
      </c>
      <c r="Q324" s="47"/>
      <c r="R324" s="47"/>
      <c r="S324" s="47"/>
      <c r="T324" s="47" t="s">
        <v>931</v>
      </c>
      <c r="U324" s="47" t="s">
        <v>931</v>
      </c>
      <c r="V324" s="47" t="s">
        <v>931</v>
      </c>
      <c r="W324" s="47" t="s">
        <v>931</v>
      </c>
      <c r="X324" s="47" t="s">
        <v>982</v>
      </c>
      <c r="Y324" s="47" t="s">
        <v>931</v>
      </c>
      <c r="Z324" s="47" t="s">
        <v>931</v>
      </c>
      <c r="AA324" s="47" t="s">
        <v>931</v>
      </c>
      <c r="AB324" s="47" t="s">
        <v>931</v>
      </c>
      <c r="AC324" s="47" t="s">
        <v>1251</v>
      </c>
      <c r="AD324" s="47" t="s">
        <v>2880</v>
      </c>
      <c r="AE324" s="47" t="s">
        <v>937</v>
      </c>
      <c r="AF324" s="47" t="s">
        <v>931</v>
      </c>
      <c r="AG324" s="47" t="s">
        <v>931</v>
      </c>
      <c r="AH324" s="47" t="s">
        <v>931</v>
      </c>
      <c r="AI324" s="47" t="s">
        <v>931</v>
      </c>
      <c r="AJ324" s="47" t="s">
        <v>931</v>
      </c>
      <c r="AK324" s="47" t="s">
        <v>930</v>
      </c>
      <c r="AL324" s="47" t="s">
        <v>931</v>
      </c>
      <c r="AM324" s="47" t="s">
        <v>931</v>
      </c>
      <c r="AN324" s="37"/>
    </row>
    <row r="325" spans="1:40" ht="20.25" hidden="1" customHeight="1">
      <c r="A325" s="47" t="s">
        <v>982</v>
      </c>
      <c r="B325" s="47" t="s">
        <v>919</v>
      </c>
      <c r="C325" s="47" t="s">
        <v>2881</v>
      </c>
      <c r="D325" s="47">
        <f t="shared" si="12"/>
        <v>755083</v>
      </c>
      <c r="E325" s="47" t="s">
        <v>1205</v>
      </c>
      <c r="F325" s="47" t="s">
        <v>1206</v>
      </c>
      <c r="G325" s="47" t="s">
        <v>2882</v>
      </c>
      <c r="H325" s="47" t="s">
        <v>924</v>
      </c>
      <c r="I325" s="47" t="s">
        <v>1012</v>
      </c>
      <c r="J325" s="47" t="s">
        <v>1013</v>
      </c>
      <c r="K325" s="47" t="s">
        <v>163</v>
      </c>
      <c r="L325" s="47" t="s">
        <v>1014</v>
      </c>
      <c r="M325" s="47" t="s">
        <v>1015</v>
      </c>
      <c r="N325" s="47" t="s">
        <v>946</v>
      </c>
      <c r="O325" s="47" t="s">
        <v>930</v>
      </c>
      <c r="P325" s="47" t="s">
        <v>930</v>
      </c>
      <c r="Q325" s="47"/>
      <c r="R325" s="47"/>
      <c r="S325" s="47"/>
      <c r="T325" s="47" t="s">
        <v>931</v>
      </c>
      <c r="U325" s="47" t="s">
        <v>931</v>
      </c>
      <c r="V325" s="47" t="s">
        <v>931</v>
      </c>
      <c r="W325" s="47" t="s">
        <v>931</v>
      </c>
      <c r="X325" s="47" t="s">
        <v>931</v>
      </c>
      <c r="Y325" s="47" t="s">
        <v>2882</v>
      </c>
      <c r="Z325" s="47" t="s">
        <v>2883</v>
      </c>
      <c r="AA325" s="47" t="s">
        <v>2884</v>
      </c>
      <c r="AB325" s="47" t="s">
        <v>931</v>
      </c>
      <c r="AC325" s="47" t="s">
        <v>837</v>
      </c>
      <c r="AD325" s="47" t="s">
        <v>1020</v>
      </c>
      <c r="AE325" s="47" t="s">
        <v>937</v>
      </c>
      <c r="AF325" s="47" t="s">
        <v>931</v>
      </c>
      <c r="AG325" s="47" t="s">
        <v>931</v>
      </c>
      <c r="AH325" s="47" t="s">
        <v>931</v>
      </c>
      <c r="AI325" s="47" t="s">
        <v>931</v>
      </c>
      <c r="AJ325" s="47" t="s">
        <v>931</v>
      </c>
      <c r="AK325" s="47" t="s">
        <v>930</v>
      </c>
      <c r="AL325" s="47" t="s">
        <v>931</v>
      </c>
      <c r="AM325" s="47" t="s">
        <v>931</v>
      </c>
      <c r="AN325" s="37"/>
    </row>
    <row r="326" spans="1:40" ht="20.25" hidden="1" customHeight="1">
      <c r="A326" s="47" t="s">
        <v>982</v>
      </c>
      <c r="B326" s="47" t="s">
        <v>919</v>
      </c>
      <c r="C326" s="47" t="s">
        <v>2885</v>
      </c>
      <c r="D326" s="47">
        <f t="shared" si="12"/>
        <v>755075</v>
      </c>
      <c r="E326" s="47" t="s">
        <v>212</v>
      </c>
      <c r="F326" s="47" t="s">
        <v>213</v>
      </c>
      <c r="G326" s="47" t="s">
        <v>509</v>
      </c>
      <c r="H326" s="47" t="s">
        <v>1100</v>
      </c>
      <c r="I326" s="47" t="s">
        <v>1012</v>
      </c>
      <c r="J326" s="47" t="s">
        <v>1013</v>
      </c>
      <c r="K326" s="47" t="s">
        <v>163</v>
      </c>
      <c r="L326" s="47" t="s">
        <v>1014</v>
      </c>
      <c r="M326" s="47" t="s">
        <v>1015</v>
      </c>
      <c r="N326" s="47" t="s">
        <v>946</v>
      </c>
      <c r="O326" s="47" t="s">
        <v>930</v>
      </c>
      <c r="P326" s="47" t="s">
        <v>930</v>
      </c>
      <c r="Q326" s="47"/>
      <c r="R326" s="47"/>
      <c r="S326" s="47"/>
      <c r="T326" s="47" t="s">
        <v>931</v>
      </c>
      <c r="U326" s="47" t="s">
        <v>931</v>
      </c>
      <c r="V326" s="47" t="s">
        <v>931</v>
      </c>
      <c r="W326" s="47" t="s">
        <v>931</v>
      </c>
      <c r="X326" s="47" t="s">
        <v>931</v>
      </c>
      <c r="Y326" s="47" t="s">
        <v>509</v>
      </c>
      <c r="Z326" s="47" t="s">
        <v>2886</v>
      </c>
      <c r="AA326" s="47" t="s">
        <v>2887</v>
      </c>
      <c r="AB326" s="47" t="s">
        <v>931</v>
      </c>
      <c r="AC326" s="47" t="s">
        <v>515</v>
      </c>
      <c r="AD326" s="47" t="s">
        <v>1020</v>
      </c>
      <c r="AE326" s="47" t="s">
        <v>937</v>
      </c>
      <c r="AF326" s="47" t="s">
        <v>931</v>
      </c>
      <c r="AG326" s="47" t="s">
        <v>931</v>
      </c>
      <c r="AH326" s="47" t="s">
        <v>1067</v>
      </c>
      <c r="AI326" s="47" t="s">
        <v>931</v>
      </c>
      <c r="AJ326" s="47" t="s">
        <v>365</v>
      </c>
      <c r="AK326" s="47" t="s">
        <v>930</v>
      </c>
      <c r="AL326" s="47" t="s">
        <v>931</v>
      </c>
      <c r="AM326" s="47" t="s">
        <v>931</v>
      </c>
      <c r="AN326" s="37"/>
    </row>
    <row r="327" spans="1:40" ht="20.25" hidden="1" customHeight="1">
      <c r="A327" s="47" t="s">
        <v>982</v>
      </c>
      <c r="B327" s="47" t="s">
        <v>919</v>
      </c>
      <c r="C327" s="47" t="s">
        <v>2888</v>
      </c>
      <c r="D327" s="47">
        <f t="shared" si="12"/>
        <v>755835</v>
      </c>
      <c r="E327" s="47" t="s">
        <v>1419</v>
      </c>
      <c r="F327" s="47" t="s">
        <v>1420</v>
      </c>
      <c r="G327" s="47" t="s">
        <v>931</v>
      </c>
      <c r="H327" s="47" t="s">
        <v>1421</v>
      </c>
      <c r="I327" s="47" t="s">
        <v>2889</v>
      </c>
      <c r="J327" s="47" t="s">
        <v>1013</v>
      </c>
      <c r="K327" s="47" t="s">
        <v>163</v>
      </c>
      <c r="L327" s="47" t="s">
        <v>2718</v>
      </c>
      <c r="M327" s="47" t="s">
        <v>1258</v>
      </c>
      <c r="N327" s="47" t="s">
        <v>1190</v>
      </c>
      <c r="O327" s="47" t="s">
        <v>930</v>
      </c>
      <c r="P327" s="47" t="s">
        <v>930</v>
      </c>
      <c r="Q327" s="47"/>
      <c r="R327" s="47"/>
      <c r="S327" s="47"/>
      <c r="T327" s="47" t="s">
        <v>931</v>
      </c>
      <c r="U327" s="47" t="s">
        <v>931</v>
      </c>
      <c r="V327" s="47" t="s">
        <v>931</v>
      </c>
      <c r="W327" s="47" t="s">
        <v>931</v>
      </c>
      <c r="X327" s="47" t="s">
        <v>982</v>
      </c>
      <c r="Y327" s="47" t="s">
        <v>931</v>
      </c>
      <c r="Z327" s="47" t="s">
        <v>931</v>
      </c>
      <c r="AA327" s="47" t="s">
        <v>931</v>
      </c>
      <c r="AB327" s="47" t="s">
        <v>931</v>
      </c>
      <c r="AC327" s="47" t="s">
        <v>1423</v>
      </c>
      <c r="AD327" s="47" t="s">
        <v>2890</v>
      </c>
      <c r="AE327" s="47" t="s">
        <v>937</v>
      </c>
      <c r="AF327" s="47" t="s">
        <v>931</v>
      </c>
      <c r="AG327" s="47" t="s">
        <v>931</v>
      </c>
      <c r="AH327" s="47" t="s">
        <v>931</v>
      </c>
      <c r="AI327" s="47" t="s">
        <v>931</v>
      </c>
      <c r="AJ327" s="47" t="s">
        <v>931</v>
      </c>
      <c r="AK327" s="47" t="s">
        <v>930</v>
      </c>
      <c r="AL327" s="47" t="s">
        <v>931</v>
      </c>
      <c r="AM327" s="47" t="s">
        <v>931</v>
      </c>
      <c r="AN327" s="37"/>
    </row>
    <row r="328" spans="1:40" ht="20.25" hidden="1" customHeight="1">
      <c r="A328" s="47" t="s">
        <v>982</v>
      </c>
      <c r="B328" s="47" t="s">
        <v>919</v>
      </c>
      <c r="C328" s="47" t="s">
        <v>2891</v>
      </c>
      <c r="D328" s="47">
        <f t="shared" si="12"/>
        <v>755457</v>
      </c>
      <c r="E328" s="47" t="s">
        <v>2892</v>
      </c>
      <c r="F328" s="47" t="s">
        <v>2893</v>
      </c>
      <c r="G328" s="47" t="s">
        <v>931</v>
      </c>
      <c r="H328" s="47" t="s">
        <v>1146</v>
      </c>
      <c r="I328" s="47" t="s">
        <v>2894</v>
      </c>
      <c r="J328" s="47" t="s">
        <v>1055</v>
      </c>
      <c r="K328" s="47" t="s">
        <v>163</v>
      </c>
      <c r="L328" s="47" t="s">
        <v>2895</v>
      </c>
      <c r="M328" s="47" t="s">
        <v>2896</v>
      </c>
      <c r="N328" s="47" t="s">
        <v>929</v>
      </c>
      <c r="O328" s="47" t="s">
        <v>930</v>
      </c>
      <c r="P328" s="47" t="s">
        <v>930</v>
      </c>
      <c r="Q328" s="47"/>
      <c r="R328" s="47"/>
      <c r="S328" s="47"/>
      <c r="T328" s="47" t="s">
        <v>931</v>
      </c>
      <c r="U328" s="47" t="s">
        <v>931</v>
      </c>
      <c r="V328" s="47" t="s">
        <v>931</v>
      </c>
      <c r="W328" s="47" t="s">
        <v>931</v>
      </c>
      <c r="X328" s="47" t="s">
        <v>982</v>
      </c>
      <c r="Y328" s="47" t="s">
        <v>931</v>
      </c>
      <c r="Z328" s="47" t="s">
        <v>931</v>
      </c>
      <c r="AA328" s="47" t="s">
        <v>931</v>
      </c>
      <c r="AB328" s="47" t="s">
        <v>931</v>
      </c>
      <c r="AC328" s="47" t="s">
        <v>875</v>
      </c>
      <c r="AD328" s="47" t="s">
        <v>2897</v>
      </c>
      <c r="AE328" s="47" t="s">
        <v>937</v>
      </c>
      <c r="AF328" s="47" t="s">
        <v>931</v>
      </c>
      <c r="AG328" s="47" t="s">
        <v>931</v>
      </c>
      <c r="AH328" s="47" t="s">
        <v>931</v>
      </c>
      <c r="AI328" s="47" t="s">
        <v>931</v>
      </c>
      <c r="AJ328" s="47" t="s">
        <v>931</v>
      </c>
      <c r="AK328" s="47" t="s">
        <v>930</v>
      </c>
      <c r="AL328" s="47" t="s">
        <v>931</v>
      </c>
      <c r="AM328" s="47" t="s">
        <v>931</v>
      </c>
      <c r="AN328" s="37"/>
    </row>
    <row r="329" spans="1:40" ht="20.25" hidden="1" customHeight="1">
      <c r="A329" s="47" t="s">
        <v>982</v>
      </c>
      <c r="B329" s="47" t="s">
        <v>919</v>
      </c>
      <c r="C329" s="47" t="s">
        <v>2898</v>
      </c>
      <c r="D329" s="47">
        <f t="shared" si="12"/>
        <v>755455</v>
      </c>
      <c r="E329" s="47" t="s">
        <v>2899</v>
      </c>
      <c r="F329" s="47" t="s">
        <v>2900</v>
      </c>
      <c r="G329" s="47" t="s">
        <v>931</v>
      </c>
      <c r="H329" s="47" t="s">
        <v>1421</v>
      </c>
      <c r="I329" s="47" t="s">
        <v>2901</v>
      </c>
      <c r="J329" s="47" t="s">
        <v>944</v>
      </c>
      <c r="K329" s="47" t="s">
        <v>163</v>
      </c>
      <c r="L329" s="47" t="s">
        <v>1344</v>
      </c>
      <c r="M329" s="47" t="s">
        <v>1056</v>
      </c>
      <c r="N329" s="47" t="s">
        <v>1190</v>
      </c>
      <c r="O329" s="47" t="s">
        <v>930</v>
      </c>
      <c r="P329" s="47" t="s">
        <v>930</v>
      </c>
      <c r="Q329" s="47"/>
      <c r="R329" s="47"/>
      <c r="S329" s="47"/>
      <c r="T329" s="47" t="s">
        <v>931</v>
      </c>
      <c r="U329" s="47" t="s">
        <v>931</v>
      </c>
      <c r="V329" s="47" t="s">
        <v>931</v>
      </c>
      <c r="W329" s="47" t="s">
        <v>931</v>
      </c>
      <c r="X329" s="47" t="s">
        <v>982</v>
      </c>
      <c r="Y329" s="47" t="s">
        <v>931</v>
      </c>
      <c r="Z329" s="47" t="s">
        <v>931</v>
      </c>
      <c r="AA329" s="47" t="s">
        <v>931</v>
      </c>
      <c r="AB329" s="47" t="s">
        <v>931</v>
      </c>
      <c r="AC329" s="47" t="s">
        <v>1251</v>
      </c>
      <c r="AD329" s="47" t="s">
        <v>2902</v>
      </c>
      <c r="AE329" s="47" t="s">
        <v>937</v>
      </c>
      <c r="AF329" s="47" t="s">
        <v>931</v>
      </c>
      <c r="AG329" s="47" t="s">
        <v>931</v>
      </c>
      <c r="AH329" s="47" t="s">
        <v>931</v>
      </c>
      <c r="AI329" s="47" t="s">
        <v>931</v>
      </c>
      <c r="AJ329" s="47" t="s">
        <v>931</v>
      </c>
      <c r="AK329" s="47" t="s">
        <v>930</v>
      </c>
      <c r="AL329" s="47" t="s">
        <v>931</v>
      </c>
      <c r="AM329" s="47" t="s">
        <v>931</v>
      </c>
      <c r="AN329" s="37"/>
    </row>
    <row r="330" spans="1:40" ht="20.25" hidden="1" customHeight="1">
      <c r="A330" s="47" t="s">
        <v>982</v>
      </c>
      <c r="B330" s="47" t="s">
        <v>919</v>
      </c>
      <c r="C330" s="47" t="s">
        <v>2903</v>
      </c>
      <c r="D330" s="47">
        <f t="shared" si="12"/>
        <v>755447</v>
      </c>
      <c r="E330" s="47" t="s">
        <v>2904</v>
      </c>
      <c r="F330" s="47" t="s">
        <v>2878</v>
      </c>
      <c r="G330" s="47" t="s">
        <v>931</v>
      </c>
      <c r="H330" s="47" t="s">
        <v>1081</v>
      </c>
      <c r="I330" s="47" t="s">
        <v>2868</v>
      </c>
      <c r="J330" s="47" t="s">
        <v>944</v>
      </c>
      <c r="K330" s="47" t="s">
        <v>163</v>
      </c>
      <c r="L330" s="47" t="s">
        <v>1118</v>
      </c>
      <c r="M330" s="47" t="s">
        <v>2736</v>
      </c>
      <c r="N330" s="47" t="s">
        <v>929</v>
      </c>
      <c r="O330" s="47" t="s">
        <v>930</v>
      </c>
      <c r="P330" s="47" t="s">
        <v>930</v>
      </c>
      <c r="Q330" s="47"/>
      <c r="R330" s="47"/>
      <c r="S330" s="47"/>
      <c r="T330" s="47" t="s">
        <v>931</v>
      </c>
      <c r="U330" s="47" t="s">
        <v>931</v>
      </c>
      <c r="V330" s="47" t="s">
        <v>931</v>
      </c>
      <c r="W330" s="47" t="s">
        <v>931</v>
      </c>
      <c r="X330" s="47" t="s">
        <v>982</v>
      </c>
      <c r="Y330" s="47" t="s">
        <v>931</v>
      </c>
      <c r="Z330" s="47" t="s">
        <v>931</v>
      </c>
      <c r="AA330" s="47" t="s">
        <v>931</v>
      </c>
      <c r="AB330" s="47" t="s">
        <v>931</v>
      </c>
      <c r="AC330" s="47" t="s">
        <v>931</v>
      </c>
      <c r="AD330" s="47" t="s">
        <v>2869</v>
      </c>
      <c r="AE330" s="47" t="s">
        <v>937</v>
      </c>
      <c r="AF330" s="47" t="s">
        <v>931</v>
      </c>
      <c r="AG330" s="47" t="s">
        <v>931</v>
      </c>
      <c r="AH330" s="47" t="s">
        <v>931</v>
      </c>
      <c r="AI330" s="47" t="s">
        <v>931</v>
      </c>
      <c r="AJ330" s="47" t="s">
        <v>931</v>
      </c>
      <c r="AK330" s="47" t="s">
        <v>930</v>
      </c>
      <c r="AL330" s="47" t="s">
        <v>931</v>
      </c>
      <c r="AM330" s="47" t="s">
        <v>931</v>
      </c>
      <c r="AN330" s="37"/>
    </row>
    <row r="331" spans="1:40" ht="20.25" hidden="1" customHeight="1">
      <c r="A331" s="47" t="s">
        <v>982</v>
      </c>
      <c r="B331" s="47" t="s">
        <v>919</v>
      </c>
      <c r="C331" s="47" t="s">
        <v>2905</v>
      </c>
      <c r="D331" s="47">
        <f t="shared" si="12"/>
        <v>755832</v>
      </c>
      <c r="E331" s="47" t="s">
        <v>1438</v>
      </c>
      <c r="F331" s="47" t="s">
        <v>1439</v>
      </c>
      <c r="G331" s="47" t="s">
        <v>931</v>
      </c>
      <c r="H331" s="47" t="s">
        <v>1146</v>
      </c>
      <c r="I331" s="47" t="s">
        <v>2906</v>
      </c>
      <c r="J331" s="47" t="s">
        <v>1013</v>
      </c>
      <c r="K331" s="47" t="s">
        <v>163</v>
      </c>
      <c r="L331" s="47" t="s">
        <v>1447</v>
      </c>
      <c r="M331" s="47" t="s">
        <v>1432</v>
      </c>
      <c r="N331" s="47" t="s">
        <v>8</v>
      </c>
      <c r="O331" s="47" t="s">
        <v>2907</v>
      </c>
      <c r="P331" s="47" t="s">
        <v>2908</v>
      </c>
      <c r="Q331" s="47"/>
      <c r="R331" s="47"/>
      <c r="S331" s="47"/>
      <c r="T331" s="47" t="s">
        <v>931</v>
      </c>
      <c r="U331" s="47" t="s">
        <v>931</v>
      </c>
      <c r="V331" s="47" t="s">
        <v>931</v>
      </c>
      <c r="W331" s="47" t="s">
        <v>931</v>
      </c>
      <c r="X331" s="47" t="s">
        <v>931</v>
      </c>
      <c r="Y331" s="47" t="s">
        <v>931</v>
      </c>
      <c r="Z331" s="47" t="s">
        <v>931</v>
      </c>
      <c r="AA331" s="47" t="s">
        <v>931</v>
      </c>
      <c r="AB331" s="47" t="s">
        <v>931</v>
      </c>
      <c r="AC331" s="47" t="s">
        <v>931</v>
      </c>
      <c r="AD331" s="47" t="s">
        <v>2909</v>
      </c>
      <c r="AE331" s="47" t="s">
        <v>937</v>
      </c>
      <c r="AF331" s="47" t="s">
        <v>931</v>
      </c>
      <c r="AG331" s="47" t="s">
        <v>931</v>
      </c>
      <c r="AH331" s="47" t="s">
        <v>931</v>
      </c>
      <c r="AI331" s="47" t="s">
        <v>931</v>
      </c>
      <c r="AJ331" s="47" t="s">
        <v>931</v>
      </c>
      <c r="AK331" s="47" t="s">
        <v>930</v>
      </c>
      <c r="AL331" s="47" t="s">
        <v>931</v>
      </c>
      <c r="AM331" s="47" t="s">
        <v>931</v>
      </c>
      <c r="AN331" s="37"/>
    </row>
    <row r="332" spans="1:40" ht="20.25" hidden="1" customHeight="1">
      <c r="A332" s="47" t="s">
        <v>982</v>
      </c>
      <c r="B332" s="47" t="s">
        <v>919</v>
      </c>
      <c r="C332" s="47" t="s">
        <v>2910</v>
      </c>
      <c r="D332" s="47">
        <f t="shared" si="12"/>
        <v>755454</v>
      </c>
      <c r="E332" s="47" t="s">
        <v>2911</v>
      </c>
      <c r="F332" s="47" t="s">
        <v>1187</v>
      </c>
      <c r="G332" s="47" t="s">
        <v>931</v>
      </c>
      <c r="H332" s="47" t="s">
        <v>1421</v>
      </c>
      <c r="I332" s="47" t="s">
        <v>2912</v>
      </c>
      <c r="J332" s="47" t="s">
        <v>1055</v>
      </c>
      <c r="K332" s="47" t="s">
        <v>163</v>
      </c>
      <c r="L332" s="47" t="s">
        <v>2913</v>
      </c>
      <c r="M332" s="47" t="s">
        <v>2719</v>
      </c>
      <c r="N332" s="47" t="s">
        <v>1190</v>
      </c>
      <c r="O332" s="47" t="s">
        <v>930</v>
      </c>
      <c r="P332" s="47" t="s">
        <v>930</v>
      </c>
      <c r="Q332" s="47"/>
      <c r="R332" s="47"/>
      <c r="S332" s="47"/>
      <c r="T332" s="47" t="s">
        <v>931</v>
      </c>
      <c r="U332" s="47" t="s">
        <v>931</v>
      </c>
      <c r="V332" s="47" t="s">
        <v>931</v>
      </c>
      <c r="W332" s="47" t="s">
        <v>931</v>
      </c>
      <c r="X332" s="47" t="s">
        <v>982</v>
      </c>
      <c r="Y332" s="47" t="s">
        <v>931</v>
      </c>
      <c r="Z332" s="47" t="s">
        <v>931</v>
      </c>
      <c r="AA332" s="47" t="s">
        <v>931</v>
      </c>
      <c r="AB332" s="47" t="s">
        <v>931</v>
      </c>
      <c r="AC332" s="47" t="s">
        <v>875</v>
      </c>
      <c r="AD332" s="47" t="s">
        <v>2914</v>
      </c>
      <c r="AE332" s="47" t="s">
        <v>937</v>
      </c>
      <c r="AF332" s="47" t="s">
        <v>931</v>
      </c>
      <c r="AG332" s="47" t="s">
        <v>931</v>
      </c>
      <c r="AH332" s="47" t="s">
        <v>931</v>
      </c>
      <c r="AI332" s="47" t="s">
        <v>931</v>
      </c>
      <c r="AJ332" s="47" t="s">
        <v>931</v>
      </c>
      <c r="AK332" s="47" t="s">
        <v>930</v>
      </c>
      <c r="AL332" s="47" t="s">
        <v>931</v>
      </c>
      <c r="AM332" s="47" t="s">
        <v>931</v>
      </c>
      <c r="AN332" s="37"/>
    </row>
    <row r="333" spans="1:40" ht="20.25" hidden="1" customHeight="1">
      <c r="A333" s="47" t="s">
        <v>982</v>
      </c>
      <c r="B333" s="47" t="s">
        <v>919</v>
      </c>
      <c r="C333" s="47" t="s">
        <v>2915</v>
      </c>
      <c r="D333" s="47">
        <f t="shared" si="12"/>
        <v>755448</v>
      </c>
      <c r="E333" s="47" t="s">
        <v>2916</v>
      </c>
      <c r="F333" s="47" t="s">
        <v>2917</v>
      </c>
      <c r="G333" s="47" t="s">
        <v>931</v>
      </c>
      <c r="H333" s="47" t="s">
        <v>1146</v>
      </c>
      <c r="I333" s="47" t="s">
        <v>2859</v>
      </c>
      <c r="J333" s="47" t="s">
        <v>1055</v>
      </c>
      <c r="K333" s="47" t="s">
        <v>163</v>
      </c>
      <c r="L333" s="47" t="s">
        <v>2918</v>
      </c>
      <c r="M333" s="47" t="s">
        <v>1083</v>
      </c>
      <c r="N333" s="47" t="s">
        <v>929</v>
      </c>
      <c r="O333" s="47" t="s">
        <v>930</v>
      </c>
      <c r="P333" s="47" t="s">
        <v>930</v>
      </c>
      <c r="Q333" s="47"/>
      <c r="R333" s="47"/>
      <c r="S333" s="47"/>
      <c r="T333" s="47" t="s">
        <v>931</v>
      </c>
      <c r="U333" s="47" t="s">
        <v>931</v>
      </c>
      <c r="V333" s="47" t="s">
        <v>931</v>
      </c>
      <c r="W333" s="47" t="s">
        <v>931</v>
      </c>
      <c r="X333" s="47" t="s">
        <v>982</v>
      </c>
      <c r="Y333" s="47" t="s">
        <v>931</v>
      </c>
      <c r="Z333" s="47" t="s">
        <v>931</v>
      </c>
      <c r="AA333" s="47" t="s">
        <v>931</v>
      </c>
      <c r="AB333" s="47" t="s">
        <v>931</v>
      </c>
      <c r="AC333" s="47" t="s">
        <v>931</v>
      </c>
      <c r="AD333" s="47" t="s">
        <v>2860</v>
      </c>
      <c r="AE333" s="47" t="s">
        <v>937</v>
      </c>
      <c r="AF333" s="47" t="s">
        <v>931</v>
      </c>
      <c r="AG333" s="47" t="s">
        <v>931</v>
      </c>
      <c r="AH333" s="47" t="s">
        <v>931</v>
      </c>
      <c r="AI333" s="47" t="s">
        <v>931</v>
      </c>
      <c r="AJ333" s="47" t="s">
        <v>931</v>
      </c>
      <c r="AK333" s="47" t="s">
        <v>930</v>
      </c>
      <c r="AL333" s="47" t="s">
        <v>931</v>
      </c>
      <c r="AM333" s="47" t="s">
        <v>931</v>
      </c>
      <c r="AN333" s="37"/>
    </row>
    <row r="334" spans="1:40" ht="20.25" hidden="1" customHeight="1">
      <c r="A334" s="47" t="s">
        <v>982</v>
      </c>
      <c r="B334" s="47" t="s">
        <v>919</v>
      </c>
      <c r="C334" s="47" t="s">
        <v>2919</v>
      </c>
      <c r="D334" s="47">
        <f t="shared" si="12"/>
        <v>755456</v>
      </c>
      <c r="E334" s="47" t="s">
        <v>2920</v>
      </c>
      <c r="F334" s="47" t="s">
        <v>2921</v>
      </c>
      <c r="G334" s="47" t="s">
        <v>931</v>
      </c>
      <c r="H334" s="47" t="s">
        <v>1146</v>
      </c>
      <c r="I334" s="47" t="s">
        <v>2894</v>
      </c>
      <c r="J334" s="47" t="s">
        <v>1055</v>
      </c>
      <c r="K334" s="47" t="s">
        <v>163</v>
      </c>
      <c r="L334" s="47" t="s">
        <v>2922</v>
      </c>
      <c r="M334" s="47" t="s">
        <v>2896</v>
      </c>
      <c r="N334" s="47" t="s">
        <v>8</v>
      </c>
      <c r="O334" s="47" t="s">
        <v>930</v>
      </c>
      <c r="P334" s="47" t="s">
        <v>930</v>
      </c>
      <c r="Q334" s="47"/>
      <c r="R334" s="47"/>
      <c r="S334" s="47"/>
      <c r="T334" s="47" t="s">
        <v>931</v>
      </c>
      <c r="U334" s="47" t="s">
        <v>931</v>
      </c>
      <c r="V334" s="47" t="s">
        <v>931</v>
      </c>
      <c r="W334" s="47" t="s">
        <v>931</v>
      </c>
      <c r="X334" s="47" t="s">
        <v>931</v>
      </c>
      <c r="Y334" s="47" t="s">
        <v>931</v>
      </c>
      <c r="Z334" s="47" t="s">
        <v>931</v>
      </c>
      <c r="AA334" s="47" t="s">
        <v>931</v>
      </c>
      <c r="AB334" s="47" t="s">
        <v>931</v>
      </c>
      <c r="AC334" s="47" t="s">
        <v>931</v>
      </c>
      <c r="AD334" s="47" t="s">
        <v>2897</v>
      </c>
      <c r="AE334" s="47" t="s">
        <v>937</v>
      </c>
      <c r="AF334" s="47" t="s">
        <v>931</v>
      </c>
      <c r="AG334" s="47" t="s">
        <v>931</v>
      </c>
      <c r="AH334" s="47" t="s">
        <v>931</v>
      </c>
      <c r="AI334" s="47" t="s">
        <v>931</v>
      </c>
      <c r="AJ334" s="47" t="s">
        <v>931</v>
      </c>
      <c r="AK334" s="47" t="s">
        <v>930</v>
      </c>
      <c r="AL334" s="47" t="s">
        <v>931</v>
      </c>
      <c r="AM334" s="47" t="s">
        <v>931</v>
      </c>
      <c r="AN334" s="37"/>
    </row>
    <row r="335" spans="1:40" ht="20.25" hidden="1" customHeight="1">
      <c r="A335" s="47" t="s">
        <v>982</v>
      </c>
      <c r="B335" s="47" t="s">
        <v>919</v>
      </c>
      <c r="C335" s="47" t="s">
        <v>2923</v>
      </c>
      <c r="D335" s="47">
        <f t="shared" si="12"/>
        <v>755833</v>
      </c>
      <c r="E335" s="47" t="s">
        <v>1419</v>
      </c>
      <c r="F335" s="47" t="s">
        <v>1420</v>
      </c>
      <c r="G335" s="47" t="s">
        <v>931</v>
      </c>
      <c r="H335" s="47" t="s">
        <v>1421</v>
      </c>
      <c r="I335" s="47" t="s">
        <v>2906</v>
      </c>
      <c r="J335" s="47" t="s">
        <v>1013</v>
      </c>
      <c r="K335" s="47" t="s">
        <v>163</v>
      </c>
      <c r="L335" s="47" t="s">
        <v>1392</v>
      </c>
      <c r="M335" s="47" t="s">
        <v>1432</v>
      </c>
      <c r="N335" s="47" t="s">
        <v>1190</v>
      </c>
      <c r="O335" s="47" t="s">
        <v>2924</v>
      </c>
      <c r="P335" s="47" t="s">
        <v>2925</v>
      </c>
      <c r="Q335" s="47"/>
      <c r="R335" s="47"/>
      <c r="S335" s="47"/>
      <c r="T335" s="47" t="s">
        <v>931</v>
      </c>
      <c r="U335" s="47" t="s">
        <v>931</v>
      </c>
      <c r="V335" s="47" t="s">
        <v>931</v>
      </c>
      <c r="W335" s="47" t="s">
        <v>931</v>
      </c>
      <c r="X335" s="47" t="s">
        <v>982</v>
      </c>
      <c r="Y335" s="47" t="s">
        <v>931</v>
      </c>
      <c r="Z335" s="47" t="s">
        <v>931</v>
      </c>
      <c r="AA335" s="47" t="s">
        <v>931</v>
      </c>
      <c r="AB335" s="47" t="s">
        <v>931</v>
      </c>
      <c r="AC335" s="47" t="s">
        <v>1423</v>
      </c>
      <c r="AD335" s="47" t="s">
        <v>2909</v>
      </c>
      <c r="AE335" s="47" t="s">
        <v>937</v>
      </c>
      <c r="AF335" s="47" t="s">
        <v>931</v>
      </c>
      <c r="AG335" s="47" t="s">
        <v>931</v>
      </c>
      <c r="AH335" s="47" t="s">
        <v>931</v>
      </c>
      <c r="AI335" s="47" t="s">
        <v>931</v>
      </c>
      <c r="AJ335" s="47" t="s">
        <v>931</v>
      </c>
      <c r="AK335" s="47" t="s">
        <v>930</v>
      </c>
      <c r="AL335" s="47" t="s">
        <v>931</v>
      </c>
      <c r="AM335" s="47" t="s">
        <v>931</v>
      </c>
      <c r="AN335" s="37"/>
    </row>
    <row r="336" spans="1:40" ht="20.25" hidden="1" customHeight="1">
      <c r="A336" s="47" t="s">
        <v>982</v>
      </c>
      <c r="B336" s="47" t="s">
        <v>919</v>
      </c>
      <c r="C336" s="47" t="s">
        <v>2926</v>
      </c>
      <c r="D336" s="47">
        <f t="shared" si="12"/>
        <v>755834</v>
      </c>
      <c r="E336" s="47" t="s">
        <v>1438</v>
      </c>
      <c r="F336" s="47" t="s">
        <v>1439</v>
      </c>
      <c r="G336" s="47" t="s">
        <v>931</v>
      </c>
      <c r="H336" s="47" t="s">
        <v>1146</v>
      </c>
      <c r="I336" s="47" t="s">
        <v>2889</v>
      </c>
      <c r="J336" s="47" t="s">
        <v>1013</v>
      </c>
      <c r="K336" s="47" t="s">
        <v>163</v>
      </c>
      <c r="L336" s="47" t="s">
        <v>2718</v>
      </c>
      <c r="M336" s="47" t="s">
        <v>1258</v>
      </c>
      <c r="N336" s="47" t="s">
        <v>8</v>
      </c>
      <c r="O336" s="47" t="s">
        <v>930</v>
      </c>
      <c r="P336" s="47" t="s">
        <v>930</v>
      </c>
      <c r="Q336" s="47"/>
      <c r="R336" s="47"/>
      <c r="S336" s="47"/>
      <c r="T336" s="47" t="s">
        <v>931</v>
      </c>
      <c r="U336" s="47" t="s">
        <v>931</v>
      </c>
      <c r="V336" s="47" t="s">
        <v>931</v>
      </c>
      <c r="W336" s="47" t="s">
        <v>931</v>
      </c>
      <c r="X336" s="47" t="s">
        <v>931</v>
      </c>
      <c r="Y336" s="47" t="s">
        <v>931</v>
      </c>
      <c r="Z336" s="47" t="s">
        <v>931</v>
      </c>
      <c r="AA336" s="47" t="s">
        <v>931</v>
      </c>
      <c r="AB336" s="47" t="s">
        <v>931</v>
      </c>
      <c r="AC336" s="47" t="s">
        <v>931</v>
      </c>
      <c r="AD336" s="47" t="s">
        <v>2890</v>
      </c>
      <c r="AE336" s="47" t="s">
        <v>937</v>
      </c>
      <c r="AF336" s="47" t="s">
        <v>931</v>
      </c>
      <c r="AG336" s="47" t="s">
        <v>931</v>
      </c>
      <c r="AH336" s="47" t="s">
        <v>931</v>
      </c>
      <c r="AI336" s="47" t="s">
        <v>931</v>
      </c>
      <c r="AJ336" s="47" t="s">
        <v>931</v>
      </c>
      <c r="AK336" s="47" t="s">
        <v>930</v>
      </c>
      <c r="AL336" s="47" t="s">
        <v>931</v>
      </c>
      <c r="AM336" s="47" t="s">
        <v>931</v>
      </c>
      <c r="AN336" s="37"/>
    </row>
    <row r="337" spans="1:40" hidden="1">
      <c r="A337" s="47" t="s">
        <v>982</v>
      </c>
      <c r="B337" s="47" t="s">
        <v>919</v>
      </c>
      <c r="C337" s="47" t="s">
        <v>2927</v>
      </c>
      <c r="D337" s="47">
        <f t="shared" si="12"/>
        <v>755831</v>
      </c>
      <c r="E337" s="47" t="s">
        <v>2928</v>
      </c>
      <c r="F337" s="47" t="s">
        <v>2929</v>
      </c>
      <c r="G337" s="47" t="s">
        <v>420</v>
      </c>
      <c r="H337" s="47" t="s">
        <v>924</v>
      </c>
      <c r="I337" s="47" t="s">
        <v>2906</v>
      </c>
      <c r="J337" s="47" t="s">
        <v>1013</v>
      </c>
      <c r="K337" s="47" t="s">
        <v>163</v>
      </c>
      <c r="L337" s="47" t="s">
        <v>1432</v>
      </c>
      <c r="M337" s="47" t="s">
        <v>1432</v>
      </c>
      <c r="N337" s="47" t="s">
        <v>946</v>
      </c>
      <c r="O337" s="47" t="s">
        <v>2930</v>
      </c>
      <c r="P337" s="47" t="s">
        <v>2931</v>
      </c>
      <c r="Q337" s="47"/>
      <c r="R337" s="47"/>
      <c r="S337" s="47"/>
      <c r="T337" s="47" t="s">
        <v>2932</v>
      </c>
      <c r="U337" s="47" t="s">
        <v>931</v>
      </c>
      <c r="V337" s="47" t="s">
        <v>2933</v>
      </c>
      <c r="W337" s="47" t="s">
        <v>931</v>
      </c>
      <c r="X337" s="47" t="s">
        <v>931</v>
      </c>
      <c r="Y337" s="47" t="s">
        <v>420</v>
      </c>
      <c r="Z337" s="47" t="s">
        <v>2934</v>
      </c>
      <c r="AA337" s="47" t="s">
        <v>2935</v>
      </c>
      <c r="AB337" s="47" t="s">
        <v>931</v>
      </c>
      <c r="AC337" s="47" t="s">
        <v>1328</v>
      </c>
      <c r="AD337" s="47" t="s">
        <v>2909</v>
      </c>
      <c r="AE337" s="47" t="s">
        <v>937</v>
      </c>
      <c r="AF337" s="47" t="s">
        <v>931</v>
      </c>
      <c r="AG337" s="47" t="s">
        <v>931</v>
      </c>
      <c r="AH337" s="47" t="s">
        <v>931</v>
      </c>
      <c r="AI337" s="47" t="s">
        <v>931</v>
      </c>
      <c r="AJ337" s="47" t="s">
        <v>931</v>
      </c>
      <c r="AK337" s="47" t="s">
        <v>930</v>
      </c>
      <c r="AL337" s="47" t="s">
        <v>931</v>
      </c>
      <c r="AM337" s="47" t="s">
        <v>931</v>
      </c>
      <c r="AN337" s="37"/>
    </row>
    <row r="338" spans="1:40" hidden="1">
      <c r="A338" s="47" t="s">
        <v>982</v>
      </c>
      <c r="B338" s="47" t="s">
        <v>919</v>
      </c>
      <c r="C338" s="47" t="s">
        <v>2936</v>
      </c>
      <c r="D338" s="47">
        <f t="shared" si="12"/>
        <v>755712</v>
      </c>
      <c r="E338" s="47" t="s">
        <v>303</v>
      </c>
      <c r="F338" s="47" t="s">
        <v>304</v>
      </c>
      <c r="G338" s="47" t="s">
        <v>420</v>
      </c>
      <c r="H338" s="47" t="s">
        <v>1287</v>
      </c>
      <c r="I338" s="47" t="s">
        <v>2760</v>
      </c>
      <c r="J338" s="47" t="s">
        <v>1013</v>
      </c>
      <c r="K338" s="47" t="s">
        <v>163</v>
      </c>
      <c r="L338" s="47" t="s">
        <v>1432</v>
      </c>
      <c r="M338" s="47" t="s">
        <v>1269</v>
      </c>
      <c r="N338" s="47" t="s">
        <v>946</v>
      </c>
      <c r="O338" s="47" t="s">
        <v>930</v>
      </c>
      <c r="P338" s="47" t="s">
        <v>930</v>
      </c>
      <c r="Q338" s="47"/>
      <c r="R338" s="47"/>
      <c r="S338" s="47"/>
      <c r="T338" s="47" t="s">
        <v>931</v>
      </c>
      <c r="U338" s="47" t="s">
        <v>931</v>
      </c>
      <c r="V338" s="47" t="s">
        <v>931</v>
      </c>
      <c r="W338" s="47" t="s">
        <v>931</v>
      </c>
      <c r="X338" s="47" t="s">
        <v>931</v>
      </c>
      <c r="Y338" s="47" t="s">
        <v>420</v>
      </c>
      <c r="Z338" s="47" t="s">
        <v>2934</v>
      </c>
      <c r="AA338" s="47" t="s">
        <v>2935</v>
      </c>
      <c r="AB338" s="47" t="s">
        <v>931</v>
      </c>
      <c r="AC338" s="47" t="s">
        <v>2937</v>
      </c>
      <c r="AD338" s="47" t="s">
        <v>2761</v>
      </c>
      <c r="AE338" s="47" t="s">
        <v>937</v>
      </c>
      <c r="AF338" s="47" t="s">
        <v>931</v>
      </c>
      <c r="AG338" s="47" t="s">
        <v>931</v>
      </c>
      <c r="AH338" s="47" t="s">
        <v>931</v>
      </c>
      <c r="AI338" s="47" t="s">
        <v>931</v>
      </c>
      <c r="AJ338" s="47" t="s">
        <v>931</v>
      </c>
      <c r="AK338" s="47" t="s">
        <v>930</v>
      </c>
      <c r="AL338" s="47" t="s">
        <v>931</v>
      </c>
      <c r="AM338" s="47" t="s">
        <v>931</v>
      </c>
      <c r="AN338" s="37"/>
    </row>
    <row r="339" spans="1:40" hidden="1">
      <c r="A339" s="47" t="s">
        <v>982</v>
      </c>
      <c r="B339" s="47" t="s">
        <v>919</v>
      </c>
      <c r="C339" s="47" t="s">
        <v>2938</v>
      </c>
      <c r="D339" s="47">
        <f t="shared" si="12"/>
        <v>755717</v>
      </c>
      <c r="E339" s="47" t="s">
        <v>2939</v>
      </c>
      <c r="F339" s="47" t="s">
        <v>2940</v>
      </c>
      <c r="G339" s="47" t="s">
        <v>396</v>
      </c>
      <c r="H339" s="47" t="s">
        <v>969</v>
      </c>
      <c r="I339" s="47" t="s">
        <v>2760</v>
      </c>
      <c r="J339" s="47" t="s">
        <v>1013</v>
      </c>
      <c r="K339" s="47" t="s">
        <v>163</v>
      </c>
      <c r="L339" s="47" t="s">
        <v>1102</v>
      </c>
      <c r="M339" s="47" t="s">
        <v>1269</v>
      </c>
      <c r="N339" s="47" t="s">
        <v>946</v>
      </c>
      <c r="O339" s="47" t="s">
        <v>930</v>
      </c>
      <c r="P339" s="47" t="s">
        <v>930</v>
      </c>
      <c r="Q339" s="47"/>
      <c r="R339" s="47"/>
      <c r="S339" s="47"/>
      <c r="T339" s="47" t="s">
        <v>931</v>
      </c>
      <c r="U339" s="47" t="s">
        <v>931</v>
      </c>
      <c r="V339" s="47" t="s">
        <v>931</v>
      </c>
      <c r="W339" s="47" t="s">
        <v>931</v>
      </c>
      <c r="X339" s="47" t="s">
        <v>931</v>
      </c>
      <c r="Y339" s="47" t="s">
        <v>396</v>
      </c>
      <c r="Z339" s="47" t="s">
        <v>1303</v>
      </c>
      <c r="AA339" s="47" t="s">
        <v>1304</v>
      </c>
      <c r="AB339" s="47" t="s">
        <v>931</v>
      </c>
      <c r="AC339" s="47" t="s">
        <v>2941</v>
      </c>
      <c r="AD339" s="47" t="s">
        <v>2761</v>
      </c>
      <c r="AE339" s="47" t="s">
        <v>937</v>
      </c>
      <c r="AF339" s="47" t="s">
        <v>931</v>
      </c>
      <c r="AG339" s="47" t="s">
        <v>2942</v>
      </c>
      <c r="AH339" s="47" t="s">
        <v>364</v>
      </c>
      <c r="AI339" s="47" t="s">
        <v>931</v>
      </c>
      <c r="AJ339" s="47" t="s">
        <v>365</v>
      </c>
      <c r="AK339" s="47" t="s">
        <v>930</v>
      </c>
      <c r="AL339" s="47" t="s">
        <v>931</v>
      </c>
      <c r="AM339" s="47" t="s">
        <v>931</v>
      </c>
      <c r="AN339" s="37"/>
    </row>
    <row r="340" spans="1:40" hidden="1">
      <c r="A340" s="47" t="s">
        <v>982</v>
      </c>
      <c r="B340" s="47" t="s">
        <v>919</v>
      </c>
      <c r="C340" s="47" t="s">
        <v>2943</v>
      </c>
      <c r="D340" s="47">
        <f t="shared" si="12"/>
        <v>755345</v>
      </c>
      <c r="E340" s="47" t="s">
        <v>216</v>
      </c>
      <c r="F340" s="47" t="s">
        <v>217</v>
      </c>
      <c r="G340" s="47" t="s">
        <v>875</v>
      </c>
      <c r="H340" s="47" t="s">
        <v>924</v>
      </c>
      <c r="I340" s="47" t="s">
        <v>2944</v>
      </c>
      <c r="J340" s="47" t="s">
        <v>1441</v>
      </c>
      <c r="K340" s="47" t="s">
        <v>163</v>
      </c>
      <c r="L340" s="47" t="s">
        <v>1258</v>
      </c>
      <c r="M340" s="47" t="s">
        <v>1511</v>
      </c>
      <c r="N340" s="47" t="s">
        <v>946</v>
      </c>
      <c r="O340" s="47" t="s">
        <v>2945</v>
      </c>
      <c r="P340" s="47" t="s">
        <v>2946</v>
      </c>
      <c r="Q340" s="47"/>
      <c r="R340" s="47"/>
      <c r="S340" s="47"/>
      <c r="T340" s="47" t="s">
        <v>2947</v>
      </c>
      <c r="U340" s="47" t="s">
        <v>931</v>
      </c>
      <c r="V340" s="47" t="s">
        <v>2948</v>
      </c>
      <c r="W340" s="47" t="s">
        <v>931</v>
      </c>
      <c r="X340" s="47" t="s">
        <v>931</v>
      </c>
      <c r="Y340" s="47" t="s">
        <v>875</v>
      </c>
      <c r="Z340" s="47" t="s">
        <v>2949</v>
      </c>
      <c r="AA340" s="47" t="s">
        <v>2950</v>
      </c>
      <c r="AB340" s="47" t="s">
        <v>931</v>
      </c>
      <c r="AC340" s="47" t="s">
        <v>438</v>
      </c>
      <c r="AD340" s="47" t="s">
        <v>2951</v>
      </c>
      <c r="AE340" s="47" t="s">
        <v>937</v>
      </c>
      <c r="AF340" s="47" t="s">
        <v>2952</v>
      </c>
      <c r="AG340" s="47" t="s">
        <v>2952</v>
      </c>
      <c r="AH340" s="47" t="s">
        <v>931</v>
      </c>
      <c r="AI340" s="47" t="s">
        <v>931</v>
      </c>
      <c r="AJ340" s="47" t="s">
        <v>931</v>
      </c>
      <c r="AK340" s="47" t="s">
        <v>930</v>
      </c>
      <c r="AL340" s="47" t="s">
        <v>931</v>
      </c>
      <c r="AM340" s="47" t="s">
        <v>931</v>
      </c>
      <c r="AN340" s="37"/>
    </row>
    <row r="341" spans="1:40" hidden="1">
      <c r="A341" s="47" t="s">
        <v>982</v>
      </c>
      <c r="B341" s="47" t="s">
        <v>919</v>
      </c>
      <c r="C341" s="47" t="s">
        <v>2953</v>
      </c>
      <c r="D341" s="47">
        <f t="shared" si="12"/>
        <v>755714</v>
      </c>
      <c r="E341" s="47" t="s">
        <v>330</v>
      </c>
      <c r="F341" s="47" t="s">
        <v>331</v>
      </c>
      <c r="G341" s="47" t="s">
        <v>368</v>
      </c>
      <c r="H341" s="47" t="s">
        <v>924</v>
      </c>
      <c r="I341" s="47" t="s">
        <v>2760</v>
      </c>
      <c r="J341" s="47" t="s">
        <v>1013</v>
      </c>
      <c r="K341" s="47" t="s">
        <v>163</v>
      </c>
      <c r="L341" s="47" t="s">
        <v>1102</v>
      </c>
      <c r="M341" s="47" t="s">
        <v>1269</v>
      </c>
      <c r="N341" s="47" t="s">
        <v>946</v>
      </c>
      <c r="O341" s="47" t="s">
        <v>930</v>
      </c>
      <c r="P341" s="47" t="s">
        <v>930</v>
      </c>
      <c r="Q341" s="47"/>
      <c r="R341" s="47"/>
      <c r="S341" s="47"/>
      <c r="T341" s="47" t="s">
        <v>931</v>
      </c>
      <c r="U341" s="47" t="s">
        <v>931</v>
      </c>
      <c r="V341" s="47" t="s">
        <v>931</v>
      </c>
      <c r="W341" s="47" t="s">
        <v>931</v>
      </c>
      <c r="X341" s="47" t="s">
        <v>931</v>
      </c>
      <c r="Y341" s="47" t="s">
        <v>368</v>
      </c>
      <c r="Z341" s="47" t="s">
        <v>2243</v>
      </c>
      <c r="AA341" s="47" t="s">
        <v>2244</v>
      </c>
      <c r="AB341" s="47" t="s">
        <v>931</v>
      </c>
      <c r="AC341" s="47" t="s">
        <v>37</v>
      </c>
      <c r="AD341" s="47" t="s">
        <v>2761</v>
      </c>
      <c r="AE341" s="47" t="s">
        <v>937</v>
      </c>
      <c r="AF341" s="47" t="s">
        <v>931</v>
      </c>
      <c r="AG341" s="47" t="s">
        <v>2954</v>
      </c>
      <c r="AH341" s="47" t="s">
        <v>1067</v>
      </c>
      <c r="AI341" s="47" t="s">
        <v>931</v>
      </c>
      <c r="AJ341" s="47" t="s">
        <v>365</v>
      </c>
      <c r="AK341" s="47" t="s">
        <v>930</v>
      </c>
      <c r="AL341" s="47" t="s">
        <v>931</v>
      </c>
      <c r="AM341" s="47" t="s">
        <v>931</v>
      </c>
      <c r="AN341" s="37"/>
    </row>
    <row r="342" spans="1:40" hidden="1">
      <c r="A342" s="47" t="s">
        <v>982</v>
      </c>
      <c r="B342" s="47" t="s">
        <v>919</v>
      </c>
      <c r="C342" s="47" t="s">
        <v>2955</v>
      </c>
      <c r="D342" s="47">
        <f t="shared" si="12"/>
        <v>755711</v>
      </c>
      <c r="E342" s="47" t="s">
        <v>292</v>
      </c>
      <c r="F342" s="47" t="s">
        <v>293</v>
      </c>
      <c r="G342" s="47" t="s">
        <v>44</v>
      </c>
      <c r="H342" s="47" t="s">
        <v>924</v>
      </c>
      <c r="I342" s="47" t="s">
        <v>2760</v>
      </c>
      <c r="J342" s="47" t="s">
        <v>1013</v>
      </c>
      <c r="K342" s="47" t="s">
        <v>163</v>
      </c>
      <c r="L342" s="47" t="s">
        <v>1432</v>
      </c>
      <c r="M342" s="47" t="s">
        <v>1269</v>
      </c>
      <c r="N342" s="47" t="s">
        <v>946</v>
      </c>
      <c r="O342" s="47" t="s">
        <v>930</v>
      </c>
      <c r="P342" s="47" t="s">
        <v>930</v>
      </c>
      <c r="Q342" s="47"/>
      <c r="R342" s="47"/>
      <c r="S342" s="47"/>
      <c r="T342" s="47" t="s">
        <v>931</v>
      </c>
      <c r="U342" s="47" t="s">
        <v>931</v>
      </c>
      <c r="V342" s="47" t="s">
        <v>931</v>
      </c>
      <c r="W342" s="47" t="s">
        <v>931</v>
      </c>
      <c r="X342" s="47" t="s">
        <v>982</v>
      </c>
      <c r="Y342" s="47" t="s">
        <v>44</v>
      </c>
      <c r="Z342" s="47" t="s">
        <v>1209</v>
      </c>
      <c r="AA342" s="47" t="s">
        <v>1210</v>
      </c>
      <c r="AB342" s="47" t="s">
        <v>931</v>
      </c>
      <c r="AC342" s="47" t="s">
        <v>837</v>
      </c>
      <c r="AD342" s="47" t="s">
        <v>2761</v>
      </c>
      <c r="AE342" s="47" t="s">
        <v>937</v>
      </c>
      <c r="AF342" s="47" t="s">
        <v>931</v>
      </c>
      <c r="AG342" s="47" t="s">
        <v>931</v>
      </c>
      <c r="AH342" s="47" t="s">
        <v>931</v>
      </c>
      <c r="AI342" s="47" t="s">
        <v>931</v>
      </c>
      <c r="AJ342" s="47" t="s">
        <v>931</v>
      </c>
      <c r="AK342" s="47" t="s">
        <v>930</v>
      </c>
      <c r="AL342" s="47" t="s">
        <v>931</v>
      </c>
      <c r="AM342" s="47" t="s">
        <v>931</v>
      </c>
      <c r="AN342" s="37"/>
    </row>
    <row r="343" spans="1:40" hidden="1">
      <c r="A343" s="47" t="s">
        <v>982</v>
      </c>
      <c r="B343" s="47" t="s">
        <v>919</v>
      </c>
      <c r="C343" s="47" t="s">
        <v>2956</v>
      </c>
      <c r="D343" s="47">
        <f t="shared" si="12"/>
        <v>755729</v>
      </c>
      <c r="E343" s="47" t="s">
        <v>295</v>
      </c>
      <c r="F343" s="47" t="s">
        <v>296</v>
      </c>
      <c r="G343" s="47" t="s">
        <v>862</v>
      </c>
      <c r="H343" s="47" t="s">
        <v>1100</v>
      </c>
      <c r="I343" s="47" t="s">
        <v>2760</v>
      </c>
      <c r="J343" s="47" t="s">
        <v>1013</v>
      </c>
      <c r="K343" s="47" t="s">
        <v>163</v>
      </c>
      <c r="L343" s="47" t="s">
        <v>1269</v>
      </c>
      <c r="M343" s="47" t="s">
        <v>1269</v>
      </c>
      <c r="N343" s="47" t="s">
        <v>946</v>
      </c>
      <c r="O343" s="47" t="s">
        <v>930</v>
      </c>
      <c r="P343" s="47" t="s">
        <v>930</v>
      </c>
      <c r="Q343" s="47"/>
      <c r="R343" s="47"/>
      <c r="S343" s="47"/>
      <c r="T343" s="47" t="s">
        <v>931</v>
      </c>
      <c r="U343" s="47" t="s">
        <v>931</v>
      </c>
      <c r="V343" s="47" t="s">
        <v>931</v>
      </c>
      <c r="W343" s="47" t="s">
        <v>931</v>
      </c>
      <c r="X343" s="47" t="s">
        <v>931</v>
      </c>
      <c r="Y343" s="47" t="s">
        <v>862</v>
      </c>
      <c r="Z343" s="47" t="s">
        <v>1747</v>
      </c>
      <c r="AA343" s="47" t="s">
        <v>1748</v>
      </c>
      <c r="AB343" s="47" t="s">
        <v>931</v>
      </c>
      <c r="AC343" s="47" t="s">
        <v>435</v>
      </c>
      <c r="AD343" s="47" t="s">
        <v>2761</v>
      </c>
      <c r="AE343" s="47" t="s">
        <v>1750</v>
      </c>
      <c r="AF343" s="47" t="s">
        <v>931</v>
      </c>
      <c r="AG343" s="47" t="s">
        <v>2957</v>
      </c>
      <c r="AH343" s="47" t="s">
        <v>931</v>
      </c>
      <c r="AI343" s="47" t="s">
        <v>931</v>
      </c>
      <c r="AJ343" s="47" t="s">
        <v>931</v>
      </c>
      <c r="AK343" s="47" t="s">
        <v>930</v>
      </c>
      <c r="AL343" s="47" t="s">
        <v>931</v>
      </c>
      <c r="AM343" s="47" t="s">
        <v>931</v>
      </c>
      <c r="AN343" s="37"/>
    </row>
    <row r="344" spans="1:40" hidden="1">
      <c r="A344" s="47" t="s">
        <v>982</v>
      </c>
      <c r="B344" s="47" t="s">
        <v>919</v>
      </c>
      <c r="C344" s="47" t="s">
        <v>2958</v>
      </c>
      <c r="D344" s="47">
        <f t="shared" si="12"/>
        <v>754880</v>
      </c>
      <c r="E344" s="47" t="s">
        <v>212</v>
      </c>
      <c r="F344" s="47" t="s">
        <v>213</v>
      </c>
      <c r="G344" s="47" t="s">
        <v>509</v>
      </c>
      <c r="H344" s="47" t="s">
        <v>1100</v>
      </c>
      <c r="I344" s="47" t="s">
        <v>1195</v>
      </c>
      <c r="J344" s="47" t="s">
        <v>1013</v>
      </c>
      <c r="K344" s="47" t="s">
        <v>163</v>
      </c>
      <c r="L344" s="47" t="s">
        <v>2959</v>
      </c>
      <c r="M344" s="47" t="s">
        <v>1197</v>
      </c>
      <c r="N344" s="47" t="s">
        <v>946</v>
      </c>
      <c r="O344" s="47" t="s">
        <v>930</v>
      </c>
      <c r="P344" s="47" t="s">
        <v>930</v>
      </c>
      <c r="Q344" s="47"/>
      <c r="R344" s="47"/>
      <c r="S344" s="47"/>
      <c r="T344" s="47" t="s">
        <v>931</v>
      </c>
      <c r="U344" s="47" t="s">
        <v>931</v>
      </c>
      <c r="V344" s="47" t="s">
        <v>931</v>
      </c>
      <c r="W344" s="47" t="s">
        <v>931</v>
      </c>
      <c r="X344" s="47" t="s">
        <v>931</v>
      </c>
      <c r="Y344" s="47" t="s">
        <v>509</v>
      </c>
      <c r="Z344" s="47" t="s">
        <v>2886</v>
      </c>
      <c r="AA344" s="47" t="s">
        <v>2887</v>
      </c>
      <c r="AB344" s="47" t="s">
        <v>931</v>
      </c>
      <c r="AC344" s="47" t="s">
        <v>515</v>
      </c>
      <c r="AD344" s="47" t="s">
        <v>1203</v>
      </c>
      <c r="AE344" s="47" t="s">
        <v>937</v>
      </c>
      <c r="AF344" s="47" t="s">
        <v>931</v>
      </c>
      <c r="AG344" s="47" t="s">
        <v>931</v>
      </c>
      <c r="AH344" s="47" t="s">
        <v>1067</v>
      </c>
      <c r="AI344" s="47" t="s">
        <v>931</v>
      </c>
      <c r="AJ344" s="47" t="s">
        <v>365</v>
      </c>
      <c r="AK344" s="47" t="s">
        <v>930</v>
      </c>
      <c r="AL344" s="47" t="s">
        <v>931</v>
      </c>
      <c r="AM344" s="47" t="s">
        <v>931</v>
      </c>
      <c r="AN344" s="37"/>
    </row>
    <row r="345" spans="1:40" hidden="1">
      <c r="A345" s="47" t="s">
        <v>982</v>
      </c>
      <c r="B345" s="47" t="s">
        <v>919</v>
      </c>
      <c r="C345" s="47" t="s">
        <v>2960</v>
      </c>
      <c r="D345" s="47">
        <f t="shared" si="12"/>
        <v>754884</v>
      </c>
      <c r="E345" s="47" t="s">
        <v>216</v>
      </c>
      <c r="F345" s="47" t="s">
        <v>217</v>
      </c>
      <c r="G345" s="47" t="s">
        <v>482</v>
      </c>
      <c r="H345" s="47" t="s">
        <v>924</v>
      </c>
      <c r="I345" s="47" t="s">
        <v>1195</v>
      </c>
      <c r="J345" s="47" t="s">
        <v>1013</v>
      </c>
      <c r="K345" s="47" t="s">
        <v>163</v>
      </c>
      <c r="L345" s="47" t="s">
        <v>2961</v>
      </c>
      <c r="M345" s="47" t="s">
        <v>1197</v>
      </c>
      <c r="N345" s="47" t="s">
        <v>946</v>
      </c>
      <c r="O345" s="47" t="s">
        <v>930</v>
      </c>
      <c r="P345" s="47" t="s">
        <v>930</v>
      </c>
      <c r="Q345" s="47"/>
      <c r="R345" s="47"/>
      <c r="S345" s="47"/>
      <c r="T345" s="47" t="s">
        <v>931</v>
      </c>
      <c r="U345" s="47" t="s">
        <v>931</v>
      </c>
      <c r="V345" s="47" t="s">
        <v>931</v>
      </c>
      <c r="W345" s="47" t="s">
        <v>931</v>
      </c>
      <c r="X345" s="47" t="s">
        <v>931</v>
      </c>
      <c r="Y345" s="47" t="s">
        <v>482</v>
      </c>
      <c r="Z345" s="47" t="s">
        <v>2962</v>
      </c>
      <c r="AA345" s="47" t="s">
        <v>2963</v>
      </c>
      <c r="AB345" s="47" t="s">
        <v>931</v>
      </c>
      <c r="AC345" s="47" t="s">
        <v>438</v>
      </c>
      <c r="AD345" s="47" t="s">
        <v>1203</v>
      </c>
      <c r="AE345" s="47" t="s">
        <v>937</v>
      </c>
      <c r="AF345" s="47" t="s">
        <v>931</v>
      </c>
      <c r="AG345" s="47" t="s">
        <v>2964</v>
      </c>
      <c r="AH345" s="47" t="s">
        <v>931</v>
      </c>
      <c r="AI345" s="47" t="s">
        <v>931</v>
      </c>
      <c r="AJ345" s="47" t="s">
        <v>931</v>
      </c>
      <c r="AK345" s="47" t="s">
        <v>930</v>
      </c>
      <c r="AL345" s="47" t="s">
        <v>931</v>
      </c>
      <c r="AM345" s="47" t="s">
        <v>931</v>
      </c>
      <c r="AN345" s="37"/>
    </row>
    <row r="346" spans="1:40" hidden="1">
      <c r="A346" s="47" t="s">
        <v>982</v>
      </c>
      <c r="B346" s="47" t="s">
        <v>919</v>
      </c>
      <c r="C346" s="47" t="s">
        <v>2965</v>
      </c>
      <c r="D346" s="47">
        <f t="shared" si="12"/>
        <v>755728</v>
      </c>
      <c r="E346" s="47" t="s">
        <v>314</v>
      </c>
      <c r="F346" s="47" t="s">
        <v>315</v>
      </c>
      <c r="G346" s="47" t="s">
        <v>36</v>
      </c>
      <c r="H346" s="47" t="s">
        <v>1100</v>
      </c>
      <c r="I346" s="47" t="s">
        <v>2760</v>
      </c>
      <c r="J346" s="47" t="s">
        <v>1013</v>
      </c>
      <c r="K346" s="47" t="s">
        <v>163</v>
      </c>
      <c r="L346" s="47" t="s">
        <v>1102</v>
      </c>
      <c r="M346" s="47" t="s">
        <v>1269</v>
      </c>
      <c r="N346" s="47" t="s">
        <v>946</v>
      </c>
      <c r="O346" s="47" t="s">
        <v>930</v>
      </c>
      <c r="P346" s="47" t="s">
        <v>930</v>
      </c>
      <c r="Q346" s="47"/>
      <c r="R346" s="47"/>
      <c r="S346" s="47"/>
      <c r="T346" s="47" t="s">
        <v>931</v>
      </c>
      <c r="U346" s="47" t="s">
        <v>931</v>
      </c>
      <c r="V346" s="47" t="s">
        <v>931</v>
      </c>
      <c r="W346" s="47" t="s">
        <v>931</v>
      </c>
      <c r="X346" s="47" t="s">
        <v>931</v>
      </c>
      <c r="Y346" s="47" t="s">
        <v>36</v>
      </c>
      <c r="Z346" s="47" t="s">
        <v>1126</v>
      </c>
      <c r="AA346" s="47" t="s">
        <v>1127</v>
      </c>
      <c r="AB346" s="47" t="s">
        <v>931</v>
      </c>
      <c r="AC346" s="47" t="s">
        <v>359</v>
      </c>
      <c r="AD346" s="47" t="s">
        <v>2761</v>
      </c>
      <c r="AE346" s="47" t="s">
        <v>937</v>
      </c>
      <c r="AF346" s="47" t="s">
        <v>931</v>
      </c>
      <c r="AG346" s="47" t="s">
        <v>931</v>
      </c>
      <c r="AH346" s="47" t="s">
        <v>931</v>
      </c>
      <c r="AI346" s="47" t="s">
        <v>931</v>
      </c>
      <c r="AJ346" s="47" t="s">
        <v>931</v>
      </c>
      <c r="AK346" s="47" t="s">
        <v>930</v>
      </c>
      <c r="AL346" s="47" t="s">
        <v>931</v>
      </c>
      <c r="AM346" s="47" t="s">
        <v>931</v>
      </c>
      <c r="AN346" s="37"/>
    </row>
    <row r="347" spans="1:40" hidden="1">
      <c r="A347" s="47" t="s">
        <v>982</v>
      </c>
      <c r="B347" s="47" t="s">
        <v>919</v>
      </c>
      <c r="C347" s="47" t="s">
        <v>2966</v>
      </c>
      <c r="D347" s="47">
        <f t="shared" si="12"/>
        <v>165690</v>
      </c>
      <c r="E347" s="47" t="s">
        <v>249</v>
      </c>
      <c r="F347" s="47" t="s">
        <v>250</v>
      </c>
      <c r="G347" s="47" t="s">
        <v>2967</v>
      </c>
      <c r="H347" s="47" t="s">
        <v>924</v>
      </c>
      <c r="I347" s="47" t="s">
        <v>2968</v>
      </c>
      <c r="J347" s="47" t="s">
        <v>1024</v>
      </c>
      <c r="K347" s="47" t="s">
        <v>163</v>
      </c>
      <c r="L347" s="47" t="s">
        <v>928</v>
      </c>
      <c r="M347" s="47" t="s">
        <v>2248</v>
      </c>
      <c r="N347" s="47" t="s">
        <v>946</v>
      </c>
      <c r="O347" s="47" t="s">
        <v>930</v>
      </c>
      <c r="P347" s="47" t="s">
        <v>930</v>
      </c>
      <c r="Q347" s="47"/>
      <c r="R347" s="47"/>
      <c r="S347" s="47"/>
      <c r="T347" s="47" t="s">
        <v>2969</v>
      </c>
      <c r="U347" s="47" t="s">
        <v>931</v>
      </c>
      <c r="V347" s="47" t="s">
        <v>2970</v>
      </c>
      <c r="W347" s="47" t="s">
        <v>931</v>
      </c>
      <c r="X347" s="47" t="s">
        <v>932</v>
      </c>
      <c r="Y347" s="47" t="s">
        <v>2967</v>
      </c>
      <c r="Z347" s="47" t="s">
        <v>2971</v>
      </c>
      <c r="AA347" s="47" t="s">
        <v>2972</v>
      </c>
      <c r="AB347" s="47" t="s">
        <v>931</v>
      </c>
      <c r="AC347" s="47" t="s">
        <v>396</v>
      </c>
      <c r="AD347" s="47" t="s">
        <v>2973</v>
      </c>
      <c r="AE347" s="47" t="s">
        <v>937</v>
      </c>
      <c r="AF347" s="47" t="s">
        <v>931</v>
      </c>
      <c r="AG347" s="47" t="s">
        <v>931</v>
      </c>
      <c r="AH347" s="47" t="s">
        <v>364</v>
      </c>
      <c r="AI347" s="47" t="s">
        <v>931</v>
      </c>
      <c r="AJ347" s="47" t="s">
        <v>365</v>
      </c>
      <c r="AK347" s="47" t="s">
        <v>930</v>
      </c>
      <c r="AL347" s="47" t="s">
        <v>931</v>
      </c>
      <c r="AM347" s="47" t="s">
        <v>931</v>
      </c>
      <c r="AN347" s="37"/>
    </row>
    <row r="348" spans="1:40" hidden="1">
      <c r="A348" s="47" t="s">
        <v>982</v>
      </c>
      <c r="B348" s="47" t="s">
        <v>919</v>
      </c>
      <c r="C348" s="47" t="s">
        <v>2974</v>
      </c>
      <c r="D348" s="47">
        <f t="shared" si="12"/>
        <v>165279</v>
      </c>
      <c r="E348" s="47" t="s">
        <v>212</v>
      </c>
      <c r="F348" s="47" t="s">
        <v>213</v>
      </c>
      <c r="G348" s="47" t="s">
        <v>2975</v>
      </c>
      <c r="H348" s="47" t="s">
        <v>1100</v>
      </c>
      <c r="I348" s="47" t="s">
        <v>2976</v>
      </c>
      <c r="J348" s="47" t="s">
        <v>1024</v>
      </c>
      <c r="K348" s="47" t="s">
        <v>163</v>
      </c>
      <c r="L348" s="47" t="s">
        <v>2977</v>
      </c>
      <c r="M348" s="47" t="s">
        <v>2978</v>
      </c>
      <c r="N348" s="47" t="s">
        <v>946</v>
      </c>
      <c r="O348" s="47" t="s">
        <v>930</v>
      </c>
      <c r="P348" s="47" t="s">
        <v>930</v>
      </c>
      <c r="Q348" s="47"/>
      <c r="R348" s="47"/>
      <c r="S348" s="47"/>
      <c r="T348" s="47" t="s">
        <v>2979</v>
      </c>
      <c r="U348" s="47" t="s">
        <v>2980</v>
      </c>
      <c r="V348" s="47" t="s">
        <v>442</v>
      </c>
      <c r="W348" s="47" t="s">
        <v>931</v>
      </c>
      <c r="X348" s="47" t="s">
        <v>995</v>
      </c>
      <c r="Y348" s="47" t="s">
        <v>2975</v>
      </c>
      <c r="Z348" s="47" t="s">
        <v>2981</v>
      </c>
      <c r="AA348" s="47" t="s">
        <v>2982</v>
      </c>
      <c r="AB348" s="47" t="s">
        <v>2983</v>
      </c>
      <c r="AC348" s="47" t="s">
        <v>515</v>
      </c>
      <c r="AD348" s="47" t="s">
        <v>2984</v>
      </c>
      <c r="AE348" s="47" t="s">
        <v>937</v>
      </c>
      <c r="AF348" s="47" t="s">
        <v>931</v>
      </c>
      <c r="AG348" s="47" t="s">
        <v>931</v>
      </c>
      <c r="AH348" s="47" t="s">
        <v>364</v>
      </c>
      <c r="AI348" s="47" t="s">
        <v>931</v>
      </c>
      <c r="AJ348" s="47" t="s">
        <v>365</v>
      </c>
      <c r="AK348" s="47" t="s">
        <v>930</v>
      </c>
      <c r="AL348" s="47" t="s">
        <v>931</v>
      </c>
      <c r="AM348" s="47" t="s">
        <v>931</v>
      </c>
      <c r="AN348" s="37"/>
    </row>
    <row r="349" spans="1:40" hidden="1">
      <c r="A349" s="47" t="s">
        <v>982</v>
      </c>
      <c r="B349" s="47" t="s">
        <v>919</v>
      </c>
      <c r="C349" s="47" t="s">
        <v>2985</v>
      </c>
      <c r="D349" s="47">
        <f t="shared" si="12"/>
        <v>165278</v>
      </c>
      <c r="E349" s="47" t="s">
        <v>159</v>
      </c>
      <c r="F349" s="47" t="s">
        <v>160</v>
      </c>
      <c r="G349" s="47" t="s">
        <v>536</v>
      </c>
      <c r="H349" s="47" t="s">
        <v>1608</v>
      </c>
      <c r="I349" s="47" t="s">
        <v>2986</v>
      </c>
      <c r="J349" s="47" t="s">
        <v>1024</v>
      </c>
      <c r="K349" s="47" t="s">
        <v>163</v>
      </c>
      <c r="L349" s="47" t="s">
        <v>2987</v>
      </c>
      <c r="M349" s="47" t="s">
        <v>2988</v>
      </c>
      <c r="N349" s="47" t="s">
        <v>946</v>
      </c>
      <c r="O349" s="47" t="s">
        <v>930</v>
      </c>
      <c r="P349" s="47" t="s">
        <v>930</v>
      </c>
      <c r="Q349" s="47"/>
      <c r="R349" s="47"/>
      <c r="S349" s="47"/>
      <c r="T349" s="47" t="s">
        <v>2989</v>
      </c>
      <c r="U349" s="47" t="s">
        <v>2990</v>
      </c>
      <c r="V349" s="47" t="s">
        <v>521</v>
      </c>
      <c r="W349" s="47" t="s">
        <v>931</v>
      </c>
      <c r="X349" s="47" t="s">
        <v>932</v>
      </c>
      <c r="Y349" s="47" t="s">
        <v>536</v>
      </c>
      <c r="Z349" s="47" t="s">
        <v>1314</v>
      </c>
      <c r="AA349" s="47" t="s">
        <v>1315</v>
      </c>
      <c r="AB349" s="47" t="s">
        <v>931</v>
      </c>
      <c r="AC349" s="47" t="s">
        <v>447</v>
      </c>
      <c r="AD349" s="47" t="s">
        <v>2991</v>
      </c>
      <c r="AE349" s="47" t="s">
        <v>937</v>
      </c>
      <c r="AF349" s="47" t="s">
        <v>931</v>
      </c>
      <c r="AG349" s="47" t="s">
        <v>931</v>
      </c>
      <c r="AH349" s="47" t="s">
        <v>364</v>
      </c>
      <c r="AI349" s="47" t="s">
        <v>931</v>
      </c>
      <c r="AJ349" s="47" t="s">
        <v>365</v>
      </c>
      <c r="AK349" s="47" t="s">
        <v>930</v>
      </c>
      <c r="AL349" s="47" t="s">
        <v>931</v>
      </c>
      <c r="AM349" s="47" t="s">
        <v>931</v>
      </c>
      <c r="AN349" s="37"/>
    </row>
    <row r="350" spans="1:40" hidden="1">
      <c r="A350" s="47" t="s">
        <v>982</v>
      </c>
      <c r="B350" s="47" t="s">
        <v>919</v>
      </c>
      <c r="C350" s="47" t="s">
        <v>2992</v>
      </c>
      <c r="D350" s="47">
        <f t="shared" si="12"/>
        <v>165293</v>
      </c>
      <c r="E350" s="47" t="s">
        <v>159</v>
      </c>
      <c r="F350" s="47" t="s">
        <v>160</v>
      </c>
      <c r="G350" s="47" t="s">
        <v>485</v>
      </c>
      <c r="H350" s="47" t="s">
        <v>1608</v>
      </c>
      <c r="I350" s="47" t="s">
        <v>2993</v>
      </c>
      <c r="J350" s="47" t="s">
        <v>1024</v>
      </c>
      <c r="K350" s="47" t="s">
        <v>163</v>
      </c>
      <c r="L350" s="47" t="s">
        <v>2994</v>
      </c>
      <c r="M350" s="47" t="s">
        <v>2995</v>
      </c>
      <c r="N350" s="47" t="s">
        <v>946</v>
      </c>
      <c r="O350" s="47" t="s">
        <v>930</v>
      </c>
      <c r="P350" s="47" t="s">
        <v>930</v>
      </c>
      <c r="Q350" s="47"/>
      <c r="R350" s="47"/>
      <c r="S350" s="47"/>
      <c r="T350" s="47" t="s">
        <v>2996</v>
      </c>
      <c r="U350" s="47" t="s">
        <v>2997</v>
      </c>
      <c r="V350" s="47" t="s">
        <v>2998</v>
      </c>
      <c r="W350" s="47" t="s">
        <v>931</v>
      </c>
      <c r="X350" s="47" t="s">
        <v>995</v>
      </c>
      <c r="Y350" s="47" t="s">
        <v>485</v>
      </c>
      <c r="Z350" s="47" t="s">
        <v>2999</v>
      </c>
      <c r="AA350" s="47" t="s">
        <v>3000</v>
      </c>
      <c r="AB350" s="47" t="s">
        <v>931</v>
      </c>
      <c r="AC350" s="47" t="s">
        <v>447</v>
      </c>
      <c r="AD350" s="47" t="s">
        <v>3001</v>
      </c>
      <c r="AE350" s="47" t="s">
        <v>937</v>
      </c>
      <c r="AF350" s="47" t="s">
        <v>931</v>
      </c>
      <c r="AG350" s="47" t="s">
        <v>931</v>
      </c>
      <c r="AH350" s="47" t="s">
        <v>931</v>
      </c>
      <c r="AI350" s="47" t="s">
        <v>931</v>
      </c>
      <c r="AJ350" s="47" t="s">
        <v>931</v>
      </c>
      <c r="AK350" s="47" t="s">
        <v>930</v>
      </c>
      <c r="AL350" s="47" t="s">
        <v>931</v>
      </c>
      <c r="AM350" s="47" t="s">
        <v>931</v>
      </c>
      <c r="AN350" s="37"/>
    </row>
    <row r="351" spans="1:40" hidden="1">
      <c r="A351" s="47" t="s">
        <v>982</v>
      </c>
      <c r="B351" s="47" t="s">
        <v>919</v>
      </c>
      <c r="C351" s="47" t="s">
        <v>3002</v>
      </c>
      <c r="D351" s="47">
        <f t="shared" si="12"/>
        <v>165286</v>
      </c>
      <c r="E351" s="47" t="s">
        <v>159</v>
      </c>
      <c r="F351" s="47" t="s">
        <v>160</v>
      </c>
      <c r="G351" s="47" t="s">
        <v>467</v>
      </c>
      <c r="H351" s="47" t="s">
        <v>1608</v>
      </c>
      <c r="I351" s="47" t="s">
        <v>3003</v>
      </c>
      <c r="J351" s="47" t="s">
        <v>1024</v>
      </c>
      <c r="K351" s="47" t="s">
        <v>163</v>
      </c>
      <c r="L351" s="47" t="s">
        <v>3004</v>
      </c>
      <c r="M351" s="47" t="s">
        <v>2988</v>
      </c>
      <c r="N351" s="47" t="s">
        <v>946</v>
      </c>
      <c r="O351" s="47" t="s">
        <v>930</v>
      </c>
      <c r="P351" s="47" t="s">
        <v>930</v>
      </c>
      <c r="Q351" s="47"/>
      <c r="R351" s="47"/>
      <c r="S351" s="47"/>
      <c r="T351" s="47" t="s">
        <v>3005</v>
      </c>
      <c r="U351" s="47" t="s">
        <v>3006</v>
      </c>
      <c r="V351" s="47" t="s">
        <v>2998</v>
      </c>
      <c r="W351" s="47" t="s">
        <v>931</v>
      </c>
      <c r="X351" s="47" t="s">
        <v>995</v>
      </c>
      <c r="Y351" s="47" t="s">
        <v>467</v>
      </c>
      <c r="Z351" s="47" t="s">
        <v>3007</v>
      </c>
      <c r="AA351" s="47" t="s">
        <v>3008</v>
      </c>
      <c r="AB351" s="47" t="s">
        <v>931</v>
      </c>
      <c r="AC351" s="47" t="s">
        <v>447</v>
      </c>
      <c r="AD351" s="47" t="s">
        <v>3009</v>
      </c>
      <c r="AE351" s="47" t="s">
        <v>937</v>
      </c>
      <c r="AF351" s="47" t="s">
        <v>3010</v>
      </c>
      <c r="AG351" s="47" t="s">
        <v>3011</v>
      </c>
      <c r="AH351" s="47" t="s">
        <v>931</v>
      </c>
      <c r="AI351" s="47" t="s">
        <v>931</v>
      </c>
      <c r="AJ351" s="47" t="s">
        <v>931</v>
      </c>
      <c r="AK351" s="47" t="s">
        <v>930</v>
      </c>
      <c r="AL351" s="47" t="s">
        <v>931</v>
      </c>
      <c r="AM351" s="47" t="s">
        <v>931</v>
      </c>
      <c r="AN351" s="37"/>
    </row>
    <row r="352" spans="1:40" hidden="1">
      <c r="A352" s="47" t="s">
        <v>982</v>
      </c>
      <c r="B352" s="47" t="s">
        <v>919</v>
      </c>
      <c r="C352" s="47" t="s">
        <v>3012</v>
      </c>
      <c r="D352" s="47">
        <f t="shared" si="12"/>
        <v>755603</v>
      </c>
      <c r="E352" s="47" t="s">
        <v>3013</v>
      </c>
      <c r="F352" s="47" t="s">
        <v>1187</v>
      </c>
      <c r="G352" s="47" t="s">
        <v>931</v>
      </c>
      <c r="H352" s="47" t="s">
        <v>3014</v>
      </c>
      <c r="I352" s="47" t="s">
        <v>3015</v>
      </c>
      <c r="J352" s="47" t="s">
        <v>1097</v>
      </c>
      <c r="K352" s="47" t="s">
        <v>163</v>
      </c>
      <c r="L352" s="47" t="s">
        <v>1118</v>
      </c>
      <c r="M352" s="47" t="s">
        <v>2736</v>
      </c>
      <c r="N352" s="47" t="s">
        <v>1190</v>
      </c>
      <c r="O352" s="47" t="s">
        <v>930</v>
      </c>
      <c r="P352" s="47" t="s">
        <v>930</v>
      </c>
      <c r="Q352" s="47"/>
      <c r="R352" s="47"/>
      <c r="S352" s="47"/>
      <c r="T352" s="47" t="s">
        <v>931</v>
      </c>
      <c r="U352" s="47" t="s">
        <v>931</v>
      </c>
      <c r="V352" s="47" t="s">
        <v>931</v>
      </c>
      <c r="W352" s="47" t="s">
        <v>931</v>
      </c>
      <c r="X352" s="47" t="s">
        <v>982</v>
      </c>
      <c r="Y352" s="47" t="s">
        <v>931</v>
      </c>
      <c r="Z352" s="47" t="s">
        <v>931</v>
      </c>
      <c r="AA352" s="47" t="s">
        <v>931</v>
      </c>
      <c r="AB352" s="47" t="s">
        <v>931</v>
      </c>
      <c r="AC352" s="47" t="s">
        <v>931</v>
      </c>
      <c r="AD352" s="47" t="s">
        <v>3016</v>
      </c>
      <c r="AE352" s="47" t="s">
        <v>937</v>
      </c>
      <c r="AF352" s="47" t="s">
        <v>931</v>
      </c>
      <c r="AG352" s="47" t="s">
        <v>931</v>
      </c>
      <c r="AH352" s="47" t="s">
        <v>931</v>
      </c>
      <c r="AI352" s="47" t="s">
        <v>931</v>
      </c>
      <c r="AJ352" s="47" t="s">
        <v>931</v>
      </c>
      <c r="AK352" s="47" t="s">
        <v>930</v>
      </c>
      <c r="AL352" s="47" t="s">
        <v>931</v>
      </c>
      <c r="AM352" s="47" t="s">
        <v>931</v>
      </c>
      <c r="AN352" s="37"/>
    </row>
    <row r="353" spans="1:40" hidden="1">
      <c r="A353" s="47" t="s">
        <v>982</v>
      </c>
      <c r="B353" s="47" t="s">
        <v>919</v>
      </c>
      <c r="C353" s="47" t="s">
        <v>3017</v>
      </c>
      <c r="D353" s="47">
        <f t="shared" si="12"/>
        <v>755600</v>
      </c>
      <c r="E353" s="47" t="s">
        <v>3018</v>
      </c>
      <c r="F353" s="47" t="s">
        <v>1187</v>
      </c>
      <c r="G353" s="47" t="s">
        <v>931</v>
      </c>
      <c r="H353" s="47" t="s">
        <v>3014</v>
      </c>
      <c r="I353" s="47" t="s">
        <v>3019</v>
      </c>
      <c r="J353" s="47" t="s">
        <v>1090</v>
      </c>
      <c r="K353" s="47" t="s">
        <v>163</v>
      </c>
      <c r="L353" s="47" t="s">
        <v>1676</v>
      </c>
      <c r="M353" s="47" t="s">
        <v>1173</v>
      </c>
      <c r="N353" s="47" t="s">
        <v>1190</v>
      </c>
      <c r="O353" s="47" t="s">
        <v>930</v>
      </c>
      <c r="P353" s="47" t="s">
        <v>930</v>
      </c>
      <c r="Q353" s="47"/>
      <c r="R353" s="47"/>
      <c r="S353" s="47"/>
      <c r="T353" s="47" t="s">
        <v>931</v>
      </c>
      <c r="U353" s="47" t="s">
        <v>931</v>
      </c>
      <c r="V353" s="47" t="s">
        <v>931</v>
      </c>
      <c r="W353" s="47" t="s">
        <v>931</v>
      </c>
      <c r="X353" s="47" t="s">
        <v>982</v>
      </c>
      <c r="Y353" s="47" t="s">
        <v>931</v>
      </c>
      <c r="Z353" s="47" t="s">
        <v>931</v>
      </c>
      <c r="AA353" s="47" t="s">
        <v>931</v>
      </c>
      <c r="AB353" s="47" t="s">
        <v>931</v>
      </c>
      <c r="AC353" s="47" t="s">
        <v>931</v>
      </c>
      <c r="AD353" s="47" t="s">
        <v>3020</v>
      </c>
      <c r="AE353" s="47" t="s">
        <v>937</v>
      </c>
      <c r="AF353" s="47" t="s">
        <v>931</v>
      </c>
      <c r="AG353" s="47" t="s">
        <v>931</v>
      </c>
      <c r="AH353" s="47" t="s">
        <v>931</v>
      </c>
      <c r="AI353" s="47" t="s">
        <v>931</v>
      </c>
      <c r="AJ353" s="47" t="s">
        <v>931</v>
      </c>
      <c r="AK353" s="47" t="s">
        <v>930</v>
      </c>
      <c r="AL353" s="47" t="s">
        <v>931</v>
      </c>
      <c r="AM353" s="47" t="s">
        <v>931</v>
      </c>
      <c r="AN353" s="37"/>
    </row>
    <row r="354" spans="1:40" hidden="1">
      <c r="A354" s="47" t="s">
        <v>982</v>
      </c>
      <c r="B354" s="47" t="s">
        <v>919</v>
      </c>
      <c r="C354" s="47" t="s">
        <v>3021</v>
      </c>
      <c r="D354" s="47">
        <f t="shared" si="12"/>
        <v>165705</v>
      </c>
      <c r="E354" s="47" t="s">
        <v>3022</v>
      </c>
      <c r="F354" s="47" t="s">
        <v>3023</v>
      </c>
      <c r="G354" s="47" t="s">
        <v>441</v>
      </c>
      <c r="H354" s="47" t="s">
        <v>924</v>
      </c>
      <c r="I354" s="47" t="s">
        <v>3024</v>
      </c>
      <c r="J354" s="47" t="s">
        <v>1172</v>
      </c>
      <c r="K354" s="47" t="s">
        <v>163</v>
      </c>
      <c r="L354" s="47" t="s">
        <v>1236</v>
      </c>
      <c r="M354" s="47" t="s">
        <v>2725</v>
      </c>
      <c r="N354" s="47" t="s">
        <v>946</v>
      </c>
      <c r="O354" s="47" t="s">
        <v>930</v>
      </c>
      <c r="P354" s="47" t="s">
        <v>930</v>
      </c>
      <c r="Q354" s="47"/>
      <c r="R354" s="47"/>
      <c r="S354" s="47"/>
      <c r="T354" s="47" t="s">
        <v>3025</v>
      </c>
      <c r="U354" s="47" t="s">
        <v>931</v>
      </c>
      <c r="V354" s="47" t="s">
        <v>3026</v>
      </c>
      <c r="W354" s="47" t="s">
        <v>931</v>
      </c>
      <c r="X354" s="47" t="s">
        <v>995</v>
      </c>
      <c r="Y354" s="47" t="s">
        <v>441</v>
      </c>
      <c r="Z354" s="47" t="s">
        <v>3027</v>
      </c>
      <c r="AA354" s="47" t="s">
        <v>3028</v>
      </c>
      <c r="AB354" s="47" t="s">
        <v>931</v>
      </c>
      <c r="AC354" s="47" t="s">
        <v>931</v>
      </c>
      <c r="AD354" s="47" t="s">
        <v>3029</v>
      </c>
      <c r="AE354" s="47" t="s">
        <v>937</v>
      </c>
      <c r="AF354" s="47" t="s">
        <v>931</v>
      </c>
      <c r="AG354" s="47" t="s">
        <v>931</v>
      </c>
      <c r="AH354" s="47" t="s">
        <v>931</v>
      </c>
      <c r="AI354" s="47" t="s">
        <v>931</v>
      </c>
      <c r="AJ354" s="47" t="s">
        <v>931</v>
      </c>
      <c r="AK354" s="47" t="s">
        <v>930</v>
      </c>
      <c r="AL354" s="47" t="s">
        <v>931</v>
      </c>
      <c r="AM354" s="47" t="s">
        <v>931</v>
      </c>
      <c r="AN354" s="37"/>
    </row>
    <row r="355" spans="1:40" hidden="1">
      <c r="A355" s="47" t="s">
        <v>982</v>
      </c>
      <c r="B355" s="47" t="s">
        <v>919</v>
      </c>
      <c r="C355" s="47" t="s">
        <v>3030</v>
      </c>
      <c r="D355" s="47">
        <f t="shared" si="12"/>
        <v>755602</v>
      </c>
      <c r="E355" s="47" t="s">
        <v>3031</v>
      </c>
      <c r="F355" s="47" t="s">
        <v>3032</v>
      </c>
      <c r="G355" s="47" t="s">
        <v>931</v>
      </c>
      <c r="H355" s="47" t="s">
        <v>1170</v>
      </c>
      <c r="I355" s="47" t="s">
        <v>2804</v>
      </c>
      <c r="J355" s="47" t="s">
        <v>1172</v>
      </c>
      <c r="K355" s="47" t="s">
        <v>163</v>
      </c>
      <c r="L355" s="47" t="s">
        <v>1173</v>
      </c>
      <c r="M355" s="47" t="s">
        <v>2719</v>
      </c>
      <c r="N355" s="47" t="s">
        <v>929</v>
      </c>
      <c r="O355" s="47" t="s">
        <v>930</v>
      </c>
      <c r="P355" s="47" t="s">
        <v>930</v>
      </c>
      <c r="Q355" s="47"/>
      <c r="R355" s="47"/>
      <c r="S355" s="47"/>
      <c r="T355" s="47" t="s">
        <v>931</v>
      </c>
      <c r="U355" s="47" t="s">
        <v>931</v>
      </c>
      <c r="V355" s="47" t="s">
        <v>931</v>
      </c>
      <c r="W355" s="47" t="s">
        <v>931</v>
      </c>
      <c r="X355" s="47" t="s">
        <v>982</v>
      </c>
      <c r="Y355" s="47" t="s">
        <v>931</v>
      </c>
      <c r="Z355" s="47" t="s">
        <v>931</v>
      </c>
      <c r="AA355" s="47" t="s">
        <v>931</v>
      </c>
      <c r="AB355" s="47" t="s">
        <v>931</v>
      </c>
      <c r="AC355" s="47" t="s">
        <v>931</v>
      </c>
      <c r="AD355" s="47" t="s">
        <v>2805</v>
      </c>
      <c r="AE355" s="47" t="s">
        <v>937</v>
      </c>
      <c r="AF355" s="47" t="s">
        <v>931</v>
      </c>
      <c r="AG355" s="47" t="s">
        <v>931</v>
      </c>
      <c r="AH355" s="47" t="s">
        <v>931</v>
      </c>
      <c r="AI355" s="47" t="s">
        <v>931</v>
      </c>
      <c r="AJ355" s="47" t="s">
        <v>931</v>
      </c>
      <c r="AK355" s="47" t="s">
        <v>930</v>
      </c>
      <c r="AL355" s="47" t="s">
        <v>931</v>
      </c>
      <c r="AM355" s="47" t="s">
        <v>931</v>
      </c>
      <c r="AN355" s="37"/>
    </row>
    <row r="356" spans="1:40" hidden="1">
      <c r="A356" s="47" t="s">
        <v>982</v>
      </c>
      <c r="B356" s="47" t="s">
        <v>919</v>
      </c>
      <c r="C356" s="47" t="s">
        <v>3033</v>
      </c>
      <c r="D356" s="47">
        <f t="shared" si="12"/>
        <v>755601</v>
      </c>
      <c r="E356" s="47" t="s">
        <v>3034</v>
      </c>
      <c r="F356" s="47" t="s">
        <v>3035</v>
      </c>
      <c r="G356" s="47" t="s">
        <v>931</v>
      </c>
      <c r="H356" s="47" t="s">
        <v>3036</v>
      </c>
      <c r="I356" s="47" t="s">
        <v>3037</v>
      </c>
      <c r="J356" s="47" t="s">
        <v>1090</v>
      </c>
      <c r="K356" s="47" t="s">
        <v>163</v>
      </c>
      <c r="L356" s="47" t="s">
        <v>971</v>
      </c>
      <c r="M356" s="47" t="s">
        <v>1173</v>
      </c>
      <c r="N356" s="47" t="s">
        <v>1190</v>
      </c>
      <c r="O356" s="47" t="s">
        <v>930</v>
      </c>
      <c r="P356" s="47" t="s">
        <v>930</v>
      </c>
      <c r="Q356" s="47"/>
      <c r="R356" s="47"/>
      <c r="S356" s="47"/>
      <c r="T356" s="47" t="s">
        <v>931</v>
      </c>
      <c r="U356" s="47" t="s">
        <v>931</v>
      </c>
      <c r="V356" s="47" t="s">
        <v>931</v>
      </c>
      <c r="W356" s="47" t="s">
        <v>931</v>
      </c>
      <c r="X356" s="47" t="s">
        <v>982</v>
      </c>
      <c r="Y356" s="47" t="s">
        <v>931</v>
      </c>
      <c r="Z356" s="47" t="s">
        <v>931</v>
      </c>
      <c r="AA356" s="47" t="s">
        <v>931</v>
      </c>
      <c r="AB356" s="47" t="s">
        <v>931</v>
      </c>
      <c r="AC356" s="47" t="s">
        <v>931</v>
      </c>
      <c r="AD356" s="47" t="s">
        <v>3038</v>
      </c>
      <c r="AE356" s="47" t="s">
        <v>937</v>
      </c>
      <c r="AF356" s="47" t="s">
        <v>931</v>
      </c>
      <c r="AG356" s="47" t="s">
        <v>931</v>
      </c>
      <c r="AH356" s="47" t="s">
        <v>931</v>
      </c>
      <c r="AI356" s="47" t="s">
        <v>931</v>
      </c>
      <c r="AJ356" s="47" t="s">
        <v>931</v>
      </c>
      <c r="AK356" s="47" t="s">
        <v>930</v>
      </c>
      <c r="AL356" s="47" t="s">
        <v>931</v>
      </c>
      <c r="AM356" s="47" t="s">
        <v>931</v>
      </c>
      <c r="AN356" s="37"/>
    </row>
    <row r="357" spans="1:40" hidden="1">
      <c r="A357" s="47" t="s">
        <v>982</v>
      </c>
      <c r="B357" s="47" t="s">
        <v>919</v>
      </c>
      <c r="C357" s="47" t="s">
        <v>3039</v>
      </c>
      <c r="D357" s="47">
        <f t="shared" si="12"/>
        <v>164951</v>
      </c>
      <c r="E357" s="47" t="s">
        <v>183</v>
      </c>
      <c r="F357" s="47" t="s">
        <v>160</v>
      </c>
      <c r="G357" s="47" t="s">
        <v>3040</v>
      </c>
      <c r="H357" s="47" t="s">
        <v>1518</v>
      </c>
      <c r="I357" s="47" t="s">
        <v>3041</v>
      </c>
      <c r="J357" s="47" t="s">
        <v>944</v>
      </c>
      <c r="K357" s="47" t="s">
        <v>163</v>
      </c>
      <c r="L357" s="47" t="s">
        <v>3042</v>
      </c>
      <c r="M357" s="47" t="s">
        <v>2248</v>
      </c>
      <c r="N357" s="47" t="s">
        <v>946</v>
      </c>
      <c r="O357" s="47" t="s">
        <v>930</v>
      </c>
      <c r="P357" s="47" t="s">
        <v>930</v>
      </c>
      <c r="Q357" s="47"/>
      <c r="R357" s="47"/>
      <c r="S357" s="47"/>
      <c r="T357" s="47" t="s">
        <v>3043</v>
      </c>
      <c r="U357" s="47" t="s">
        <v>3044</v>
      </c>
      <c r="V357" s="47" t="s">
        <v>3045</v>
      </c>
      <c r="W357" s="47" t="s">
        <v>931</v>
      </c>
      <c r="X357" s="47" t="s">
        <v>932</v>
      </c>
      <c r="Y357" s="47" t="s">
        <v>3040</v>
      </c>
      <c r="Z357" s="47" t="s">
        <v>3046</v>
      </c>
      <c r="AA357" s="47" t="s">
        <v>3047</v>
      </c>
      <c r="AB357" s="47" t="s">
        <v>3048</v>
      </c>
      <c r="AC357" s="47" t="s">
        <v>1451</v>
      </c>
      <c r="AD357" s="47" t="s">
        <v>3049</v>
      </c>
      <c r="AE357" s="47" t="s">
        <v>937</v>
      </c>
      <c r="AF357" s="47" t="s">
        <v>931</v>
      </c>
      <c r="AG357" s="47" t="s">
        <v>931</v>
      </c>
      <c r="AH357" s="47" t="s">
        <v>364</v>
      </c>
      <c r="AI357" s="47" t="s">
        <v>931</v>
      </c>
      <c r="AJ357" s="47" t="s">
        <v>365</v>
      </c>
      <c r="AK357" s="47" t="s">
        <v>930</v>
      </c>
      <c r="AL357" s="47" t="s">
        <v>931</v>
      </c>
      <c r="AM357" s="47" t="s">
        <v>931</v>
      </c>
      <c r="AN357" s="37"/>
    </row>
    <row r="358" spans="1:40" hidden="1">
      <c r="A358" s="47" t="s">
        <v>982</v>
      </c>
      <c r="B358" s="47" t="s">
        <v>919</v>
      </c>
      <c r="C358" s="47" t="s">
        <v>3050</v>
      </c>
      <c r="D358" s="47">
        <f t="shared" si="12"/>
        <v>164952</v>
      </c>
      <c r="E358" s="47" t="s">
        <v>183</v>
      </c>
      <c r="F358" s="47" t="s">
        <v>160</v>
      </c>
      <c r="G358" s="47" t="s">
        <v>2882</v>
      </c>
      <c r="H358" s="47" t="s">
        <v>1518</v>
      </c>
      <c r="I358" s="47" t="s">
        <v>3051</v>
      </c>
      <c r="J358" s="47" t="s">
        <v>944</v>
      </c>
      <c r="K358" s="47" t="s">
        <v>163</v>
      </c>
      <c r="L358" s="47" t="s">
        <v>3052</v>
      </c>
      <c r="M358" s="47" t="s">
        <v>2248</v>
      </c>
      <c r="N358" s="47" t="s">
        <v>946</v>
      </c>
      <c r="O358" s="47" t="s">
        <v>930</v>
      </c>
      <c r="P358" s="47" t="s">
        <v>930</v>
      </c>
      <c r="Q358" s="47"/>
      <c r="R358" s="47"/>
      <c r="S358" s="47"/>
      <c r="T358" s="47" t="s">
        <v>3053</v>
      </c>
      <c r="U358" s="47" t="s">
        <v>3054</v>
      </c>
      <c r="V358" s="47" t="s">
        <v>1238</v>
      </c>
      <c r="W358" s="47" t="s">
        <v>931</v>
      </c>
      <c r="X358" s="47" t="s">
        <v>932</v>
      </c>
      <c r="Y358" s="47" t="s">
        <v>2882</v>
      </c>
      <c r="Z358" s="47" t="s">
        <v>2883</v>
      </c>
      <c r="AA358" s="47" t="s">
        <v>2884</v>
      </c>
      <c r="AB358" s="47" t="s">
        <v>3055</v>
      </c>
      <c r="AC358" s="47" t="s">
        <v>1451</v>
      </c>
      <c r="AD358" s="47" t="s">
        <v>3056</v>
      </c>
      <c r="AE358" s="47" t="s">
        <v>937</v>
      </c>
      <c r="AF358" s="47" t="s">
        <v>931</v>
      </c>
      <c r="AG358" s="47" t="s">
        <v>931</v>
      </c>
      <c r="AH358" s="47" t="s">
        <v>364</v>
      </c>
      <c r="AI358" s="47" t="s">
        <v>931</v>
      </c>
      <c r="AJ358" s="47" t="s">
        <v>365</v>
      </c>
      <c r="AK358" s="47" t="s">
        <v>930</v>
      </c>
      <c r="AL358" s="47" t="s">
        <v>931</v>
      </c>
      <c r="AM358" s="47" t="s">
        <v>931</v>
      </c>
      <c r="AN358" s="37"/>
    </row>
    <row r="359" spans="1:40" hidden="1">
      <c r="A359" s="47" t="s">
        <v>982</v>
      </c>
      <c r="B359" s="47" t="s">
        <v>919</v>
      </c>
      <c r="C359" s="47" t="s">
        <v>3057</v>
      </c>
      <c r="D359" s="47">
        <f t="shared" si="12"/>
        <v>164907</v>
      </c>
      <c r="E359" s="47" t="s">
        <v>159</v>
      </c>
      <c r="F359" s="47" t="s">
        <v>160</v>
      </c>
      <c r="G359" s="47" t="s">
        <v>3058</v>
      </c>
      <c r="H359" s="47" t="s">
        <v>1608</v>
      </c>
      <c r="I359" s="47" t="s">
        <v>3059</v>
      </c>
      <c r="J359" s="47" t="s">
        <v>1505</v>
      </c>
      <c r="K359" s="47" t="s">
        <v>163</v>
      </c>
      <c r="L359" s="47" t="s">
        <v>1506</v>
      </c>
      <c r="M359" s="47" t="s">
        <v>1173</v>
      </c>
      <c r="N359" s="47" t="s">
        <v>946</v>
      </c>
      <c r="O359" s="47" t="s">
        <v>930</v>
      </c>
      <c r="P359" s="47" t="s">
        <v>930</v>
      </c>
      <c r="Q359" s="47"/>
      <c r="R359" s="47"/>
      <c r="S359" s="47"/>
      <c r="T359" s="47" t="s">
        <v>3060</v>
      </c>
      <c r="U359" s="47" t="s">
        <v>3061</v>
      </c>
      <c r="V359" s="47" t="s">
        <v>3062</v>
      </c>
      <c r="W359" s="47" t="s">
        <v>931</v>
      </c>
      <c r="X359" s="47" t="s">
        <v>932</v>
      </c>
      <c r="Y359" s="47" t="s">
        <v>3058</v>
      </c>
      <c r="Z359" s="47" t="s">
        <v>3063</v>
      </c>
      <c r="AA359" s="47" t="s">
        <v>3064</v>
      </c>
      <c r="AB359" s="47" t="s">
        <v>931</v>
      </c>
      <c r="AC359" s="47" t="s">
        <v>447</v>
      </c>
      <c r="AD359" s="47" t="s">
        <v>3065</v>
      </c>
      <c r="AE359" s="47" t="s">
        <v>937</v>
      </c>
      <c r="AF359" s="47" t="s">
        <v>931</v>
      </c>
      <c r="AG359" s="47" t="s">
        <v>931</v>
      </c>
      <c r="AH359" s="47" t="s">
        <v>931</v>
      </c>
      <c r="AI359" s="47" t="s">
        <v>931</v>
      </c>
      <c r="AJ359" s="47" t="s">
        <v>931</v>
      </c>
      <c r="AK359" s="47" t="s">
        <v>930</v>
      </c>
      <c r="AL359" s="47" t="s">
        <v>931</v>
      </c>
      <c r="AM359" s="47" t="s">
        <v>931</v>
      </c>
      <c r="AN359" s="37"/>
    </row>
    <row r="360" spans="1:40">
      <c r="A360" s="47" t="s">
        <v>982</v>
      </c>
      <c r="B360" s="47" t="s">
        <v>919</v>
      </c>
      <c r="C360" s="47" t="s">
        <v>3066</v>
      </c>
      <c r="D360" s="47">
        <f t="shared" si="12"/>
        <v>163217</v>
      </c>
      <c r="E360" s="47" t="s">
        <v>200</v>
      </c>
      <c r="F360" s="47" t="s">
        <v>191</v>
      </c>
      <c r="G360" s="47" t="s">
        <v>427</v>
      </c>
      <c r="H360" s="47" t="s">
        <v>1518</v>
      </c>
      <c r="I360" s="47" t="s">
        <v>3067</v>
      </c>
      <c r="J360" s="47" t="s">
        <v>1024</v>
      </c>
      <c r="K360" s="47" t="s">
        <v>163</v>
      </c>
      <c r="L360" s="47" t="s">
        <v>3068</v>
      </c>
      <c r="M360" s="47" t="s">
        <v>3069</v>
      </c>
      <c r="N360" s="47" t="s">
        <v>946</v>
      </c>
      <c r="O360" s="47" t="s">
        <v>930</v>
      </c>
      <c r="P360" s="47" t="s">
        <v>930</v>
      </c>
      <c r="Q360" s="47"/>
      <c r="R360" s="47"/>
      <c r="S360" s="47"/>
      <c r="T360" s="47" t="s">
        <v>3070</v>
      </c>
      <c r="U360" s="47" t="s">
        <v>3071</v>
      </c>
      <c r="V360" s="47" t="s">
        <v>521</v>
      </c>
      <c r="W360" s="47" t="s">
        <v>931</v>
      </c>
      <c r="X360" s="47" t="s">
        <v>932</v>
      </c>
      <c r="Y360" s="47" t="s">
        <v>427</v>
      </c>
      <c r="Z360" s="47" t="s">
        <v>3072</v>
      </c>
      <c r="AA360" s="47" t="s">
        <v>3073</v>
      </c>
      <c r="AB360" s="47" t="s">
        <v>931</v>
      </c>
      <c r="AC360" s="47" t="s">
        <v>447</v>
      </c>
      <c r="AD360" s="47" t="s">
        <v>3074</v>
      </c>
      <c r="AE360" s="47" t="s">
        <v>937</v>
      </c>
      <c r="AF360" s="47" t="s">
        <v>931</v>
      </c>
      <c r="AG360" s="47" t="s">
        <v>3075</v>
      </c>
      <c r="AH360" s="47" t="s">
        <v>931</v>
      </c>
      <c r="AI360" s="47" t="s">
        <v>931</v>
      </c>
      <c r="AJ360" s="47" t="s">
        <v>931</v>
      </c>
      <c r="AK360" s="47" t="s">
        <v>930</v>
      </c>
      <c r="AL360" s="47" t="s">
        <v>931</v>
      </c>
      <c r="AM360" s="47" t="s">
        <v>931</v>
      </c>
      <c r="AN360" s="37"/>
    </row>
    <row r="361" spans="1:40">
      <c r="A361" s="47" t="s">
        <v>982</v>
      </c>
      <c r="B361" s="47" t="s">
        <v>919</v>
      </c>
      <c r="C361" s="47" t="s">
        <v>3076</v>
      </c>
      <c r="D361" s="47">
        <f t="shared" si="12"/>
        <v>163219</v>
      </c>
      <c r="E361" s="47" t="s">
        <v>200</v>
      </c>
      <c r="F361" s="47" t="s">
        <v>191</v>
      </c>
      <c r="G361" s="47" t="s">
        <v>414</v>
      </c>
      <c r="H361" s="47" t="s">
        <v>1518</v>
      </c>
      <c r="I361" s="47" t="s">
        <v>3067</v>
      </c>
      <c r="J361" s="47" t="s">
        <v>1024</v>
      </c>
      <c r="K361" s="47" t="s">
        <v>163</v>
      </c>
      <c r="L361" s="47" t="s">
        <v>3069</v>
      </c>
      <c r="M361" s="47" t="s">
        <v>3069</v>
      </c>
      <c r="N361" s="47" t="s">
        <v>946</v>
      </c>
      <c r="O361" s="47" t="s">
        <v>930</v>
      </c>
      <c r="P361" s="47" t="s">
        <v>930</v>
      </c>
      <c r="Q361" s="47"/>
      <c r="R361" s="47"/>
      <c r="S361" s="47"/>
      <c r="T361" s="47" t="s">
        <v>3077</v>
      </c>
      <c r="U361" s="47" t="s">
        <v>3078</v>
      </c>
      <c r="V361" s="47" t="s">
        <v>521</v>
      </c>
      <c r="W361" s="47" t="s">
        <v>931</v>
      </c>
      <c r="X361" s="47" t="s">
        <v>995</v>
      </c>
      <c r="Y361" s="47" t="s">
        <v>414</v>
      </c>
      <c r="Z361" s="47" t="s">
        <v>3079</v>
      </c>
      <c r="AA361" s="47" t="s">
        <v>3080</v>
      </c>
      <c r="AB361" s="47" t="s">
        <v>931</v>
      </c>
      <c r="AC361" s="47" t="s">
        <v>447</v>
      </c>
      <c r="AD361" s="47" t="s">
        <v>3074</v>
      </c>
      <c r="AE361" s="47" t="s">
        <v>937</v>
      </c>
      <c r="AF361" s="47" t="s">
        <v>931</v>
      </c>
      <c r="AG361" s="47" t="s">
        <v>3081</v>
      </c>
      <c r="AH361" s="47" t="s">
        <v>931</v>
      </c>
      <c r="AI361" s="47" t="s">
        <v>931</v>
      </c>
      <c r="AJ361" s="47" t="s">
        <v>931</v>
      </c>
      <c r="AK361" s="47" t="s">
        <v>930</v>
      </c>
      <c r="AL361" s="47" t="s">
        <v>931</v>
      </c>
      <c r="AM361" s="47" t="s">
        <v>931</v>
      </c>
      <c r="AN361" s="37"/>
    </row>
    <row r="362" spans="1:40">
      <c r="A362" s="47" t="s">
        <v>982</v>
      </c>
      <c r="B362" s="47" t="s">
        <v>919</v>
      </c>
      <c r="C362" s="47" t="s">
        <v>3082</v>
      </c>
      <c r="D362" s="47">
        <f t="shared" si="12"/>
        <v>163218</v>
      </c>
      <c r="E362" s="47" t="s">
        <v>200</v>
      </c>
      <c r="F362" s="47" t="s">
        <v>191</v>
      </c>
      <c r="G362" s="47" t="s">
        <v>875</v>
      </c>
      <c r="H362" s="47" t="s">
        <v>1518</v>
      </c>
      <c r="I362" s="47" t="s">
        <v>3067</v>
      </c>
      <c r="J362" s="47" t="s">
        <v>1024</v>
      </c>
      <c r="K362" s="47" t="s">
        <v>163</v>
      </c>
      <c r="L362" s="47" t="s">
        <v>3083</v>
      </c>
      <c r="M362" s="47" t="s">
        <v>3069</v>
      </c>
      <c r="N362" s="47" t="s">
        <v>946</v>
      </c>
      <c r="O362" s="47" t="s">
        <v>930</v>
      </c>
      <c r="P362" s="47" t="s">
        <v>930</v>
      </c>
      <c r="Q362" s="47"/>
      <c r="R362" s="47"/>
      <c r="S362" s="47"/>
      <c r="T362" s="47" t="s">
        <v>3084</v>
      </c>
      <c r="U362" s="47" t="s">
        <v>3085</v>
      </c>
      <c r="V362" s="47" t="s">
        <v>3086</v>
      </c>
      <c r="W362" s="47" t="s">
        <v>931</v>
      </c>
      <c r="X362" s="47" t="s">
        <v>995</v>
      </c>
      <c r="Y362" s="47" t="s">
        <v>875</v>
      </c>
      <c r="Z362" s="47" t="s">
        <v>2949</v>
      </c>
      <c r="AA362" s="47" t="s">
        <v>2950</v>
      </c>
      <c r="AB362" s="47" t="s">
        <v>931</v>
      </c>
      <c r="AC362" s="47" t="s">
        <v>447</v>
      </c>
      <c r="AD362" s="47" t="s">
        <v>3074</v>
      </c>
      <c r="AE362" s="47" t="s">
        <v>937</v>
      </c>
      <c r="AF362" s="47" t="s">
        <v>931</v>
      </c>
      <c r="AG362" s="47" t="s">
        <v>3087</v>
      </c>
      <c r="AH362" s="47" t="s">
        <v>931</v>
      </c>
      <c r="AI362" s="47" t="s">
        <v>931</v>
      </c>
      <c r="AJ362" s="47" t="s">
        <v>931</v>
      </c>
      <c r="AK362" s="47" t="s">
        <v>930</v>
      </c>
      <c r="AL362" s="47" t="s">
        <v>931</v>
      </c>
      <c r="AM362" s="47" t="s">
        <v>931</v>
      </c>
      <c r="AN362" s="37"/>
    </row>
    <row r="363" spans="1:40">
      <c r="A363" s="47" t="s">
        <v>982</v>
      </c>
      <c r="B363" s="47" t="s">
        <v>919</v>
      </c>
      <c r="C363" s="47" t="s">
        <v>3088</v>
      </c>
      <c r="D363" s="47">
        <f t="shared" si="12"/>
        <v>163788</v>
      </c>
      <c r="E363" s="47" t="s">
        <v>200</v>
      </c>
      <c r="F363" s="47" t="s">
        <v>191</v>
      </c>
      <c r="G363" s="47" t="s">
        <v>374</v>
      </c>
      <c r="H363" s="47" t="s">
        <v>1518</v>
      </c>
      <c r="I363" s="47" t="s">
        <v>3089</v>
      </c>
      <c r="J363" s="47" t="s">
        <v>1024</v>
      </c>
      <c r="K363" s="47" t="s">
        <v>163</v>
      </c>
      <c r="L363" s="47" t="s">
        <v>2988</v>
      </c>
      <c r="M363" s="47" t="s">
        <v>2988</v>
      </c>
      <c r="N363" s="47" t="s">
        <v>946</v>
      </c>
      <c r="O363" s="47" t="s">
        <v>930</v>
      </c>
      <c r="P363" s="47" t="s">
        <v>930</v>
      </c>
      <c r="Q363" s="47"/>
      <c r="R363" s="47"/>
      <c r="S363" s="47"/>
      <c r="T363" s="47" t="s">
        <v>3090</v>
      </c>
      <c r="U363" s="47" t="s">
        <v>3091</v>
      </c>
      <c r="V363" s="47" t="s">
        <v>2998</v>
      </c>
      <c r="W363" s="47" t="s">
        <v>931</v>
      </c>
      <c r="X363" s="47" t="s">
        <v>995</v>
      </c>
      <c r="Y363" s="47" t="s">
        <v>374</v>
      </c>
      <c r="Z363" s="47" t="s">
        <v>3092</v>
      </c>
      <c r="AA363" s="47" t="s">
        <v>3093</v>
      </c>
      <c r="AB363" s="47" t="s">
        <v>931</v>
      </c>
      <c r="AC363" s="47" t="s">
        <v>447</v>
      </c>
      <c r="AD363" s="47" t="s">
        <v>3094</v>
      </c>
      <c r="AE363" s="47" t="s">
        <v>937</v>
      </c>
      <c r="AF363" s="47" t="s">
        <v>931</v>
      </c>
      <c r="AG363" s="47" t="s">
        <v>931</v>
      </c>
      <c r="AH363" s="47" t="s">
        <v>931</v>
      </c>
      <c r="AI363" s="47" t="s">
        <v>931</v>
      </c>
      <c r="AJ363" s="47" t="s">
        <v>931</v>
      </c>
      <c r="AK363" s="47" t="s">
        <v>930</v>
      </c>
      <c r="AL363" s="47" t="s">
        <v>931</v>
      </c>
      <c r="AM363" s="47" t="s">
        <v>931</v>
      </c>
      <c r="AN363" s="37"/>
    </row>
    <row r="364" spans="1:40">
      <c r="A364" s="47" t="s">
        <v>982</v>
      </c>
      <c r="B364" s="47" t="s">
        <v>919</v>
      </c>
      <c r="C364" s="47" t="s">
        <v>3095</v>
      </c>
      <c r="D364" s="47">
        <f t="shared" si="12"/>
        <v>163787</v>
      </c>
      <c r="E364" s="47" t="s">
        <v>200</v>
      </c>
      <c r="F364" s="47" t="s">
        <v>191</v>
      </c>
      <c r="G364" s="47" t="s">
        <v>430</v>
      </c>
      <c r="H364" s="47" t="s">
        <v>1518</v>
      </c>
      <c r="I364" s="47" t="s">
        <v>3089</v>
      </c>
      <c r="J364" s="47" t="s">
        <v>1024</v>
      </c>
      <c r="K364" s="47" t="s">
        <v>163</v>
      </c>
      <c r="L364" s="47" t="s">
        <v>3096</v>
      </c>
      <c r="M364" s="47" t="s">
        <v>2988</v>
      </c>
      <c r="N364" s="47" t="s">
        <v>946</v>
      </c>
      <c r="O364" s="47" t="s">
        <v>930</v>
      </c>
      <c r="P364" s="47" t="s">
        <v>930</v>
      </c>
      <c r="Q364" s="47"/>
      <c r="R364" s="47"/>
      <c r="S364" s="47"/>
      <c r="T364" s="47" t="s">
        <v>3097</v>
      </c>
      <c r="U364" s="47" t="s">
        <v>3098</v>
      </c>
      <c r="V364" s="47" t="s">
        <v>3099</v>
      </c>
      <c r="W364" s="47" t="s">
        <v>931</v>
      </c>
      <c r="X364" s="47" t="s">
        <v>932</v>
      </c>
      <c r="Y364" s="47" t="s">
        <v>430</v>
      </c>
      <c r="Z364" s="47" t="s">
        <v>2854</v>
      </c>
      <c r="AA364" s="47" t="s">
        <v>2855</v>
      </c>
      <c r="AB364" s="47" t="s">
        <v>931</v>
      </c>
      <c r="AC364" s="47" t="s">
        <v>447</v>
      </c>
      <c r="AD364" s="47" t="s">
        <v>3094</v>
      </c>
      <c r="AE364" s="47" t="s">
        <v>937</v>
      </c>
      <c r="AF364" s="47" t="s">
        <v>931</v>
      </c>
      <c r="AG364" s="47" t="s">
        <v>3100</v>
      </c>
      <c r="AH364" s="47" t="s">
        <v>931</v>
      </c>
      <c r="AI364" s="47" t="s">
        <v>931</v>
      </c>
      <c r="AJ364" s="47" t="s">
        <v>931</v>
      </c>
      <c r="AK364" s="47" t="s">
        <v>930</v>
      </c>
      <c r="AL364" s="47" t="s">
        <v>931</v>
      </c>
      <c r="AM364" s="47" t="s">
        <v>931</v>
      </c>
      <c r="AN364" s="37"/>
    </row>
    <row r="365" spans="1:40">
      <c r="A365" s="47" t="s">
        <v>982</v>
      </c>
      <c r="B365" s="47" t="s">
        <v>919</v>
      </c>
      <c r="C365" s="47" t="s">
        <v>3101</v>
      </c>
      <c r="D365" s="47">
        <f t="shared" si="12"/>
        <v>163419</v>
      </c>
      <c r="E365" s="47" t="s">
        <v>200</v>
      </c>
      <c r="F365" s="47" t="s">
        <v>191</v>
      </c>
      <c r="G365" s="47" t="s">
        <v>2967</v>
      </c>
      <c r="H365" s="47" t="s">
        <v>1518</v>
      </c>
      <c r="I365" s="47" t="s">
        <v>3102</v>
      </c>
      <c r="J365" s="47" t="s">
        <v>1024</v>
      </c>
      <c r="K365" s="47" t="s">
        <v>163</v>
      </c>
      <c r="L365" s="47" t="s">
        <v>3103</v>
      </c>
      <c r="M365" s="47" t="s">
        <v>3069</v>
      </c>
      <c r="N365" s="47" t="s">
        <v>946</v>
      </c>
      <c r="O365" s="47" t="s">
        <v>930</v>
      </c>
      <c r="P365" s="47" t="s">
        <v>930</v>
      </c>
      <c r="Q365" s="47"/>
      <c r="R365" s="47"/>
      <c r="S365" s="47"/>
      <c r="T365" s="47" t="s">
        <v>3104</v>
      </c>
      <c r="U365" s="47" t="s">
        <v>3105</v>
      </c>
      <c r="V365" s="47" t="s">
        <v>3086</v>
      </c>
      <c r="W365" s="47" t="s">
        <v>931</v>
      </c>
      <c r="X365" s="47" t="s">
        <v>932</v>
      </c>
      <c r="Y365" s="47" t="s">
        <v>2967</v>
      </c>
      <c r="Z365" s="47" t="s">
        <v>2971</v>
      </c>
      <c r="AA365" s="47" t="s">
        <v>2972</v>
      </c>
      <c r="AB365" s="47" t="s">
        <v>931</v>
      </c>
      <c r="AC365" s="47" t="s">
        <v>447</v>
      </c>
      <c r="AD365" s="47" t="s">
        <v>3106</v>
      </c>
      <c r="AE365" s="47" t="s">
        <v>937</v>
      </c>
      <c r="AF365" s="47" t="s">
        <v>931</v>
      </c>
      <c r="AG365" s="47" t="s">
        <v>931</v>
      </c>
      <c r="AH365" s="47" t="s">
        <v>931</v>
      </c>
      <c r="AI365" s="47" t="s">
        <v>931</v>
      </c>
      <c r="AJ365" s="47" t="s">
        <v>931</v>
      </c>
      <c r="AK365" s="47" t="s">
        <v>930</v>
      </c>
      <c r="AL365" s="47" t="s">
        <v>931</v>
      </c>
      <c r="AM365" s="47" t="s">
        <v>931</v>
      </c>
      <c r="AN365" s="37"/>
    </row>
    <row r="366" spans="1:40">
      <c r="A366" s="47" t="s">
        <v>982</v>
      </c>
      <c r="B366" s="47" t="s">
        <v>919</v>
      </c>
      <c r="C366" s="47" t="s">
        <v>3107</v>
      </c>
      <c r="D366" s="47">
        <f t="shared" si="12"/>
        <v>163418</v>
      </c>
      <c r="E366" s="47" t="s">
        <v>200</v>
      </c>
      <c r="F366" s="47" t="s">
        <v>191</v>
      </c>
      <c r="G366" s="47" t="s">
        <v>2882</v>
      </c>
      <c r="H366" s="47" t="s">
        <v>1518</v>
      </c>
      <c r="I366" s="47" t="s">
        <v>3102</v>
      </c>
      <c r="J366" s="47" t="s">
        <v>1024</v>
      </c>
      <c r="K366" s="47" t="s">
        <v>163</v>
      </c>
      <c r="L366" s="47" t="s">
        <v>2765</v>
      </c>
      <c r="M366" s="47" t="s">
        <v>2765</v>
      </c>
      <c r="N366" s="47" t="s">
        <v>946</v>
      </c>
      <c r="O366" s="47" t="s">
        <v>930</v>
      </c>
      <c r="P366" s="47" t="s">
        <v>930</v>
      </c>
      <c r="Q366" s="47"/>
      <c r="R366" s="47"/>
      <c r="S366" s="47"/>
      <c r="T366" s="47" t="s">
        <v>3108</v>
      </c>
      <c r="U366" s="47" t="s">
        <v>3091</v>
      </c>
      <c r="V366" s="47" t="s">
        <v>521</v>
      </c>
      <c r="W366" s="47" t="s">
        <v>931</v>
      </c>
      <c r="X366" s="47" t="s">
        <v>932</v>
      </c>
      <c r="Y366" s="47" t="s">
        <v>2882</v>
      </c>
      <c r="Z366" s="47" t="s">
        <v>2883</v>
      </c>
      <c r="AA366" s="47" t="s">
        <v>2884</v>
      </c>
      <c r="AB366" s="47" t="s">
        <v>931</v>
      </c>
      <c r="AC366" s="47" t="s">
        <v>447</v>
      </c>
      <c r="AD366" s="47" t="s">
        <v>3106</v>
      </c>
      <c r="AE366" s="47" t="s">
        <v>937</v>
      </c>
      <c r="AF366" s="47" t="s">
        <v>931</v>
      </c>
      <c r="AG366" s="47" t="s">
        <v>931</v>
      </c>
      <c r="AH366" s="47" t="s">
        <v>931</v>
      </c>
      <c r="AI366" s="47" t="s">
        <v>931</v>
      </c>
      <c r="AJ366" s="47" t="s">
        <v>931</v>
      </c>
      <c r="AK366" s="47" t="s">
        <v>930</v>
      </c>
      <c r="AL366" s="47" t="s">
        <v>931</v>
      </c>
      <c r="AM366" s="47" t="s">
        <v>931</v>
      </c>
      <c r="AN366" s="37"/>
    </row>
    <row r="367" spans="1:40" hidden="1">
      <c r="A367" s="47" t="s">
        <v>982</v>
      </c>
      <c r="B367" s="47" t="s">
        <v>919</v>
      </c>
      <c r="C367" s="47" t="s">
        <v>3109</v>
      </c>
      <c r="D367" s="47">
        <f t="shared" si="12"/>
        <v>164862</v>
      </c>
      <c r="E367" s="47" t="s">
        <v>353</v>
      </c>
      <c r="F367" s="47" t="s">
        <v>354</v>
      </c>
      <c r="G367" s="47" t="s">
        <v>3110</v>
      </c>
      <c r="H367" s="47" t="s">
        <v>969</v>
      </c>
      <c r="I367" s="47" t="s">
        <v>3111</v>
      </c>
      <c r="J367" s="47" t="s">
        <v>1172</v>
      </c>
      <c r="K367" s="47" t="s">
        <v>163</v>
      </c>
      <c r="L367" s="47" t="s">
        <v>1236</v>
      </c>
      <c r="M367" s="47" t="s">
        <v>2725</v>
      </c>
      <c r="N367" s="47" t="s">
        <v>946</v>
      </c>
      <c r="O367" s="47" t="s">
        <v>930</v>
      </c>
      <c r="P367" s="47" t="s">
        <v>930</v>
      </c>
      <c r="Q367" s="47"/>
      <c r="R367" s="47"/>
      <c r="S367" s="47"/>
      <c r="T367" s="47" t="s">
        <v>3112</v>
      </c>
      <c r="U367" s="47" t="s">
        <v>931</v>
      </c>
      <c r="V367" s="47" t="s">
        <v>442</v>
      </c>
      <c r="W367" s="47" t="s">
        <v>931</v>
      </c>
      <c r="X367" s="47" t="s">
        <v>932</v>
      </c>
      <c r="Y367" s="47" t="s">
        <v>3110</v>
      </c>
      <c r="Z367" s="47" t="s">
        <v>3113</v>
      </c>
      <c r="AA367" s="47" t="s">
        <v>3114</v>
      </c>
      <c r="AB367" s="47" t="s">
        <v>931</v>
      </c>
      <c r="AC367" s="47" t="s">
        <v>931</v>
      </c>
      <c r="AD367" s="47" t="s">
        <v>3115</v>
      </c>
      <c r="AE367" s="47" t="s">
        <v>937</v>
      </c>
      <c r="AF367" s="47" t="s">
        <v>931</v>
      </c>
      <c r="AG367" s="47" t="s">
        <v>3116</v>
      </c>
      <c r="AH367" s="47" t="s">
        <v>364</v>
      </c>
      <c r="AI367" s="47" t="s">
        <v>931</v>
      </c>
      <c r="AJ367" s="47" t="s">
        <v>365</v>
      </c>
      <c r="AK367" s="47" t="s">
        <v>930</v>
      </c>
      <c r="AL367" s="47" t="s">
        <v>931</v>
      </c>
      <c r="AM367" s="47" t="s">
        <v>931</v>
      </c>
      <c r="AN367" s="37"/>
    </row>
    <row r="368" spans="1:40" hidden="1">
      <c r="A368" s="47" t="s">
        <v>982</v>
      </c>
      <c r="B368" s="47" t="s">
        <v>919</v>
      </c>
      <c r="C368" s="47" t="s">
        <v>3117</v>
      </c>
      <c r="D368" s="47">
        <f t="shared" si="12"/>
        <v>164865</v>
      </c>
      <c r="E368" s="47" t="s">
        <v>272</v>
      </c>
      <c r="F368" s="47" t="s">
        <v>273</v>
      </c>
      <c r="G368" s="47" t="s">
        <v>3040</v>
      </c>
      <c r="H368" s="47" t="s">
        <v>969</v>
      </c>
      <c r="I368" s="47" t="s">
        <v>3118</v>
      </c>
      <c r="J368" s="47" t="s">
        <v>1172</v>
      </c>
      <c r="K368" s="47" t="s">
        <v>163</v>
      </c>
      <c r="L368" s="47" t="s">
        <v>1371</v>
      </c>
      <c r="M368" s="47" t="s">
        <v>1004</v>
      </c>
      <c r="N368" s="47" t="s">
        <v>946</v>
      </c>
      <c r="O368" s="47" t="s">
        <v>930</v>
      </c>
      <c r="P368" s="47" t="s">
        <v>930</v>
      </c>
      <c r="Q368" s="47"/>
      <c r="R368" s="47"/>
      <c r="S368" s="47"/>
      <c r="T368" s="47" t="s">
        <v>3119</v>
      </c>
      <c r="U368" s="47" t="s">
        <v>931</v>
      </c>
      <c r="V368" s="47" t="s">
        <v>513</v>
      </c>
      <c r="W368" s="47" t="s">
        <v>931</v>
      </c>
      <c r="X368" s="47" t="s">
        <v>932</v>
      </c>
      <c r="Y368" s="47" t="s">
        <v>3040</v>
      </c>
      <c r="Z368" s="47" t="s">
        <v>3046</v>
      </c>
      <c r="AA368" s="47" t="s">
        <v>3047</v>
      </c>
      <c r="AB368" s="47" t="s">
        <v>931</v>
      </c>
      <c r="AC368" s="47" t="s">
        <v>373</v>
      </c>
      <c r="AD368" s="47" t="s">
        <v>3120</v>
      </c>
      <c r="AE368" s="47" t="s">
        <v>937</v>
      </c>
      <c r="AF368" s="47" t="s">
        <v>931</v>
      </c>
      <c r="AG368" s="47" t="s">
        <v>931</v>
      </c>
      <c r="AH368" s="47" t="s">
        <v>364</v>
      </c>
      <c r="AI368" s="47" t="s">
        <v>931</v>
      </c>
      <c r="AJ368" s="47" t="s">
        <v>365</v>
      </c>
      <c r="AK368" s="47" t="s">
        <v>930</v>
      </c>
      <c r="AL368" s="47" t="s">
        <v>931</v>
      </c>
      <c r="AM368" s="47" t="s">
        <v>931</v>
      </c>
      <c r="AN368" s="37"/>
    </row>
    <row r="369" spans="1:40" hidden="1">
      <c r="A369" s="47" t="s">
        <v>982</v>
      </c>
      <c r="B369" s="47" t="s">
        <v>919</v>
      </c>
      <c r="C369" s="47" t="s">
        <v>3121</v>
      </c>
      <c r="D369" s="47">
        <f t="shared" si="12"/>
        <v>164858</v>
      </c>
      <c r="E369" s="47" t="s">
        <v>321</v>
      </c>
      <c r="F369" s="47" t="s">
        <v>322</v>
      </c>
      <c r="G369" s="47" t="s">
        <v>491</v>
      </c>
      <c r="H369" s="47" t="s">
        <v>969</v>
      </c>
      <c r="I369" s="47" t="s">
        <v>3122</v>
      </c>
      <c r="J369" s="47" t="s">
        <v>1505</v>
      </c>
      <c r="K369" s="47" t="s">
        <v>163</v>
      </c>
      <c r="L369" s="47" t="s">
        <v>1014</v>
      </c>
      <c r="M369" s="47" t="s">
        <v>928</v>
      </c>
      <c r="N369" s="47" t="s">
        <v>1058</v>
      </c>
      <c r="O369" s="47" t="s">
        <v>930</v>
      </c>
      <c r="P369" s="47" t="s">
        <v>930</v>
      </c>
      <c r="Q369" s="47"/>
      <c r="R369" s="47"/>
      <c r="S369" s="47"/>
      <c r="T369" s="47" t="s">
        <v>3123</v>
      </c>
      <c r="U369" s="47" t="s">
        <v>931</v>
      </c>
      <c r="V369" s="47" t="s">
        <v>442</v>
      </c>
      <c r="W369" s="47" t="s">
        <v>931</v>
      </c>
      <c r="X369" s="47" t="s">
        <v>932</v>
      </c>
      <c r="Y369" s="47" t="s">
        <v>491</v>
      </c>
      <c r="Z369" s="47" t="s">
        <v>1221</v>
      </c>
      <c r="AA369" s="47" t="s">
        <v>1222</v>
      </c>
      <c r="AB369" s="47" t="s">
        <v>931</v>
      </c>
      <c r="AC369" s="47" t="s">
        <v>437</v>
      </c>
      <c r="AD369" s="47" t="s">
        <v>3124</v>
      </c>
      <c r="AE369" s="47" t="s">
        <v>937</v>
      </c>
      <c r="AF369" s="47" t="s">
        <v>931</v>
      </c>
      <c r="AG369" s="47" t="s">
        <v>931</v>
      </c>
      <c r="AH369" s="47" t="s">
        <v>364</v>
      </c>
      <c r="AI369" s="47" t="s">
        <v>931</v>
      </c>
      <c r="AJ369" s="47" t="s">
        <v>365</v>
      </c>
      <c r="AK369" s="47" t="s">
        <v>930</v>
      </c>
      <c r="AL369" s="47" t="s">
        <v>931</v>
      </c>
      <c r="AM369" s="47" t="s">
        <v>931</v>
      </c>
      <c r="AN369" s="37"/>
    </row>
    <row r="370" spans="1:40">
      <c r="A370" s="47" t="s">
        <v>982</v>
      </c>
      <c r="B370" s="47" t="s">
        <v>919</v>
      </c>
      <c r="C370" s="47" t="s">
        <v>3125</v>
      </c>
      <c r="D370" s="47">
        <f t="shared" si="12"/>
        <v>163526</v>
      </c>
      <c r="E370" s="47" t="s">
        <v>200</v>
      </c>
      <c r="F370" s="47" t="s">
        <v>191</v>
      </c>
      <c r="G370" s="47" t="s">
        <v>391</v>
      </c>
      <c r="H370" s="47" t="s">
        <v>1518</v>
      </c>
      <c r="I370" s="47" t="s">
        <v>3126</v>
      </c>
      <c r="J370" s="47" t="s">
        <v>1024</v>
      </c>
      <c r="K370" s="47" t="s">
        <v>163</v>
      </c>
      <c r="L370" s="47" t="s">
        <v>3127</v>
      </c>
      <c r="M370" s="47" t="s">
        <v>3083</v>
      </c>
      <c r="N370" s="47" t="s">
        <v>946</v>
      </c>
      <c r="O370" s="47" t="s">
        <v>930</v>
      </c>
      <c r="P370" s="47" t="s">
        <v>930</v>
      </c>
      <c r="Q370" s="47"/>
      <c r="R370" s="47"/>
      <c r="S370" s="47"/>
      <c r="T370" s="47" t="s">
        <v>3128</v>
      </c>
      <c r="U370" s="47" t="s">
        <v>3129</v>
      </c>
      <c r="V370" s="47" t="s">
        <v>521</v>
      </c>
      <c r="W370" s="47" t="s">
        <v>931</v>
      </c>
      <c r="X370" s="47" t="s">
        <v>932</v>
      </c>
      <c r="Y370" s="47" t="s">
        <v>391</v>
      </c>
      <c r="Z370" s="47" t="s">
        <v>3130</v>
      </c>
      <c r="AA370" s="47" t="s">
        <v>3131</v>
      </c>
      <c r="AB370" s="47" t="s">
        <v>931</v>
      </c>
      <c r="AC370" s="47" t="s">
        <v>447</v>
      </c>
      <c r="AD370" s="47" t="s">
        <v>3132</v>
      </c>
      <c r="AE370" s="47" t="s">
        <v>937</v>
      </c>
      <c r="AF370" s="47" t="s">
        <v>931</v>
      </c>
      <c r="AG370" s="47" t="s">
        <v>3133</v>
      </c>
      <c r="AH370" s="47" t="s">
        <v>931</v>
      </c>
      <c r="AI370" s="47" t="s">
        <v>931</v>
      </c>
      <c r="AJ370" s="47" t="s">
        <v>931</v>
      </c>
      <c r="AK370" s="47" t="s">
        <v>930</v>
      </c>
      <c r="AL370" s="47" t="s">
        <v>931</v>
      </c>
      <c r="AM370" s="47" t="s">
        <v>931</v>
      </c>
      <c r="AN370" s="37"/>
    </row>
    <row r="371" spans="1:40" hidden="1">
      <c r="A371" s="47" t="s">
        <v>982</v>
      </c>
      <c r="B371" s="47" t="s">
        <v>919</v>
      </c>
      <c r="C371" s="47" t="s">
        <v>3134</v>
      </c>
      <c r="D371" s="47">
        <f t="shared" si="12"/>
        <v>164867</v>
      </c>
      <c r="E371" s="47" t="s">
        <v>348</v>
      </c>
      <c r="F371" s="47" t="s">
        <v>349</v>
      </c>
      <c r="G371" s="47" t="s">
        <v>1160</v>
      </c>
      <c r="H371" s="47" t="s">
        <v>969</v>
      </c>
      <c r="I371" s="47" t="s">
        <v>3118</v>
      </c>
      <c r="J371" s="47" t="s">
        <v>1172</v>
      </c>
      <c r="K371" s="47" t="s">
        <v>163</v>
      </c>
      <c r="L371" s="47" t="s">
        <v>1511</v>
      </c>
      <c r="M371" s="47" t="s">
        <v>1004</v>
      </c>
      <c r="N371" s="47" t="s">
        <v>946</v>
      </c>
      <c r="O371" s="47" t="s">
        <v>930</v>
      </c>
      <c r="P371" s="47" t="s">
        <v>930</v>
      </c>
      <c r="Q371" s="47"/>
      <c r="R371" s="47"/>
      <c r="S371" s="47"/>
      <c r="T371" s="47" t="s">
        <v>3135</v>
      </c>
      <c r="U371" s="47" t="s">
        <v>931</v>
      </c>
      <c r="V371" s="47" t="s">
        <v>513</v>
      </c>
      <c r="W371" s="47" t="s">
        <v>931</v>
      </c>
      <c r="X371" s="47" t="s">
        <v>932</v>
      </c>
      <c r="Y371" s="47" t="s">
        <v>1160</v>
      </c>
      <c r="Z371" s="47" t="s">
        <v>1161</v>
      </c>
      <c r="AA371" s="47" t="s">
        <v>1162</v>
      </c>
      <c r="AB371" s="47" t="s">
        <v>931</v>
      </c>
      <c r="AC371" s="47" t="s">
        <v>1160</v>
      </c>
      <c r="AD371" s="47" t="s">
        <v>3120</v>
      </c>
      <c r="AE371" s="47" t="s">
        <v>937</v>
      </c>
      <c r="AF371" s="47" t="s">
        <v>931</v>
      </c>
      <c r="AG371" s="47" t="s">
        <v>3136</v>
      </c>
      <c r="AH371" s="47" t="s">
        <v>364</v>
      </c>
      <c r="AI371" s="47" t="s">
        <v>931</v>
      </c>
      <c r="AJ371" s="47" t="s">
        <v>365</v>
      </c>
      <c r="AK371" s="47" t="s">
        <v>930</v>
      </c>
      <c r="AL371" s="47" t="s">
        <v>931</v>
      </c>
      <c r="AM371" s="47" t="s">
        <v>931</v>
      </c>
      <c r="AN371" s="37"/>
    </row>
    <row r="372" spans="1:40" hidden="1">
      <c r="A372" s="47" t="s">
        <v>982</v>
      </c>
      <c r="B372" s="47" t="s">
        <v>919</v>
      </c>
      <c r="C372" s="47" t="s">
        <v>3137</v>
      </c>
      <c r="D372" s="47">
        <f t="shared" si="12"/>
        <v>164864</v>
      </c>
      <c r="E372" s="47" t="s">
        <v>3138</v>
      </c>
      <c r="F372" s="47" t="s">
        <v>3139</v>
      </c>
      <c r="G372" s="47" t="s">
        <v>985</v>
      </c>
      <c r="H372" s="47" t="s">
        <v>924</v>
      </c>
      <c r="I372" s="47" t="s">
        <v>3111</v>
      </c>
      <c r="J372" s="47" t="s">
        <v>1172</v>
      </c>
      <c r="K372" s="47" t="s">
        <v>163</v>
      </c>
      <c r="L372" s="47" t="s">
        <v>3140</v>
      </c>
      <c r="M372" s="47" t="s">
        <v>1004</v>
      </c>
      <c r="N372" s="47" t="s">
        <v>946</v>
      </c>
      <c r="O372" s="47" t="s">
        <v>930</v>
      </c>
      <c r="P372" s="47" t="s">
        <v>930</v>
      </c>
      <c r="Q372" s="47"/>
      <c r="R372" s="47"/>
      <c r="S372" s="47"/>
      <c r="T372" s="47" t="s">
        <v>3141</v>
      </c>
      <c r="U372" s="47" t="s">
        <v>931</v>
      </c>
      <c r="V372" s="47" t="s">
        <v>442</v>
      </c>
      <c r="W372" s="47" t="s">
        <v>931</v>
      </c>
      <c r="X372" s="47" t="s">
        <v>932</v>
      </c>
      <c r="Y372" s="47" t="s">
        <v>985</v>
      </c>
      <c r="Z372" s="47" t="s">
        <v>988</v>
      </c>
      <c r="AA372" s="47" t="s">
        <v>989</v>
      </c>
      <c r="AB372" s="47" t="s">
        <v>931</v>
      </c>
      <c r="AC372" s="47" t="s">
        <v>931</v>
      </c>
      <c r="AD372" s="47" t="s">
        <v>3115</v>
      </c>
      <c r="AE372" s="47" t="s">
        <v>937</v>
      </c>
      <c r="AF372" s="47" t="s">
        <v>3142</v>
      </c>
      <c r="AG372" s="47" t="s">
        <v>3143</v>
      </c>
      <c r="AH372" s="47" t="s">
        <v>1067</v>
      </c>
      <c r="AI372" s="47" t="s">
        <v>931</v>
      </c>
      <c r="AJ372" s="47" t="s">
        <v>365</v>
      </c>
      <c r="AK372" s="47" t="s">
        <v>930</v>
      </c>
      <c r="AL372" s="47" t="s">
        <v>931</v>
      </c>
      <c r="AM372" s="47" t="s">
        <v>931</v>
      </c>
      <c r="AN372" s="37"/>
    </row>
    <row r="373" spans="1:40" hidden="1">
      <c r="A373" s="47" t="s">
        <v>982</v>
      </c>
      <c r="B373" s="47" t="s">
        <v>919</v>
      </c>
      <c r="C373" s="47" t="s">
        <v>3144</v>
      </c>
      <c r="D373" s="47">
        <f t="shared" si="12"/>
        <v>164860</v>
      </c>
      <c r="E373" s="47" t="s">
        <v>3145</v>
      </c>
      <c r="F373" s="47" t="s">
        <v>3146</v>
      </c>
      <c r="G373" s="47" t="s">
        <v>373</v>
      </c>
      <c r="H373" s="47" t="s">
        <v>969</v>
      </c>
      <c r="I373" s="47" t="s">
        <v>3111</v>
      </c>
      <c r="J373" s="47" t="s">
        <v>1172</v>
      </c>
      <c r="K373" s="47" t="s">
        <v>163</v>
      </c>
      <c r="L373" s="47" t="s">
        <v>1236</v>
      </c>
      <c r="M373" s="47" t="s">
        <v>2725</v>
      </c>
      <c r="N373" s="47" t="s">
        <v>946</v>
      </c>
      <c r="O373" s="47" t="s">
        <v>930</v>
      </c>
      <c r="P373" s="47" t="s">
        <v>930</v>
      </c>
      <c r="Q373" s="47"/>
      <c r="R373" s="47"/>
      <c r="S373" s="47"/>
      <c r="T373" s="47" t="s">
        <v>3147</v>
      </c>
      <c r="U373" s="47" t="s">
        <v>931</v>
      </c>
      <c r="V373" s="47" t="s">
        <v>442</v>
      </c>
      <c r="W373" s="47" t="s">
        <v>931</v>
      </c>
      <c r="X373" s="47" t="s">
        <v>932</v>
      </c>
      <c r="Y373" s="47" t="s">
        <v>373</v>
      </c>
      <c r="Z373" s="47" t="s">
        <v>3148</v>
      </c>
      <c r="AA373" s="47" t="s">
        <v>3149</v>
      </c>
      <c r="AB373" s="47" t="s">
        <v>931</v>
      </c>
      <c r="AC373" s="47" t="s">
        <v>931</v>
      </c>
      <c r="AD373" s="47" t="s">
        <v>3115</v>
      </c>
      <c r="AE373" s="47" t="s">
        <v>937</v>
      </c>
      <c r="AF373" s="47" t="s">
        <v>931</v>
      </c>
      <c r="AG373" s="47" t="s">
        <v>3150</v>
      </c>
      <c r="AH373" s="47" t="s">
        <v>1067</v>
      </c>
      <c r="AI373" s="47" t="s">
        <v>931</v>
      </c>
      <c r="AJ373" s="47" t="s">
        <v>365</v>
      </c>
      <c r="AK373" s="47" t="s">
        <v>930</v>
      </c>
      <c r="AL373" s="47" t="s">
        <v>931</v>
      </c>
      <c r="AM373" s="47" t="s">
        <v>931</v>
      </c>
      <c r="AN373" s="37"/>
    </row>
    <row r="374" spans="1:40" hidden="1">
      <c r="A374" s="47" t="s">
        <v>982</v>
      </c>
      <c r="B374" s="47" t="s">
        <v>919</v>
      </c>
      <c r="C374" s="47" t="s">
        <v>3151</v>
      </c>
      <c r="D374" s="47">
        <f t="shared" si="12"/>
        <v>164866</v>
      </c>
      <c r="E374" s="47" t="s">
        <v>328</v>
      </c>
      <c r="F374" s="47" t="s">
        <v>329</v>
      </c>
      <c r="G374" s="47" t="s">
        <v>1164</v>
      </c>
      <c r="H374" s="47" t="s">
        <v>969</v>
      </c>
      <c r="I374" s="47" t="s">
        <v>3118</v>
      </c>
      <c r="J374" s="47" t="s">
        <v>1172</v>
      </c>
      <c r="K374" s="47" t="s">
        <v>163</v>
      </c>
      <c r="L374" s="47" t="s">
        <v>1371</v>
      </c>
      <c r="M374" s="47" t="s">
        <v>1004</v>
      </c>
      <c r="N374" s="47" t="s">
        <v>946</v>
      </c>
      <c r="O374" s="47" t="s">
        <v>930</v>
      </c>
      <c r="P374" s="47" t="s">
        <v>930</v>
      </c>
      <c r="Q374" s="47"/>
      <c r="R374" s="47"/>
      <c r="S374" s="47"/>
      <c r="T374" s="47" t="s">
        <v>3152</v>
      </c>
      <c r="U374" s="47" t="s">
        <v>931</v>
      </c>
      <c r="V374" s="47" t="s">
        <v>513</v>
      </c>
      <c r="W374" s="47" t="s">
        <v>931</v>
      </c>
      <c r="X374" s="47" t="s">
        <v>932</v>
      </c>
      <c r="Y374" s="47" t="s">
        <v>1164</v>
      </c>
      <c r="Z374" s="47" t="s">
        <v>1165</v>
      </c>
      <c r="AA374" s="47" t="s">
        <v>1166</v>
      </c>
      <c r="AB374" s="47" t="s">
        <v>931</v>
      </c>
      <c r="AC374" s="47" t="s">
        <v>515</v>
      </c>
      <c r="AD374" s="47" t="s">
        <v>3120</v>
      </c>
      <c r="AE374" s="47" t="s">
        <v>937</v>
      </c>
      <c r="AF374" s="47" t="s">
        <v>931</v>
      </c>
      <c r="AG374" s="47" t="s">
        <v>3153</v>
      </c>
      <c r="AH374" s="47" t="s">
        <v>364</v>
      </c>
      <c r="AI374" s="47" t="s">
        <v>931</v>
      </c>
      <c r="AJ374" s="47" t="s">
        <v>365</v>
      </c>
      <c r="AK374" s="47" t="s">
        <v>930</v>
      </c>
      <c r="AL374" s="47" t="s">
        <v>931</v>
      </c>
      <c r="AM374" s="47" t="s">
        <v>931</v>
      </c>
      <c r="AN374" s="37"/>
    </row>
    <row r="375" spans="1:40" hidden="1">
      <c r="A375" s="47" t="s">
        <v>982</v>
      </c>
      <c r="B375" s="47" t="s">
        <v>919</v>
      </c>
      <c r="C375" s="47" t="s">
        <v>3154</v>
      </c>
      <c r="D375" s="47">
        <f t="shared" si="12"/>
        <v>164859</v>
      </c>
      <c r="E375" s="47" t="s">
        <v>309</v>
      </c>
      <c r="F375" s="47" t="s">
        <v>310</v>
      </c>
      <c r="G375" s="47" t="s">
        <v>2975</v>
      </c>
      <c r="H375" s="47" t="s">
        <v>931</v>
      </c>
      <c r="I375" s="47" t="s">
        <v>3155</v>
      </c>
      <c r="J375" s="47" t="s">
        <v>1024</v>
      </c>
      <c r="K375" s="47" t="s">
        <v>163</v>
      </c>
      <c r="L375" s="47" t="s">
        <v>3156</v>
      </c>
      <c r="M375" s="47" t="s">
        <v>2836</v>
      </c>
      <c r="N375" s="47" t="s">
        <v>3157</v>
      </c>
      <c r="O375" s="47" t="s">
        <v>930</v>
      </c>
      <c r="P375" s="47" t="s">
        <v>930</v>
      </c>
      <c r="Q375" s="47"/>
      <c r="R375" s="47"/>
      <c r="S375" s="47"/>
      <c r="T375" s="47" t="s">
        <v>3158</v>
      </c>
      <c r="U375" s="47" t="s">
        <v>931</v>
      </c>
      <c r="V375" s="47" t="s">
        <v>442</v>
      </c>
      <c r="W375" s="47" t="s">
        <v>931</v>
      </c>
      <c r="X375" s="47" t="s">
        <v>995</v>
      </c>
      <c r="Y375" s="47" t="s">
        <v>2975</v>
      </c>
      <c r="Z375" s="47" t="s">
        <v>2981</v>
      </c>
      <c r="AA375" s="47" t="s">
        <v>2982</v>
      </c>
      <c r="AB375" s="47" t="s">
        <v>3159</v>
      </c>
      <c r="AC375" s="47" t="s">
        <v>441</v>
      </c>
      <c r="AD375" s="47" t="s">
        <v>3160</v>
      </c>
      <c r="AE375" s="47" t="s">
        <v>937</v>
      </c>
      <c r="AF375" s="47" t="s">
        <v>931</v>
      </c>
      <c r="AG375" s="47" t="s">
        <v>931</v>
      </c>
      <c r="AH375" s="47" t="s">
        <v>364</v>
      </c>
      <c r="AI375" s="47" t="s">
        <v>931</v>
      </c>
      <c r="AJ375" s="47" t="s">
        <v>365</v>
      </c>
      <c r="AK375" s="47" t="s">
        <v>930</v>
      </c>
      <c r="AL375" s="47" t="s">
        <v>931</v>
      </c>
      <c r="AM375" s="47" t="s">
        <v>931</v>
      </c>
      <c r="AN375" s="37"/>
    </row>
    <row r="376" spans="1:40" hidden="1">
      <c r="A376" s="47" t="s">
        <v>982</v>
      </c>
      <c r="B376" s="47" t="s">
        <v>919</v>
      </c>
      <c r="C376" s="47" t="s">
        <v>3161</v>
      </c>
      <c r="D376" s="47">
        <f t="shared" si="12"/>
        <v>164863</v>
      </c>
      <c r="E376" s="47" t="s">
        <v>3162</v>
      </c>
      <c r="F376" s="47" t="s">
        <v>3163</v>
      </c>
      <c r="G376" s="47" t="s">
        <v>3164</v>
      </c>
      <c r="H376" s="47" t="s">
        <v>969</v>
      </c>
      <c r="I376" s="47" t="s">
        <v>3111</v>
      </c>
      <c r="J376" s="47" t="s">
        <v>1172</v>
      </c>
      <c r="K376" s="47" t="s">
        <v>163</v>
      </c>
      <c r="L376" s="47" t="s">
        <v>1442</v>
      </c>
      <c r="M376" s="47" t="s">
        <v>1004</v>
      </c>
      <c r="N376" s="47" t="s">
        <v>946</v>
      </c>
      <c r="O376" s="47" t="s">
        <v>930</v>
      </c>
      <c r="P376" s="47" t="s">
        <v>930</v>
      </c>
      <c r="Q376" s="47"/>
      <c r="R376" s="47"/>
      <c r="S376" s="47"/>
      <c r="T376" s="47" t="s">
        <v>3165</v>
      </c>
      <c r="U376" s="47" t="s">
        <v>931</v>
      </c>
      <c r="V376" s="47" t="s">
        <v>442</v>
      </c>
      <c r="W376" s="47" t="s">
        <v>931</v>
      </c>
      <c r="X376" s="47" t="s">
        <v>995</v>
      </c>
      <c r="Y376" s="47" t="s">
        <v>3164</v>
      </c>
      <c r="Z376" s="47" t="s">
        <v>3166</v>
      </c>
      <c r="AA376" s="47" t="s">
        <v>3167</v>
      </c>
      <c r="AB376" s="47" t="s">
        <v>931</v>
      </c>
      <c r="AC376" s="47" t="s">
        <v>931</v>
      </c>
      <c r="AD376" s="47" t="s">
        <v>3115</v>
      </c>
      <c r="AE376" s="47" t="s">
        <v>937</v>
      </c>
      <c r="AF376" s="47" t="s">
        <v>931</v>
      </c>
      <c r="AG376" s="47" t="s">
        <v>3168</v>
      </c>
      <c r="AH376" s="47" t="s">
        <v>1067</v>
      </c>
      <c r="AI376" s="47" t="s">
        <v>931</v>
      </c>
      <c r="AJ376" s="47" t="s">
        <v>365</v>
      </c>
      <c r="AK376" s="47" t="s">
        <v>930</v>
      </c>
      <c r="AL376" s="47" t="s">
        <v>931</v>
      </c>
      <c r="AM376" s="47" t="s">
        <v>931</v>
      </c>
      <c r="AN376" s="37"/>
    </row>
    <row r="377" spans="1:40" hidden="1">
      <c r="A377" s="47" t="s">
        <v>982</v>
      </c>
      <c r="B377" s="47" t="s">
        <v>919</v>
      </c>
      <c r="C377" s="47" t="s">
        <v>3169</v>
      </c>
      <c r="D377" s="47">
        <f t="shared" si="12"/>
        <v>164861</v>
      </c>
      <c r="E377" s="47" t="s">
        <v>350</v>
      </c>
      <c r="F377" s="47" t="s">
        <v>351</v>
      </c>
      <c r="G377" s="47" t="s">
        <v>3170</v>
      </c>
      <c r="H377" s="47" t="s">
        <v>924</v>
      </c>
      <c r="I377" s="47" t="s">
        <v>3111</v>
      </c>
      <c r="J377" s="47" t="s">
        <v>1172</v>
      </c>
      <c r="K377" s="47" t="s">
        <v>163</v>
      </c>
      <c r="L377" s="47" t="s">
        <v>3042</v>
      </c>
      <c r="M377" s="47" t="s">
        <v>2725</v>
      </c>
      <c r="N377" s="47" t="s">
        <v>946</v>
      </c>
      <c r="O377" s="47" t="s">
        <v>930</v>
      </c>
      <c r="P377" s="47" t="s">
        <v>930</v>
      </c>
      <c r="Q377" s="47"/>
      <c r="R377" s="47"/>
      <c r="S377" s="47"/>
      <c r="T377" s="47" t="s">
        <v>3171</v>
      </c>
      <c r="U377" s="47" t="s">
        <v>931</v>
      </c>
      <c r="V377" s="47" t="s">
        <v>442</v>
      </c>
      <c r="W377" s="47" t="s">
        <v>931</v>
      </c>
      <c r="X377" s="47" t="s">
        <v>932</v>
      </c>
      <c r="Y377" s="47" t="s">
        <v>3170</v>
      </c>
      <c r="Z377" s="47" t="s">
        <v>3172</v>
      </c>
      <c r="AA377" s="47" t="s">
        <v>3173</v>
      </c>
      <c r="AB377" s="47" t="s">
        <v>931</v>
      </c>
      <c r="AC377" s="47" t="s">
        <v>931</v>
      </c>
      <c r="AD377" s="47" t="s">
        <v>3115</v>
      </c>
      <c r="AE377" s="47" t="s">
        <v>937</v>
      </c>
      <c r="AF377" s="47" t="s">
        <v>931</v>
      </c>
      <c r="AG377" s="47" t="s">
        <v>3174</v>
      </c>
      <c r="AH377" s="47" t="s">
        <v>364</v>
      </c>
      <c r="AI377" s="47" t="s">
        <v>931</v>
      </c>
      <c r="AJ377" s="47" t="s">
        <v>365</v>
      </c>
      <c r="AK377" s="47" t="s">
        <v>930</v>
      </c>
      <c r="AL377" s="47" t="s">
        <v>931</v>
      </c>
      <c r="AM377" s="47" t="s">
        <v>931</v>
      </c>
      <c r="AN377" s="37"/>
    </row>
    <row r="378" spans="1:40" hidden="1">
      <c r="A378" s="47" t="s">
        <v>982</v>
      </c>
      <c r="B378" s="47" t="s">
        <v>919</v>
      </c>
      <c r="C378" s="47" t="s">
        <v>3175</v>
      </c>
      <c r="D378" s="47">
        <f t="shared" si="12"/>
        <v>163912</v>
      </c>
      <c r="E378" s="47" t="s">
        <v>2201</v>
      </c>
      <c r="F378" s="47" t="s">
        <v>2202</v>
      </c>
      <c r="G378" s="47" t="s">
        <v>3176</v>
      </c>
      <c r="H378" s="47" t="s">
        <v>1753</v>
      </c>
      <c r="I378" s="47" t="s">
        <v>3177</v>
      </c>
      <c r="J378" s="47" t="s">
        <v>1024</v>
      </c>
      <c r="K378" s="47" t="s">
        <v>163</v>
      </c>
      <c r="L378" s="47" t="s">
        <v>1344</v>
      </c>
      <c r="M378" s="47" t="s">
        <v>1056</v>
      </c>
      <c r="N378" s="47" t="s">
        <v>946</v>
      </c>
      <c r="O378" s="47" t="s">
        <v>930</v>
      </c>
      <c r="P378" s="47" t="s">
        <v>930</v>
      </c>
      <c r="Q378" s="47"/>
      <c r="R378" s="47"/>
      <c r="S378" s="47"/>
      <c r="T378" s="47" t="s">
        <v>3178</v>
      </c>
      <c r="U378" s="47" t="s">
        <v>3179</v>
      </c>
      <c r="V378" s="47" t="s">
        <v>3180</v>
      </c>
      <c r="W378" s="47" t="s">
        <v>931</v>
      </c>
      <c r="X378" s="47" t="s">
        <v>995</v>
      </c>
      <c r="Y378" s="47" t="s">
        <v>3176</v>
      </c>
      <c r="Z378" s="47" t="s">
        <v>3181</v>
      </c>
      <c r="AA378" s="47" t="s">
        <v>3182</v>
      </c>
      <c r="AB378" s="47" t="s">
        <v>1494</v>
      </c>
      <c r="AC378" s="47" t="s">
        <v>359</v>
      </c>
      <c r="AD378" s="47" t="s">
        <v>3183</v>
      </c>
      <c r="AE378" s="47" t="s">
        <v>937</v>
      </c>
      <c r="AF378" s="47" t="s">
        <v>931</v>
      </c>
      <c r="AG378" s="47" t="s">
        <v>931</v>
      </c>
      <c r="AH378" s="47" t="s">
        <v>931</v>
      </c>
      <c r="AI378" s="47" t="s">
        <v>931</v>
      </c>
      <c r="AJ378" s="47" t="s">
        <v>931</v>
      </c>
      <c r="AK378" s="47" t="s">
        <v>930</v>
      </c>
      <c r="AL378" s="47" t="s">
        <v>931</v>
      </c>
      <c r="AM378" s="47" t="s">
        <v>931</v>
      </c>
      <c r="AN378" s="37"/>
    </row>
    <row r="379" spans="1:40">
      <c r="A379" s="47" t="s">
        <v>982</v>
      </c>
      <c r="B379" s="47" t="s">
        <v>919</v>
      </c>
      <c r="C379" s="47" t="s">
        <v>3184</v>
      </c>
      <c r="D379" s="47">
        <f t="shared" si="12"/>
        <v>163925</v>
      </c>
      <c r="E379" s="47" t="s">
        <v>200</v>
      </c>
      <c r="F379" s="47" t="s">
        <v>191</v>
      </c>
      <c r="G379" s="47" t="s">
        <v>489</v>
      </c>
      <c r="H379" s="47" t="s">
        <v>1518</v>
      </c>
      <c r="I379" s="47" t="s">
        <v>3185</v>
      </c>
      <c r="J379" s="47" t="s">
        <v>1024</v>
      </c>
      <c r="K379" s="47" t="s">
        <v>163</v>
      </c>
      <c r="L379" s="47" t="s">
        <v>3083</v>
      </c>
      <c r="M379" s="47" t="s">
        <v>3083</v>
      </c>
      <c r="N379" s="47" t="s">
        <v>946</v>
      </c>
      <c r="O379" s="47" t="s">
        <v>930</v>
      </c>
      <c r="P379" s="47" t="s">
        <v>930</v>
      </c>
      <c r="Q379" s="47"/>
      <c r="R379" s="47"/>
      <c r="S379" s="47"/>
      <c r="T379" s="47" t="s">
        <v>3186</v>
      </c>
      <c r="U379" s="47" t="s">
        <v>3187</v>
      </c>
      <c r="V379" s="47" t="s">
        <v>521</v>
      </c>
      <c r="W379" s="47" t="s">
        <v>931</v>
      </c>
      <c r="X379" s="47" t="s">
        <v>932</v>
      </c>
      <c r="Y379" s="47" t="s">
        <v>489</v>
      </c>
      <c r="Z379" s="47" t="s">
        <v>1326</v>
      </c>
      <c r="AA379" s="47" t="s">
        <v>1327</v>
      </c>
      <c r="AB379" s="47" t="s">
        <v>931</v>
      </c>
      <c r="AC379" s="47" t="s">
        <v>447</v>
      </c>
      <c r="AD379" s="47" t="s">
        <v>3188</v>
      </c>
      <c r="AE379" s="47" t="s">
        <v>937</v>
      </c>
      <c r="AF379" s="47" t="s">
        <v>3189</v>
      </c>
      <c r="AG379" s="47" t="s">
        <v>3190</v>
      </c>
      <c r="AH379" s="47" t="s">
        <v>931</v>
      </c>
      <c r="AI379" s="47" t="s">
        <v>931</v>
      </c>
      <c r="AJ379" s="47" t="s">
        <v>931</v>
      </c>
      <c r="AK379" s="47" t="s">
        <v>930</v>
      </c>
      <c r="AL379" s="47" t="s">
        <v>931</v>
      </c>
      <c r="AM379" s="47" t="s">
        <v>931</v>
      </c>
      <c r="AN379" s="37"/>
    </row>
    <row r="380" spans="1:40" hidden="1">
      <c r="A380" s="47" t="s">
        <v>982</v>
      </c>
      <c r="B380" s="47" t="s">
        <v>919</v>
      </c>
      <c r="C380" s="47" t="s">
        <v>3191</v>
      </c>
      <c r="D380" s="47">
        <f t="shared" si="12"/>
        <v>161390</v>
      </c>
      <c r="E380" s="47" t="s">
        <v>63</v>
      </c>
      <c r="F380" s="47" t="s">
        <v>473</v>
      </c>
      <c r="G380" s="47" t="s">
        <v>485</v>
      </c>
      <c r="H380" s="47" t="s">
        <v>1053</v>
      </c>
      <c r="I380" s="47" t="s">
        <v>3192</v>
      </c>
      <c r="J380" s="47" t="s">
        <v>1055</v>
      </c>
      <c r="K380" s="47" t="s">
        <v>163</v>
      </c>
      <c r="L380" s="47" t="s">
        <v>1056</v>
      </c>
      <c r="M380" s="47" t="s">
        <v>1056</v>
      </c>
      <c r="N380" s="47" t="s">
        <v>1058</v>
      </c>
      <c r="O380" s="47" t="s">
        <v>930</v>
      </c>
      <c r="P380" s="47" t="s">
        <v>930</v>
      </c>
      <c r="Q380" s="47" t="str">
        <f>LEFT(T380,9)</f>
        <v xml:space="preserve"> Chiều T2</v>
      </c>
      <c r="R380" s="47" t="s">
        <v>973</v>
      </c>
      <c r="S380" s="47" t="s">
        <v>1103</v>
      </c>
      <c r="T380" s="47" t="s">
        <v>3193</v>
      </c>
      <c r="U380" s="47" t="s">
        <v>3194</v>
      </c>
      <c r="V380" s="47" t="s">
        <v>25</v>
      </c>
      <c r="W380" s="47" t="s">
        <v>931</v>
      </c>
      <c r="X380" s="47" t="s">
        <v>995</v>
      </c>
      <c r="Y380" s="47" t="s">
        <v>485</v>
      </c>
      <c r="Z380" s="47" t="s">
        <v>2999</v>
      </c>
      <c r="AA380" s="47" t="s">
        <v>3000</v>
      </c>
      <c r="AB380" s="47" t="s">
        <v>1604</v>
      </c>
      <c r="AC380" s="47" t="s">
        <v>438</v>
      </c>
      <c r="AD380" s="47" t="s">
        <v>3195</v>
      </c>
      <c r="AE380" s="47" t="s">
        <v>937</v>
      </c>
      <c r="AF380" s="47" t="s">
        <v>931</v>
      </c>
      <c r="AG380" s="47" t="s">
        <v>931</v>
      </c>
      <c r="AH380" s="47" t="s">
        <v>364</v>
      </c>
      <c r="AI380" s="47" t="s">
        <v>931</v>
      </c>
      <c r="AJ380" s="47" t="s">
        <v>365</v>
      </c>
      <c r="AK380" s="47" t="s">
        <v>930</v>
      </c>
      <c r="AL380" s="47" t="s">
        <v>931</v>
      </c>
      <c r="AM380" s="47" t="s">
        <v>931</v>
      </c>
      <c r="AN380" s="37"/>
    </row>
    <row r="381" spans="1:40" hidden="1">
      <c r="A381" s="47" t="s">
        <v>982</v>
      </c>
      <c r="B381" s="47" t="s">
        <v>919</v>
      </c>
      <c r="C381" s="47" t="s">
        <v>3196</v>
      </c>
      <c r="D381" s="47">
        <f t="shared" si="12"/>
        <v>162294</v>
      </c>
      <c r="E381" s="47" t="s">
        <v>3197</v>
      </c>
      <c r="F381" s="47" t="s">
        <v>3198</v>
      </c>
      <c r="G381" s="47" t="s">
        <v>3199</v>
      </c>
      <c r="H381" s="47" t="s">
        <v>924</v>
      </c>
      <c r="I381" s="47" t="s">
        <v>3200</v>
      </c>
      <c r="J381" s="47" t="s">
        <v>1024</v>
      </c>
      <c r="K381" s="47" t="s">
        <v>163</v>
      </c>
      <c r="L381" s="47" t="s">
        <v>3201</v>
      </c>
      <c r="M381" s="47" t="s">
        <v>1173</v>
      </c>
      <c r="N381" s="47" t="s">
        <v>946</v>
      </c>
      <c r="O381" s="47" t="s">
        <v>930</v>
      </c>
      <c r="P381" s="47" t="s">
        <v>930</v>
      </c>
      <c r="Q381" s="47"/>
      <c r="R381" s="47"/>
      <c r="S381" s="47"/>
      <c r="T381" s="47" t="s">
        <v>3202</v>
      </c>
      <c r="U381" s="47" t="s">
        <v>3203</v>
      </c>
      <c r="V381" s="47" t="s">
        <v>3204</v>
      </c>
      <c r="W381" s="47" t="s">
        <v>931</v>
      </c>
      <c r="X381" s="47" t="s">
        <v>932</v>
      </c>
      <c r="Y381" s="47" t="s">
        <v>3199</v>
      </c>
      <c r="Z381" s="47" t="s">
        <v>3205</v>
      </c>
      <c r="AA381" s="47" t="s">
        <v>3206</v>
      </c>
      <c r="AB381" s="47" t="s">
        <v>931</v>
      </c>
      <c r="AC381" s="47" t="s">
        <v>3199</v>
      </c>
      <c r="AD381" s="47" t="s">
        <v>3207</v>
      </c>
      <c r="AE381" s="47" t="s">
        <v>937</v>
      </c>
      <c r="AF381" s="47" t="s">
        <v>931</v>
      </c>
      <c r="AG381" s="47" t="s">
        <v>931</v>
      </c>
      <c r="AH381" s="47" t="s">
        <v>1067</v>
      </c>
      <c r="AI381" s="47" t="s">
        <v>931</v>
      </c>
      <c r="AJ381" s="47" t="s">
        <v>365</v>
      </c>
      <c r="AK381" s="47" t="s">
        <v>930</v>
      </c>
      <c r="AL381" s="47" t="s">
        <v>931</v>
      </c>
      <c r="AM381" s="47" t="s">
        <v>931</v>
      </c>
      <c r="AN381" s="37"/>
    </row>
    <row r="382" spans="1:40" hidden="1">
      <c r="A382" s="47" t="s">
        <v>982</v>
      </c>
      <c r="B382" s="47" t="s">
        <v>919</v>
      </c>
      <c r="C382" s="47" t="s">
        <v>3208</v>
      </c>
      <c r="D382" s="47">
        <f t="shared" si="12"/>
        <v>162297</v>
      </c>
      <c r="E382" s="47" t="s">
        <v>317</v>
      </c>
      <c r="F382" s="47" t="s">
        <v>318</v>
      </c>
      <c r="G382" s="47" t="s">
        <v>372</v>
      </c>
      <c r="H382" s="47" t="s">
        <v>924</v>
      </c>
      <c r="I382" s="47" t="s">
        <v>3209</v>
      </c>
      <c r="J382" s="47" t="s">
        <v>1024</v>
      </c>
      <c r="K382" s="47" t="s">
        <v>163</v>
      </c>
      <c r="L382" s="47" t="s">
        <v>3201</v>
      </c>
      <c r="M382" s="47" t="s">
        <v>2719</v>
      </c>
      <c r="N382" s="47" t="s">
        <v>946</v>
      </c>
      <c r="O382" s="47" t="s">
        <v>930</v>
      </c>
      <c r="P382" s="47" t="s">
        <v>930</v>
      </c>
      <c r="Q382" s="47"/>
      <c r="R382" s="47"/>
      <c r="S382" s="47"/>
      <c r="T382" s="47" t="s">
        <v>3210</v>
      </c>
      <c r="U382" s="47" t="s">
        <v>3211</v>
      </c>
      <c r="V382" s="47" t="s">
        <v>3212</v>
      </c>
      <c r="W382" s="47" t="s">
        <v>931</v>
      </c>
      <c r="X382" s="47" t="s">
        <v>932</v>
      </c>
      <c r="Y382" s="47" t="s">
        <v>372</v>
      </c>
      <c r="Z382" s="47" t="s">
        <v>3213</v>
      </c>
      <c r="AA382" s="47" t="s">
        <v>3214</v>
      </c>
      <c r="AB382" s="47" t="s">
        <v>931</v>
      </c>
      <c r="AC382" s="47" t="s">
        <v>373</v>
      </c>
      <c r="AD382" s="47" t="s">
        <v>3215</v>
      </c>
      <c r="AE382" s="47" t="s">
        <v>937</v>
      </c>
      <c r="AF382" s="47" t="s">
        <v>931</v>
      </c>
      <c r="AG382" s="47" t="s">
        <v>3216</v>
      </c>
      <c r="AH382" s="47" t="s">
        <v>364</v>
      </c>
      <c r="AI382" s="47" t="s">
        <v>931</v>
      </c>
      <c r="AJ382" s="47" t="s">
        <v>365</v>
      </c>
      <c r="AK382" s="47" t="s">
        <v>930</v>
      </c>
      <c r="AL382" s="47" t="s">
        <v>931</v>
      </c>
      <c r="AM382" s="47" t="s">
        <v>931</v>
      </c>
      <c r="AN382" s="37"/>
    </row>
    <row r="383" spans="1:40" hidden="1">
      <c r="A383" s="47" t="s">
        <v>982</v>
      </c>
      <c r="B383" s="47" t="s">
        <v>919</v>
      </c>
      <c r="C383" s="47" t="s">
        <v>3217</v>
      </c>
      <c r="D383" s="47">
        <f t="shared" si="12"/>
        <v>162295</v>
      </c>
      <c r="E383" s="47" t="s">
        <v>2939</v>
      </c>
      <c r="F383" s="47" t="s">
        <v>2940</v>
      </c>
      <c r="G383" s="47" t="s">
        <v>1049</v>
      </c>
      <c r="H383" s="47" t="s">
        <v>969</v>
      </c>
      <c r="I383" s="47" t="s">
        <v>3200</v>
      </c>
      <c r="J383" s="47" t="s">
        <v>1024</v>
      </c>
      <c r="K383" s="47" t="s">
        <v>163</v>
      </c>
      <c r="L383" s="47" t="s">
        <v>1506</v>
      </c>
      <c r="M383" s="47" t="s">
        <v>1173</v>
      </c>
      <c r="N383" s="47" t="s">
        <v>946</v>
      </c>
      <c r="O383" s="47" t="s">
        <v>930</v>
      </c>
      <c r="P383" s="47" t="s">
        <v>930</v>
      </c>
      <c r="Q383" s="47"/>
      <c r="R383" s="47"/>
      <c r="S383" s="47"/>
      <c r="T383" s="47" t="s">
        <v>3218</v>
      </c>
      <c r="U383" s="47" t="s">
        <v>3219</v>
      </c>
      <c r="V383" s="47" t="s">
        <v>3204</v>
      </c>
      <c r="W383" s="47" t="s">
        <v>931</v>
      </c>
      <c r="X383" s="47" t="s">
        <v>932</v>
      </c>
      <c r="Y383" s="47" t="s">
        <v>1049</v>
      </c>
      <c r="Z383" s="47" t="s">
        <v>3220</v>
      </c>
      <c r="AA383" s="47" t="s">
        <v>3221</v>
      </c>
      <c r="AB383" s="47" t="s">
        <v>931</v>
      </c>
      <c r="AC383" s="47" t="s">
        <v>2941</v>
      </c>
      <c r="AD383" s="47" t="s">
        <v>3207</v>
      </c>
      <c r="AE383" s="47" t="s">
        <v>937</v>
      </c>
      <c r="AF383" s="47" t="s">
        <v>931</v>
      </c>
      <c r="AG383" s="47" t="s">
        <v>3222</v>
      </c>
      <c r="AH383" s="47" t="s">
        <v>364</v>
      </c>
      <c r="AI383" s="47" t="s">
        <v>931</v>
      </c>
      <c r="AJ383" s="47" t="s">
        <v>365</v>
      </c>
      <c r="AK383" s="47" t="s">
        <v>930</v>
      </c>
      <c r="AL383" s="47" t="s">
        <v>931</v>
      </c>
      <c r="AM383" s="47" t="s">
        <v>931</v>
      </c>
      <c r="AN383" s="37"/>
    </row>
    <row r="384" spans="1:40" hidden="1">
      <c r="A384" s="47" t="s">
        <v>982</v>
      </c>
      <c r="B384" s="47" t="s">
        <v>919</v>
      </c>
      <c r="C384" s="47" t="s">
        <v>3223</v>
      </c>
      <c r="D384" s="47">
        <f t="shared" si="12"/>
        <v>161391</v>
      </c>
      <c r="E384" s="47" t="s">
        <v>63</v>
      </c>
      <c r="F384" s="47" t="s">
        <v>473</v>
      </c>
      <c r="G384" s="47" t="s">
        <v>487</v>
      </c>
      <c r="H384" s="47" t="s">
        <v>1053</v>
      </c>
      <c r="I384" s="47" t="s">
        <v>3224</v>
      </c>
      <c r="J384" s="47" t="s">
        <v>1055</v>
      </c>
      <c r="K384" s="47" t="s">
        <v>163</v>
      </c>
      <c r="L384" s="47" t="s">
        <v>1057</v>
      </c>
      <c r="M384" s="47" t="s">
        <v>1056</v>
      </c>
      <c r="N384" s="47" t="s">
        <v>1058</v>
      </c>
      <c r="O384" s="47" t="s">
        <v>930</v>
      </c>
      <c r="P384" s="47" t="s">
        <v>930</v>
      </c>
      <c r="Q384" s="47" t="str">
        <f>LEFT(T384,9)</f>
        <v xml:space="preserve"> Sáng T5:</v>
      </c>
      <c r="R384" s="47" t="s">
        <v>973</v>
      </c>
      <c r="S384" s="47" t="s">
        <v>1027</v>
      </c>
      <c r="T384" s="47" t="s">
        <v>3225</v>
      </c>
      <c r="U384" s="47" t="s">
        <v>3226</v>
      </c>
      <c r="V384" s="47" t="s">
        <v>23</v>
      </c>
      <c r="W384" s="47" t="s">
        <v>931</v>
      </c>
      <c r="X384" s="47" t="s">
        <v>932</v>
      </c>
      <c r="Y384" s="47" t="s">
        <v>487</v>
      </c>
      <c r="Z384" s="47" t="s">
        <v>3227</v>
      </c>
      <c r="AA384" s="47" t="s">
        <v>3228</v>
      </c>
      <c r="AB384" s="47" t="s">
        <v>3229</v>
      </c>
      <c r="AC384" s="47" t="s">
        <v>438</v>
      </c>
      <c r="AD384" s="47" t="s">
        <v>3230</v>
      </c>
      <c r="AE384" s="47" t="s">
        <v>937</v>
      </c>
      <c r="AF384" s="47" t="s">
        <v>3231</v>
      </c>
      <c r="AG384" s="47" t="s">
        <v>3232</v>
      </c>
      <c r="AH384" s="47" t="s">
        <v>364</v>
      </c>
      <c r="AI384" s="47" t="s">
        <v>931</v>
      </c>
      <c r="AJ384" s="47" t="s">
        <v>365</v>
      </c>
      <c r="AK384" s="47" t="s">
        <v>930</v>
      </c>
      <c r="AL384" s="47" t="s">
        <v>931</v>
      </c>
      <c r="AM384" s="47" t="s">
        <v>931</v>
      </c>
      <c r="AN384" s="37"/>
    </row>
    <row r="385" spans="1:40" hidden="1">
      <c r="A385" s="47" t="s">
        <v>982</v>
      </c>
      <c r="B385" s="47" t="s">
        <v>919</v>
      </c>
      <c r="C385" s="47" t="s">
        <v>3233</v>
      </c>
      <c r="D385" s="47">
        <f t="shared" si="12"/>
        <v>162296</v>
      </c>
      <c r="E385" s="47" t="s">
        <v>3234</v>
      </c>
      <c r="F385" s="47" t="s">
        <v>3235</v>
      </c>
      <c r="G385" s="47" t="s">
        <v>2967</v>
      </c>
      <c r="H385" s="47" t="s">
        <v>969</v>
      </c>
      <c r="I385" s="47" t="s">
        <v>3200</v>
      </c>
      <c r="J385" s="47" t="s">
        <v>1024</v>
      </c>
      <c r="K385" s="47" t="s">
        <v>163</v>
      </c>
      <c r="L385" s="47" t="s">
        <v>2161</v>
      </c>
      <c r="M385" s="47" t="s">
        <v>1173</v>
      </c>
      <c r="N385" s="47" t="s">
        <v>946</v>
      </c>
      <c r="O385" s="47" t="s">
        <v>930</v>
      </c>
      <c r="P385" s="47" t="s">
        <v>930</v>
      </c>
      <c r="Q385" s="47"/>
      <c r="R385" s="47"/>
      <c r="S385" s="47"/>
      <c r="T385" s="47" t="s">
        <v>3236</v>
      </c>
      <c r="U385" s="47" t="s">
        <v>3237</v>
      </c>
      <c r="V385" s="47" t="s">
        <v>3238</v>
      </c>
      <c r="W385" s="47" t="s">
        <v>931</v>
      </c>
      <c r="X385" s="47" t="s">
        <v>932</v>
      </c>
      <c r="Y385" s="47" t="s">
        <v>2967</v>
      </c>
      <c r="Z385" s="47" t="s">
        <v>2971</v>
      </c>
      <c r="AA385" s="47" t="s">
        <v>2972</v>
      </c>
      <c r="AB385" s="47" t="s">
        <v>931</v>
      </c>
      <c r="AC385" s="47" t="s">
        <v>515</v>
      </c>
      <c r="AD385" s="47" t="s">
        <v>3207</v>
      </c>
      <c r="AE385" s="47" t="s">
        <v>937</v>
      </c>
      <c r="AF385" s="47" t="s">
        <v>931</v>
      </c>
      <c r="AG385" s="47" t="s">
        <v>931</v>
      </c>
      <c r="AH385" s="47" t="s">
        <v>931</v>
      </c>
      <c r="AI385" s="47" t="s">
        <v>931</v>
      </c>
      <c r="AJ385" s="47" t="s">
        <v>931</v>
      </c>
      <c r="AK385" s="47" t="s">
        <v>930</v>
      </c>
      <c r="AL385" s="47" t="s">
        <v>931</v>
      </c>
      <c r="AM385" s="47" t="s">
        <v>931</v>
      </c>
      <c r="AN385" s="37"/>
    </row>
    <row r="386" spans="1:40" hidden="1">
      <c r="A386" s="47" t="s">
        <v>982</v>
      </c>
      <c r="B386" s="47" t="s">
        <v>919</v>
      </c>
      <c r="C386" s="47" t="s">
        <v>3239</v>
      </c>
      <c r="D386" s="47">
        <f t="shared" si="12"/>
        <v>162299</v>
      </c>
      <c r="E386" s="47" t="s">
        <v>3240</v>
      </c>
      <c r="F386" s="47" t="s">
        <v>3241</v>
      </c>
      <c r="G386" s="47" t="s">
        <v>427</v>
      </c>
      <c r="H386" s="47" t="s">
        <v>969</v>
      </c>
      <c r="I386" s="47" t="s">
        <v>3209</v>
      </c>
      <c r="J386" s="47" t="s">
        <v>1024</v>
      </c>
      <c r="K386" s="47" t="s">
        <v>163</v>
      </c>
      <c r="L386" s="47" t="s">
        <v>3242</v>
      </c>
      <c r="M386" s="47" t="s">
        <v>2719</v>
      </c>
      <c r="N386" s="47" t="s">
        <v>946</v>
      </c>
      <c r="O386" s="47" t="s">
        <v>930</v>
      </c>
      <c r="P386" s="47" t="s">
        <v>930</v>
      </c>
      <c r="Q386" s="47"/>
      <c r="R386" s="47"/>
      <c r="S386" s="47"/>
      <c r="T386" s="47" t="s">
        <v>3243</v>
      </c>
      <c r="U386" s="47" t="s">
        <v>3244</v>
      </c>
      <c r="V386" s="47" t="s">
        <v>3245</v>
      </c>
      <c r="W386" s="47" t="s">
        <v>931</v>
      </c>
      <c r="X386" s="47" t="s">
        <v>932</v>
      </c>
      <c r="Y386" s="47" t="s">
        <v>427</v>
      </c>
      <c r="Z386" s="47" t="s">
        <v>3072</v>
      </c>
      <c r="AA386" s="47" t="s">
        <v>3073</v>
      </c>
      <c r="AB386" s="47" t="s">
        <v>3246</v>
      </c>
      <c r="AC386" s="47" t="s">
        <v>437</v>
      </c>
      <c r="AD386" s="47" t="s">
        <v>3215</v>
      </c>
      <c r="AE386" s="47" t="s">
        <v>937</v>
      </c>
      <c r="AF386" s="47" t="s">
        <v>931</v>
      </c>
      <c r="AG386" s="47" t="s">
        <v>3247</v>
      </c>
      <c r="AH386" s="47" t="s">
        <v>1067</v>
      </c>
      <c r="AI386" s="47" t="s">
        <v>931</v>
      </c>
      <c r="AJ386" s="47" t="s">
        <v>365</v>
      </c>
      <c r="AK386" s="47" t="s">
        <v>930</v>
      </c>
      <c r="AL386" s="47" t="s">
        <v>931</v>
      </c>
      <c r="AM386" s="47" t="s">
        <v>931</v>
      </c>
      <c r="AN386" s="37"/>
    </row>
    <row r="387" spans="1:40" hidden="1">
      <c r="A387" s="47" t="s">
        <v>982</v>
      </c>
      <c r="B387" s="47" t="s">
        <v>919</v>
      </c>
      <c r="C387" s="47" t="s">
        <v>3248</v>
      </c>
      <c r="D387" s="47">
        <f t="shared" ref="D387:D450" si="13">VALUE(C387)</f>
        <v>162298</v>
      </c>
      <c r="E387" s="47" t="s">
        <v>317</v>
      </c>
      <c r="F387" s="47" t="s">
        <v>318</v>
      </c>
      <c r="G387" s="47" t="s">
        <v>3249</v>
      </c>
      <c r="H387" s="47" t="s">
        <v>924</v>
      </c>
      <c r="I387" s="47" t="s">
        <v>3209</v>
      </c>
      <c r="J387" s="47" t="s">
        <v>1024</v>
      </c>
      <c r="K387" s="47" t="s">
        <v>163</v>
      </c>
      <c r="L387" s="47" t="s">
        <v>3250</v>
      </c>
      <c r="M387" s="47" t="s">
        <v>2719</v>
      </c>
      <c r="N387" s="47" t="s">
        <v>946</v>
      </c>
      <c r="O387" s="47" t="s">
        <v>930</v>
      </c>
      <c r="P387" s="47" t="s">
        <v>930</v>
      </c>
      <c r="Q387" s="47"/>
      <c r="R387" s="47"/>
      <c r="S387" s="47"/>
      <c r="T387" s="47" t="s">
        <v>3251</v>
      </c>
      <c r="U387" s="47" t="s">
        <v>3252</v>
      </c>
      <c r="V387" s="47" t="s">
        <v>3212</v>
      </c>
      <c r="W387" s="47" t="s">
        <v>931</v>
      </c>
      <c r="X387" s="47" t="s">
        <v>932</v>
      </c>
      <c r="Y387" s="47" t="s">
        <v>3249</v>
      </c>
      <c r="Z387" s="47" t="s">
        <v>3253</v>
      </c>
      <c r="AA387" s="47" t="s">
        <v>3254</v>
      </c>
      <c r="AB387" s="47" t="s">
        <v>3255</v>
      </c>
      <c r="AC387" s="47" t="s">
        <v>373</v>
      </c>
      <c r="AD387" s="47" t="s">
        <v>3215</v>
      </c>
      <c r="AE387" s="47" t="s">
        <v>937</v>
      </c>
      <c r="AF387" s="47" t="s">
        <v>3256</v>
      </c>
      <c r="AG387" s="47" t="s">
        <v>931</v>
      </c>
      <c r="AH387" s="47" t="s">
        <v>364</v>
      </c>
      <c r="AI387" s="47" t="s">
        <v>931</v>
      </c>
      <c r="AJ387" s="47" t="s">
        <v>365</v>
      </c>
      <c r="AK387" s="47" t="s">
        <v>930</v>
      </c>
      <c r="AL387" s="47" t="s">
        <v>931</v>
      </c>
      <c r="AM387" s="47" t="s">
        <v>931</v>
      </c>
      <c r="AN387" s="37"/>
    </row>
    <row r="388" spans="1:40" hidden="1">
      <c r="A388" s="47" t="s">
        <v>982</v>
      </c>
      <c r="B388" s="47" t="s">
        <v>919</v>
      </c>
      <c r="C388" s="47" t="s">
        <v>3257</v>
      </c>
      <c r="D388" s="47">
        <f t="shared" si="13"/>
        <v>161374</v>
      </c>
      <c r="E388" s="47" t="s">
        <v>654</v>
      </c>
      <c r="F388" s="47" t="s">
        <v>655</v>
      </c>
      <c r="G388" s="47" t="s">
        <v>3258</v>
      </c>
      <c r="H388" s="47" t="s">
        <v>1053</v>
      </c>
      <c r="I388" s="47" t="s">
        <v>3259</v>
      </c>
      <c r="J388" s="47" t="s">
        <v>1354</v>
      </c>
      <c r="K388" s="47" t="s">
        <v>163</v>
      </c>
      <c r="L388" s="47" t="s">
        <v>1057</v>
      </c>
      <c r="M388" s="47" t="s">
        <v>1269</v>
      </c>
      <c r="N388" s="47" t="s">
        <v>1058</v>
      </c>
      <c r="O388" s="47" t="s">
        <v>930</v>
      </c>
      <c r="P388" s="47" t="s">
        <v>930</v>
      </c>
      <c r="Q388" s="47" t="str">
        <f>LEFT(T388,9)</f>
        <v xml:space="preserve"> Chiều T2</v>
      </c>
      <c r="R388" s="47" t="s">
        <v>973</v>
      </c>
      <c r="S388" s="47" t="s">
        <v>1103</v>
      </c>
      <c r="T388" s="47" t="s">
        <v>3260</v>
      </c>
      <c r="U388" s="47" t="s">
        <v>3261</v>
      </c>
      <c r="V388" s="47" t="s">
        <v>631</v>
      </c>
      <c r="W388" s="47" t="s">
        <v>931</v>
      </c>
      <c r="X388" s="47" t="s">
        <v>995</v>
      </c>
      <c r="Y388" s="47" t="s">
        <v>3258</v>
      </c>
      <c r="Z388" s="47" t="s">
        <v>3262</v>
      </c>
      <c r="AA388" s="47" t="s">
        <v>3263</v>
      </c>
      <c r="AB388" s="47" t="s">
        <v>3264</v>
      </c>
      <c r="AC388" s="47" t="s">
        <v>456</v>
      </c>
      <c r="AD388" s="47" t="s">
        <v>3265</v>
      </c>
      <c r="AE388" s="47" t="s">
        <v>937</v>
      </c>
      <c r="AF388" s="47" t="s">
        <v>931</v>
      </c>
      <c r="AG388" s="47" t="s">
        <v>931</v>
      </c>
      <c r="AH388" s="47" t="s">
        <v>998</v>
      </c>
      <c r="AI388" s="47" t="s">
        <v>931</v>
      </c>
      <c r="AJ388" s="47" t="s">
        <v>931</v>
      </c>
      <c r="AK388" s="47" t="s">
        <v>930</v>
      </c>
      <c r="AL388" s="47" t="s">
        <v>931</v>
      </c>
      <c r="AM388" s="47" t="s">
        <v>931</v>
      </c>
      <c r="AN388" s="37"/>
    </row>
    <row r="389" spans="1:40" hidden="1">
      <c r="A389" s="47" t="s">
        <v>982</v>
      </c>
      <c r="B389" s="47" t="s">
        <v>919</v>
      </c>
      <c r="C389" s="47" t="s">
        <v>3266</v>
      </c>
      <c r="D389" s="47">
        <f t="shared" si="13"/>
        <v>161397</v>
      </c>
      <c r="E389" s="47" t="s">
        <v>632</v>
      </c>
      <c r="F389" s="47" t="s">
        <v>633</v>
      </c>
      <c r="G389" s="47" t="s">
        <v>3267</v>
      </c>
      <c r="H389" s="47" t="s">
        <v>1287</v>
      </c>
      <c r="I389" s="47" t="s">
        <v>3268</v>
      </c>
      <c r="J389" s="47" t="s">
        <v>1055</v>
      </c>
      <c r="K389" s="47" t="s">
        <v>163</v>
      </c>
      <c r="L389" s="47" t="s">
        <v>2913</v>
      </c>
      <c r="M389" s="47" t="s">
        <v>1004</v>
      </c>
      <c r="N389" s="47" t="s">
        <v>946</v>
      </c>
      <c r="O389" s="47" t="s">
        <v>930</v>
      </c>
      <c r="P389" s="47" t="s">
        <v>930</v>
      </c>
      <c r="Q389" s="47"/>
      <c r="R389" s="47"/>
      <c r="S389" s="47"/>
      <c r="T389" s="47" t="s">
        <v>3269</v>
      </c>
      <c r="U389" s="47" t="s">
        <v>3270</v>
      </c>
      <c r="V389" s="47" t="s">
        <v>406</v>
      </c>
      <c r="W389" s="47" t="s">
        <v>931</v>
      </c>
      <c r="X389" s="47" t="s">
        <v>982</v>
      </c>
      <c r="Y389" s="47" t="s">
        <v>3267</v>
      </c>
      <c r="Z389" s="47" t="s">
        <v>3271</v>
      </c>
      <c r="AA389" s="47" t="s">
        <v>3272</v>
      </c>
      <c r="AB389" s="47" t="s">
        <v>931</v>
      </c>
      <c r="AC389" s="47" t="s">
        <v>2882</v>
      </c>
      <c r="AD389" s="47" t="s">
        <v>3273</v>
      </c>
      <c r="AE389" s="47" t="s">
        <v>937</v>
      </c>
      <c r="AF389" s="47" t="s">
        <v>3274</v>
      </c>
      <c r="AG389" s="47" t="s">
        <v>3275</v>
      </c>
      <c r="AH389" s="47" t="s">
        <v>1067</v>
      </c>
      <c r="AI389" s="47" t="s">
        <v>931</v>
      </c>
      <c r="AJ389" s="47" t="s">
        <v>365</v>
      </c>
      <c r="AK389" s="47" t="s">
        <v>930</v>
      </c>
      <c r="AL389" s="47" t="s">
        <v>931</v>
      </c>
      <c r="AM389" s="47" t="s">
        <v>931</v>
      </c>
      <c r="AN389" s="37"/>
    </row>
    <row r="390" spans="1:40" hidden="1">
      <c r="A390" s="47" t="s">
        <v>982</v>
      </c>
      <c r="B390" s="47" t="s">
        <v>919</v>
      </c>
      <c r="C390" s="47" t="s">
        <v>3276</v>
      </c>
      <c r="D390" s="47">
        <f t="shared" si="13"/>
        <v>161367</v>
      </c>
      <c r="E390" s="47" t="s">
        <v>457</v>
      </c>
      <c r="F390" s="47" t="s">
        <v>458</v>
      </c>
      <c r="G390" s="47" t="s">
        <v>461</v>
      </c>
      <c r="H390" s="47" t="s">
        <v>924</v>
      </c>
      <c r="I390" s="47" t="s">
        <v>3277</v>
      </c>
      <c r="J390" s="47" t="s">
        <v>1055</v>
      </c>
      <c r="K390" s="47" t="s">
        <v>163</v>
      </c>
      <c r="L390" s="47" t="s">
        <v>3278</v>
      </c>
      <c r="M390" s="47" t="s">
        <v>2711</v>
      </c>
      <c r="N390" s="47" t="s">
        <v>946</v>
      </c>
      <c r="O390" s="47" t="s">
        <v>930</v>
      </c>
      <c r="P390" s="47" t="s">
        <v>930</v>
      </c>
      <c r="Q390" s="47"/>
      <c r="R390" s="47"/>
      <c r="S390" s="47"/>
      <c r="T390" s="47" t="s">
        <v>3279</v>
      </c>
      <c r="U390" s="47" t="s">
        <v>3280</v>
      </c>
      <c r="V390" s="47" t="s">
        <v>363</v>
      </c>
      <c r="W390" s="47" t="s">
        <v>931</v>
      </c>
      <c r="X390" s="47" t="s">
        <v>995</v>
      </c>
      <c r="Y390" s="47" t="s">
        <v>461</v>
      </c>
      <c r="Z390" s="47" t="s">
        <v>3281</v>
      </c>
      <c r="AA390" s="47" t="s">
        <v>3282</v>
      </c>
      <c r="AB390" s="47" t="s">
        <v>931</v>
      </c>
      <c r="AC390" s="47" t="s">
        <v>456</v>
      </c>
      <c r="AD390" s="47" t="s">
        <v>3283</v>
      </c>
      <c r="AE390" s="47" t="s">
        <v>937</v>
      </c>
      <c r="AF390" s="47" t="s">
        <v>931</v>
      </c>
      <c r="AG390" s="47" t="s">
        <v>3284</v>
      </c>
      <c r="AH390" s="47" t="s">
        <v>364</v>
      </c>
      <c r="AI390" s="47" t="s">
        <v>931</v>
      </c>
      <c r="AJ390" s="47" t="s">
        <v>365</v>
      </c>
      <c r="AK390" s="47" t="s">
        <v>930</v>
      </c>
      <c r="AL390" s="47" t="s">
        <v>931</v>
      </c>
      <c r="AM390" s="47" t="s">
        <v>931</v>
      </c>
      <c r="AN390" s="37"/>
    </row>
    <row r="391" spans="1:40" hidden="1">
      <c r="A391" s="47" t="s">
        <v>982</v>
      </c>
      <c r="B391" s="47" t="s">
        <v>919</v>
      </c>
      <c r="C391" s="47" t="s">
        <v>3285</v>
      </c>
      <c r="D391" s="47">
        <f t="shared" si="13"/>
        <v>161381</v>
      </c>
      <c r="E391" s="47" t="s">
        <v>68</v>
      </c>
      <c r="F391" s="47" t="s">
        <v>287</v>
      </c>
      <c r="G391" s="47" t="s">
        <v>467</v>
      </c>
      <c r="H391" s="47" t="s">
        <v>924</v>
      </c>
      <c r="I391" s="47" t="s">
        <v>3286</v>
      </c>
      <c r="J391" s="47" t="s">
        <v>1055</v>
      </c>
      <c r="K391" s="47" t="s">
        <v>163</v>
      </c>
      <c r="L391" s="47" t="s">
        <v>3287</v>
      </c>
      <c r="M391" s="47" t="s">
        <v>2711</v>
      </c>
      <c r="N391" s="47" t="s">
        <v>946</v>
      </c>
      <c r="O391" s="47" t="s">
        <v>930</v>
      </c>
      <c r="P391" s="47" t="s">
        <v>930</v>
      </c>
      <c r="Q391" s="47"/>
      <c r="R391" s="47"/>
      <c r="S391" s="47"/>
      <c r="T391" s="47" t="s">
        <v>3288</v>
      </c>
      <c r="U391" s="47" t="s">
        <v>3289</v>
      </c>
      <c r="V391" s="47" t="s">
        <v>425</v>
      </c>
      <c r="W391" s="47" t="s">
        <v>931</v>
      </c>
      <c r="X391" s="47" t="s">
        <v>995</v>
      </c>
      <c r="Y391" s="47" t="s">
        <v>467</v>
      </c>
      <c r="Z391" s="47" t="s">
        <v>3007</v>
      </c>
      <c r="AA391" s="47" t="s">
        <v>3008</v>
      </c>
      <c r="AB391" s="47" t="s">
        <v>931</v>
      </c>
      <c r="AC391" s="47" t="s">
        <v>464</v>
      </c>
      <c r="AD391" s="47" t="s">
        <v>3290</v>
      </c>
      <c r="AE391" s="47" t="s">
        <v>937</v>
      </c>
      <c r="AF391" s="47" t="s">
        <v>3291</v>
      </c>
      <c r="AG391" s="47" t="s">
        <v>3292</v>
      </c>
      <c r="AH391" s="47" t="s">
        <v>364</v>
      </c>
      <c r="AI391" s="47" t="s">
        <v>931</v>
      </c>
      <c r="AJ391" s="47" t="s">
        <v>365</v>
      </c>
      <c r="AK391" s="47" t="s">
        <v>930</v>
      </c>
      <c r="AL391" s="47" t="s">
        <v>931</v>
      </c>
      <c r="AM391" s="47" t="s">
        <v>931</v>
      </c>
      <c r="AN391" s="37"/>
    </row>
    <row r="392" spans="1:40" hidden="1">
      <c r="A392" s="47" t="s">
        <v>982</v>
      </c>
      <c r="B392" s="47" t="s">
        <v>919</v>
      </c>
      <c r="C392" s="47" t="s">
        <v>3293</v>
      </c>
      <c r="D392" s="47">
        <f t="shared" si="13"/>
        <v>162253</v>
      </c>
      <c r="E392" s="47" t="s">
        <v>242</v>
      </c>
      <c r="F392" s="47" t="s">
        <v>243</v>
      </c>
      <c r="G392" s="47" t="s">
        <v>468</v>
      </c>
      <c r="H392" s="47" t="s">
        <v>924</v>
      </c>
      <c r="I392" s="47" t="s">
        <v>3294</v>
      </c>
      <c r="J392" s="47" t="s">
        <v>1024</v>
      </c>
      <c r="K392" s="47" t="s">
        <v>163</v>
      </c>
      <c r="L392" s="47" t="s">
        <v>3295</v>
      </c>
      <c r="M392" s="47" t="s">
        <v>2753</v>
      </c>
      <c r="N392" s="47" t="s">
        <v>946</v>
      </c>
      <c r="O392" s="47" t="s">
        <v>930</v>
      </c>
      <c r="P392" s="47" t="s">
        <v>930</v>
      </c>
      <c r="Q392" s="47"/>
      <c r="R392" s="47"/>
      <c r="S392" s="47"/>
      <c r="T392" s="47" t="s">
        <v>3296</v>
      </c>
      <c r="U392" s="47" t="s">
        <v>3297</v>
      </c>
      <c r="V392" s="47" t="s">
        <v>3298</v>
      </c>
      <c r="W392" s="47" t="s">
        <v>931</v>
      </c>
      <c r="X392" s="47" t="s">
        <v>932</v>
      </c>
      <c r="Y392" s="47" t="s">
        <v>468</v>
      </c>
      <c r="Z392" s="47" t="s">
        <v>3299</v>
      </c>
      <c r="AA392" s="47" t="s">
        <v>3300</v>
      </c>
      <c r="AB392" s="47" t="s">
        <v>931</v>
      </c>
      <c r="AC392" s="47" t="s">
        <v>382</v>
      </c>
      <c r="AD392" s="47" t="s">
        <v>3301</v>
      </c>
      <c r="AE392" s="47" t="s">
        <v>937</v>
      </c>
      <c r="AF392" s="47" t="s">
        <v>931</v>
      </c>
      <c r="AG392" s="47" t="s">
        <v>931</v>
      </c>
      <c r="AH392" s="47" t="s">
        <v>364</v>
      </c>
      <c r="AI392" s="47" t="s">
        <v>931</v>
      </c>
      <c r="AJ392" s="47" t="s">
        <v>365</v>
      </c>
      <c r="AK392" s="47" t="s">
        <v>930</v>
      </c>
      <c r="AL392" s="47" t="s">
        <v>931</v>
      </c>
      <c r="AM392" s="47" t="s">
        <v>931</v>
      </c>
      <c r="AN392" s="37"/>
    </row>
    <row r="393" spans="1:40" hidden="1">
      <c r="A393" s="47" t="s">
        <v>982</v>
      </c>
      <c r="B393" s="47" t="s">
        <v>919</v>
      </c>
      <c r="C393" s="47" t="s">
        <v>3302</v>
      </c>
      <c r="D393" s="47">
        <f t="shared" si="13"/>
        <v>162288</v>
      </c>
      <c r="E393" s="47" t="s">
        <v>632</v>
      </c>
      <c r="F393" s="47" t="s">
        <v>633</v>
      </c>
      <c r="G393" s="47" t="s">
        <v>875</v>
      </c>
      <c r="H393" s="47" t="s">
        <v>1287</v>
      </c>
      <c r="I393" s="47" t="s">
        <v>3303</v>
      </c>
      <c r="J393" s="47" t="s">
        <v>1024</v>
      </c>
      <c r="K393" s="47" t="s">
        <v>163</v>
      </c>
      <c r="L393" s="47" t="s">
        <v>3140</v>
      </c>
      <c r="M393" s="47" t="s">
        <v>1004</v>
      </c>
      <c r="N393" s="47" t="s">
        <v>946</v>
      </c>
      <c r="O393" s="47" t="s">
        <v>930</v>
      </c>
      <c r="P393" s="47" t="s">
        <v>930</v>
      </c>
      <c r="Q393" s="47"/>
      <c r="R393" s="47"/>
      <c r="S393" s="47"/>
      <c r="T393" s="47" t="s">
        <v>3304</v>
      </c>
      <c r="U393" s="47" t="s">
        <v>3305</v>
      </c>
      <c r="V393" s="47" t="s">
        <v>3306</v>
      </c>
      <c r="W393" s="47" t="s">
        <v>931</v>
      </c>
      <c r="X393" s="47" t="s">
        <v>995</v>
      </c>
      <c r="Y393" s="47" t="s">
        <v>875</v>
      </c>
      <c r="Z393" s="47" t="s">
        <v>2949</v>
      </c>
      <c r="AA393" s="47" t="s">
        <v>2950</v>
      </c>
      <c r="AB393" s="47" t="s">
        <v>931</v>
      </c>
      <c r="AC393" s="47" t="s">
        <v>2882</v>
      </c>
      <c r="AD393" s="47" t="s">
        <v>3307</v>
      </c>
      <c r="AE393" s="47" t="s">
        <v>937</v>
      </c>
      <c r="AF393" s="47" t="s">
        <v>931</v>
      </c>
      <c r="AG393" s="47" t="s">
        <v>3308</v>
      </c>
      <c r="AH393" s="47" t="s">
        <v>1067</v>
      </c>
      <c r="AI393" s="47" t="s">
        <v>931</v>
      </c>
      <c r="AJ393" s="47" t="s">
        <v>365</v>
      </c>
      <c r="AK393" s="47" t="s">
        <v>930</v>
      </c>
      <c r="AL393" s="47" t="s">
        <v>931</v>
      </c>
      <c r="AM393" s="47" t="s">
        <v>931</v>
      </c>
      <c r="AN393" s="37"/>
    </row>
    <row r="394" spans="1:40" hidden="1">
      <c r="A394" s="47" t="s">
        <v>982</v>
      </c>
      <c r="B394" s="47" t="s">
        <v>919</v>
      </c>
      <c r="C394" s="47" t="s">
        <v>3309</v>
      </c>
      <c r="D394" s="47">
        <f t="shared" si="13"/>
        <v>162277</v>
      </c>
      <c r="E394" s="47" t="s">
        <v>261</v>
      </c>
      <c r="F394" s="47" t="s">
        <v>262</v>
      </c>
      <c r="G394" s="47" t="s">
        <v>470</v>
      </c>
      <c r="H394" s="47" t="s">
        <v>1325</v>
      </c>
      <c r="I394" s="47" t="s">
        <v>3303</v>
      </c>
      <c r="J394" s="47" t="s">
        <v>1024</v>
      </c>
      <c r="K394" s="47" t="s">
        <v>163</v>
      </c>
      <c r="L394" s="47" t="s">
        <v>3310</v>
      </c>
      <c r="M394" s="47" t="s">
        <v>3311</v>
      </c>
      <c r="N394" s="47" t="s">
        <v>946</v>
      </c>
      <c r="O394" s="47" t="s">
        <v>930</v>
      </c>
      <c r="P394" s="47" t="s">
        <v>930</v>
      </c>
      <c r="Q394" s="47"/>
      <c r="R394" s="47"/>
      <c r="S394" s="47"/>
      <c r="T394" s="47" t="s">
        <v>3312</v>
      </c>
      <c r="U394" s="47" t="s">
        <v>3313</v>
      </c>
      <c r="V394" s="47" t="s">
        <v>3314</v>
      </c>
      <c r="W394" s="47" t="s">
        <v>931</v>
      </c>
      <c r="X394" s="47" t="s">
        <v>932</v>
      </c>
      <c r="Y394" s="47" t="s">
        <v>470</v>
      </c>
      <c r="Z394" s="47" t="s">
        <v>3315</v>
      </c>
      <c r="AA394" s="47" t="s">
        <v>3316</v>
      </c>
      <c r="AB394" s="47" t="s">
        <v>931</v>
      </c>
      <c r="AC394" s="47" t="s">
        <v>438</v>
      </c>
      <c r="AD394" s="47" t="s">
        <v>3307</v>
      </c>
      <c r="AE394" s="47" t="s">
        <v>937</v>
      </c>
      <c r="AF394" s="47" t="s">
        <v>931</v>
      </c>
      <c r="AG394" s="47" t="s">
        <v>3317</v>
      </c>
      <c r="AH394" s="47" t="s">
        <v>364</v>
      </c>
      <c r="AI394" s="47" t="s">
        <v>931</v>
      </c>
      <c r="AJ394" s="47" t="s">
        <v>365</v>
      </c>
      <c r="AK394" s="47" t="s">
        <v>930</v>
      </c>
      <c r="AL394" s="47" t="s">
        <v>931</v>
      </c>
      <c r="AM394" s="47" t="s">
        <v>931</v>
      </c>
      <c r="AN394" s="37"/>
    </row>
    <row r="395" spans="1:40" hidden="1">
      <c r="A395" s="47" t="s">
        <v>982</v>
      </c>
      <c r="B395" s="47" t="s">
        <v>919</v>
      </c>
      <c r="C395" s="47" t="s">
        <v>3318</v>
      </c>
      <c r="D395" s="47">
        <f t="shared" si="13"/>
        <v>162276</v>
      </c>
      <c r="E395" s="47" t="s">
        <v>261</v>
      </c>
      <c r="F395" s="47" t="s">
        <v>262</v>
      </c>
      <c r="G395" s="47" t="s">
        <v>847</v>
      </c>
      <c r="H395" s="47" t="s">
        <v>1325</v>
      </c>
      <c r="I395" s="47" t="s">
        <v>3303</v>
      </c>
      <c r="J395" s="47" t="s">
        <v>1024</v>
      </c>
      <c r="K395" s="47" t="s">
        <v>163</v>
      </c>
      <c r="L395" s="47" t="s">
        <v>3319</v>
      </c>
      <c r="M395" s="47" t="s">
        <v>3311</v>
      </c>
      <c r="N395" s="47" t="s">
        <v>946</v>
      </c>
      <c r="O395" s="47" t="s">
        <v>930</v>
      </c>
      <c r="P395" s="47" t="s">
        <v>930</v>
      </c>
      <c r="Q395" s="47"/>
      <c r="R395" s="47"/>
      <c r="S395" s="47"/>
      <c r="T395" s="47" t="s">
        <v>3320</v>
      </c>
      <c r="U395" s="47" t="s">
        <v>3321</v>
      </c>
      <c r="V395" s="47" t="s">
        <v>3314</v>
      </c>
      <c r="W395" s="47" t="s">
        <v>931</v>
      </c>
      <c r="X395" s="47" t="s">
        <v>932</v>
      </c>
      <c r="Y395" s="47" t="s">
        <v>847</v>
      </c>
      <c r="Z395" s="47" t="s">
        <v>3322</v>
      </c>
      <c r="AA395" s="47" t="s">
        <v>3323</v>
      </c>
      <c r="AB395" s="47" t="s">
        <v>931</v>
      </c>
      <c r="AC395" s="47" t="s">
        <v>438</v>
      </c>
      <c r="AD395" s="47" t="s">
        <v>3307</v>
      </c>
      <c r="AE395" s="47" t="s">
        <v>937</v>
      </c>
      <c r="AF395" s="47" t="s">
        <v>931</v>
      </c>
      <c r="AG395" s="47" t="s">
        <v>3324</v>
      </c>
      <c r="AH395" s="47" t="s">
        <v>364</v>
      </c>
      <c r="AI395" s="47" t="s">
        <v>931</v>
      </c>
      <c r="AJ395" s="47" t="s">
        <v>365</v>
      </c>
      <c r="AK395" s="47" t="s">
        <v>930</v>
      </c>
      <c r="AL395" s="47" t="s">
        <v>931</v>
      </c>
      <c r="AM395" s="47" t="s">
        <v>931</v>
      </c>
      <c r="AN395" s="37"/>
    </row>
    <row r="396" spans="1:40" hidden="1">
      <c r="A396" s="47" t="s">
        <v>982</v>
      </c>
      <c r="B396" s="47" t="s">
        <v>919</v>
      </c>
      <c r="C396" s="47" t="s">
        <v>3325</v>
      </c>
      <c r="D396" s="47">
        <f t="shared" si="13"/>
        <v>162284</v>
      </c>
      <c r="E396" s="47" t="s">
        <v>309</v>
      </c>
      <c r="F396" s="47" t="s">
        <v>310</v>
      </c>
      <c r="G396" s="47" t="s">
        <v>456</v>
      </c>
      <c r="H396" s="47" t="s">
        <v>924</v>
      </c>
      <c r="I396" s="47" t="s">
        <v>3326</v>
      </c>
      <c r="J396" s="47" t="s">
        <v>1024</v>
      </c>
      <c r="K396" s="47" t="s">
        <v>163</v>
      </c>
      <c r="L396" s="47" t="s">
        <v>3327</v>
      </c>
      <c r="M396" s="47" t="s">
        <v>3328</v>
      </c>
      <c r="N396" s="47" t="s">
        <v>1058</v>
      </c>
      <c r="O396" s="47" t="s">
        <v>930</v>
      </c>
      <c r="P396" s="47" t="s">
        <v>930</v>
      </c>
      <c r="Q396" s="47"/>
      <c r="R396" s="47"/>
      <c r="S396" s="47"/>
      <c r="T396" s="47" t="s">
        <v>3329</v>
      </c>
      <c r="U396" s="47" t="s">
        <v>3330</v>
      </c>
      <c r="V396" s="47" t="s">
        <v>444</v>
      </c>
      <c r="W396" s="47" t="s">
        <v>931</v>
      </c>
      <c r="X396" s="47" t="s">
        <v>995</v>
      </c>
      <c r="Y396" s="47" t="s">
        <v>456</v>
      </c>
      <c r="Z396" s="47" t="s">
        <v>3331</v>
      </c>
      <c r="AA396" s="47" t="s">
        <v>3332</v>
      </c>
      <c r="AB396" s="47" t="s">
        <v>3333</v>
      </c>
      <c r="AC396" s="47" t="s">
        <v>441</v>
      </c>
      <c r="AD396" s="47" t="s">
        <v>3160</v>
      </c>
      <c r="AE396" s="47" t="s">
        <v>937</v>
      </c>
      <c r="AF396" s="47" t="s">
        <v>931</v>
      </c>
      <c r="AG396" s="47" t="s">
        <v>931</v>
      </c>
      <c r="AH396" s="47" t="s">
        <v>364</v>
      </c>
      <c r="AI396" s="47" t="s">
        <v>931</v>
      </c>
      <c r="AJ396" s="47" t="s">
        <v>365</v>
      </c>
      <c r="AK396" s="47" t="s">
        <v>930</v>
      </c>
      <c r="AL396" s="47" t="s">
        <v>931</v>
      </c>
      <c r="AM396" s="47" t="s">
        <v>931</v>
      </c>
      <c r="AN396" s="37"/>
    </row>
    <row r="397" spans="1:40" hidden="1">
      <c r="A397" s="47" t="s">
        <v>982</v>
      </c>
      <c r="B397" s="47" t="s">
        <v>919</v>
      </c>
      <c r="C397" s="47" t="s">
        <v>3334</v>
      </c>
      <c r="D397" s="47">
        <f t="shared" si="13"/>
        <v>161392</v>
      </c>
      <c r="E397" s="47" t="s">
        <v>63</v>
      </c>
      <c r="F397" s="47" t="s">
        <v>473</v>
      </c>
      <c r="G397" s="47" t="s">
        <v>489</v>
      </c>
      <c r="H397" s="47" t="s">
        <v>1053</v>
      </c>
      <c r="I397" s="47" t="s">
        <v>3335</v>
      </c>
      <c r="J397" s="47" t="s">
        <v>1055</v>
      </c>
      <c r="K397" s="47" t="s">
        <v>163</v>
      </c>
      <c r="L397" s="47" t="s">
        <v>1056</v>
      </c>
      <c r="M397" s="47" t="s">
        <v>1056</v>
      </c>
      <c r="N397" s="47" t="s">
        <v>1058</v>
      </c>
      <c r="O397" s="47" t="s">
        <v>930</v>
      </c>
      <c r="P397" s="47" t="s">
        <v>930</v>
      </c>
      <c r="Q397" s="47" t="str">
        <f>LEFT(T397,9)</f>
        <v xml:space="preserve"> Chiều T5</v>
      </c>
      <c r="R397" s="47" t="s">
        <v>973</v>
      </c>
      <c r="S397" s="47" t="s">
        <v>1027</v>
      </c>
      <c r="T397" s="47" t="s">
        <v>3336</v>
      </c>
      <c r="U397" s="47" t="s">
        <v>3337</v>
      </c>
      <c r="V397" s="47" t="s">
        <v>23</v>
      </c>
      <c r="W397" s="47" t="s">
        <v>931</v>
      </c>
      <c r="X397" s="47" t="s">
        <v>932</v>
      </c>
      <c r="Y397" s="47" t="s">
        <v>489</v>
      </c>
      <c r="Z397" s="47" t="s">
        <v>1326</v>
      </c>
      <c r="AA397" s="47" t="s">
        <v>1327</v>
      </c>
      <c r="AB397" s="47" t="s">
        <v>3338</v>
      </c>
      <c r="AC397" s="47" t="s">
        <v>438</v>
      </c>
      <c r="AD397" s="47" t="s">
        <v>3339</v>
      </c>
      <c r="AE397" s="47" t="s">
        <v>937</v>
      </c>
      <c r="AF397" s="47" t="s">
        <v>3340</v>
      </c>
      <c r="AG397" s="47" t="s">
        <v>3341</v>
      </c>
      <c r="AH397" s="47" t="s">
        <v>364</v>
      </c>
      <c r="AI397" s="47" t="s">
        <v>931</v>
      </c>
      <c r="AJ397" s="47" t="s">
        <v>365</v>
      </c>
      <c r="AK397" s="47" t="s">
        <v>930</v>
      </c>
      <c r="AL397" s="47" t="s">
        <v>931</v>
      </c>
      <c r="AM397" s="47" t="s">
        <v>931</v>
      </c>
      <c r="AN397" s="37"/>
    </row>
    <row r="398" spans="1:40" hidden="1">
      <c r="A398" s="47" t="s">
        <v>982</v>
      </c>
      <c r="B398" s="47" t="s">
        <v>919</v>
      </c>
      <c r="C398" s="47" t="s">
        <v>3342</v>
      </c>
      <c r="D398" s="47">
        <f t="shared" si="13"/>
        <v>162252</v>
      </c>
      <c r="E398" s="47" t="s">
        <v>242</v>
      </c>
      <c r="F398" s="47" t="s">
        <v>243</v>
      </c>
      <c r="G398" s="47" t="s">
        <v>479</v>
      </c>
      <c r="H398" s="47" t="s">
        <v>924</v>
      </c>
      <c r="I398" s="47" t="s">
        <v>3294</v>
      </c>
      <c r="J398" s="47" t="s">
        <v>1024</v>
      </c>
      <c r="K398" s="47" t="s">
        <v>163</v>
      </c>
      <c r="L398" s="47" t="s">
        <v>2753</v>
      </c>
      <c r="M398" s="47" t="s">
        <v>2753</v>
      </c>
      <c r="N398" s="47" t="s">
        <v>946</v>
      </c>
      <c r="O398" s="47" t="s">
        <v>930</v>
      </c>
      <c r="P398" s="47" t="s">
        <v>930</v>
      </c>
      <c r="Q398" s="47"/>
      <c r="R398" s="47"/>
      <c r="S398" s="47"/>
      <c r="T398" s="47" t="s">
        <v>3343</v>
      </c>
      <c r="U398" s="47" t="s">
        <v>3344</v>
      </c>
      <c r="V398" s="47" t="s">
        <v>3298</v>
      </c>
      <c r="W398" s="47" t="s">
        <v>931</v>
      </c>
      <c r="X398" s="47" t="s">
        <v>932</v>
      </c>
      <c r="Y398" s="47" t="s">
        <v>479</v>
      </c>
      <c r="Z398" s="47" t="s">
        <v>1228</v>
      </c>
      <c r="AA398" s="47" t="s">
        <v>1229</v>
      </c>
      <c r="AB398" s="47" t="s">
        <v>931</v>
      </c>
      <c r="AC398" s="47" t="s">
        <v>382</v>
      </c>
      <c r="AD398" s="47" t="s">
        <v>3301</v>
      </c>
      <c r="AE398" s="47" t="s">
        <v>937</v>
      </c>
      <c r="AF398" s="47" t="s">
        <v>3345</v>
      </c>
      <c r="AG398" s="47" t="s">
        <v>3346</v>
      </c>
      <c r="AH398" s="47" t="s">
        <v>364</v>
      </c>
      <c r="AI398" s="47" t="s">
        <v>931</v>
      </c>
      <c r="AJ398" s="47" t="s">
        <v>365</v>
      </c>
      <c r="AK398" s="47" t="s">
        <v>930</v>
      </c>
      <c r="AL398" s="47" t="s">
        <v>931</v>
      </c>
      <c r="AM398" s="47" t="s">
        <v>931</v>
      </c>
      <c r="AN398" s="37"/>
    </row>
    <row r="399" spans="1:40" hidden="1">
      <c r="A399" s="47" t="s">
        <v>982</v>
      </c>
      <c r="B399" s="47" t="s">
        <v>919</v>
      </c>
      <c r="C399" s="47" t="s">
        <v>3347</v>
      </c>
      <c r="D399" s="47">
        <f t="shared" si="13"/>
        <v>161375</v>
      </c>
      <c r="E399" s="47" t="s">
        <v>654</v>
      </c>
      <c r="F399" s="47" t="s">
        <v>655</v>
      </c>
      <c r="G399" s="47" t="s">
        <v>3258</v>
      </c>
      <c r="H399" s="47" t="s">
        <v>1053</v>
      </c>
      <c r="I399" s="47" t="s">
        <v>3348</v>
      </c>
      <c r="J399" s="47" t="s">
        <v>1354</v>
      </c>
      <c r="K399" s="47" t="s">
        <v>163</v>
      </c>
      <c r="L399" s="47" t="s">
        <v>1269</v>
      </c>
      <c r="M399" s="47" t="s">
        <v>1269</v>
      </c>
      <c r="N399" s="47" t="s">
        <v>1058</v>
      </c>
      <c r="O399" s="47" t="s">
        <v>930</v>
      </c>
      <c r="P399" s="47" t="s">
        <v>930</v>
      </c>
      <c r="Q399" s="47" t="str">
        <f>LEFT(T399,9)</f>
        <v xml:space="preserve"> Chiều T4</v>
      </c>
      <c r="R399" s="47" t="s">
        <v>973</v>
      </c>
      <c r="S399" s="47" t="s">
        <v>1059</v>
      </c>
      <c r="T399" s="47" t="s">
        <v>3349</v>
      </c>
      <c r="U399" s="47" t="s">
        <v>3350</v>
      </c>
      <c r="V399" s="47" t="s">
        <v>631</v>
      </c>
      <c r="W399" s="47" t="s">
        <v>931</v>
      </c>
      <c r="X399" s="47" t="s">
        <v>995</v>
      </c>
      <c r="Y399" s="47" t="s">
        <v>3258</v>
      </c>
      <c r="Z399" s="47" t="s">
        <v>3262</v>
      </c>
      <c r="AA399" s="47" t="s">
        <v>3263</v>
      </c>
      <c r="AB399" s="47" t="s">
        <v>1672</v>
      </c>
      <c r="AC399" s="47" t="s">
        <v>456</v>
      </c>
      <c r="AD399" s="47" t="s">
        <v>3351</v>
      </c>
      <c r="AE399" s="47" t="s">
        <v>937</v>
      </c>
      <c r="AF399" s="47" t="s">
        <v>931</v>
      </c>
      <c r="AG399" s="47" t="s">
        <v>931</v>
      </c>
      <c r="AH399" s="47" t="s">
        <v>998</v>
      </c>
      <c r="AI399" s="47" t="s">
        <v>931</v>
      </c>
      <c r="AJ399" s="47" t="s">
        <v>931</v>
      </c>
      <c r="AK399" s="47" t="s">
        <v>930</v>
      </c>
      <c r="AL399" s="47" t="s">
        <v>931</v>
      </c>
      <c r="AM399" s="47" t="s">
        <v>931</v>
      </c>
      <c r="AN399" s="37"/>
    </row>
    <row r="400" spans="1:40" hidden="1">
      <c r="A400" s="47" t="s">
        <v>982</v>
      </c>
      <c r="B400" s="47" t="s">
        <v>919</v>
      </c>
      <c r="C400" s="47" t="s">
        <v>3352</v>
      </c>
      <c r="D400" s="47">
        <f t="shared" si="13"/>
        <v>161396</v>
      </c>
      <c r="E400" s="47" t="s">
        <v>632</v>
      </c>
      <c r="F400" s="47" t="s">
        <v>633</v>
      </c>
      <c r="G400" s="47" t="s">
        <v>389</v>
      </c>
      <c r="H400" s="47" t="s">
        <v>1287</v>
      </c>
      <c r="I400" s="47" t="s">
        <v>3353</v>
      </c>
      <c r="J400" s="47" t="s">
        <v>1055</v>
      </c>
      <c r="K400" s="47" t="s">
        <v>163</v>
      </c>
      <c r="L400" s="47" t="s">
        <v>1236</v>
      </c>
      <c r="M400" s="47" t="s">
        <v>1004</v>
      </c>
      <c r="N400" s="47" t="s">
        <v>946</v>
      </c>
      <c r="O400" s="47" t="s">
        <v>930</v>
      </c>
      <c r="P400" s="47" t="s">
        <v>930</v>
      </c>
      <c r="Q400" s="47"/>
      <c r="R400" s="47"/>
      <c r="S400" s="47"/>
      <c r="T400" s="47" t="s">
        <v>3354</v>
      </c>
      <c r="U400" s="47" t="s">
        <v>3355</v>
      </c>
      <c r="V400" s="47" t="s">
        <v>579</v>
      </c>
      <c r="W400" s="47" t="s">
        <v>931</v>
      </c>
      <c r="X400" s="47" t="s">
        <v>932</v>
      </c>
      <c r="Y400" s="47" t="s">
        <v>389</v>
      </c>
      <c r="Z400" s="47" t="s">
        <v>3356</v>
      </c>
      <c r="AA400" s="47" t="s">
        <v>3357</v>
      </c>
      <c r="AB400" s="47" t="s">
        <v>931</v>
      </c>
      <c r="AC400" s="47" t="s">
        <v>2882</v>
      </c>
      <c r="AD400" s="47" t="s">
        <v>3358</v>
      </c>
      <c r="AE400" s="47" t="s">
        <v>937</v>
      </c>
      <c r="AF400" s="47" t="s">
        <v>3359</v>
      </c>
      <c r="AG400" s="47" t="s">
        <v>931</v>
      </c>
      <c r="AH400" s="47" t="s">
        <v>1067</v>
      </c>
      <c r="AI400" s="47" t="s">
        <v>931</v>
      </c>
      <c r="AJ400" s="47" t="s">
        <v>365</v>
      </c>
      <c r="AK400" s="47" t="s">
        <v>930</v>
      </c>
      <c r="AL400" s="47" t="s">
        <v>931</v>
      </c>
      <c r="AM400" s="47" t="s">
        <v>931</v>
      </c>
      <c r="AN400" s="37"/>
    </row>
    <row r="401" spans="1:40" hidden="1">
      <c r="A401" s="47" t="s">
        <v>982</v>
      </c>
      <c r="B401" s="47" t="s">
        <v>919</v>
      </c>
      <c r="C401" s="47" t="s">
        <v>3360</v>
      </c>
      <c r="D401" s="47">
        <f t="shared" si="13"/>
        <v>162291</v>
      </c>
      <c r="E401" s="47" t="s">
        <v>94</v>
      </c>
      <c r="F401" s="47" t="s">
        <v>301</v>
      </c>
      <c r="G401" s="47" t="s">
        <v>1154</v>
      </c>
      <c r="H401" s="47" t="s">
        <v>1287</v>
      </c>
      <c r="I401" s="47" t="s">
        <v>3361</v>
      </c>
      <c r="J401" s="47" t="s">
        <v>1024</v>
      </c>
      <c r="K401" s="47" t="s">
        <v>163</v>
      </c>
      <c r="L401" s="47" t="s">
        <v>3201</v>
      </c>
      <c r="M401" s="47" t="s">
        <v>2725</v>
      </c>
      <c r="N401" s="47" t="s">
        <v>946</v>
      </c>
      <c r="O401" s="47" t="s">
        <v>930</v>
      </c>
      <c r="P401" s="47" t="s">
        <v>930</v>
      </c>
      <c r="Q401" s="47"/>
      <c r="R401" s="47"/>
      <c r="S401" s="47"/>
      <c r="T401" s="47" t="s">
        <v>3362</v>
      </c>
      <c r="U401" s="47" t="s">
        <v>3363</v>
      </c>
      <c r="V401" s="47" t="s">
        <v>3204</v>
      </c>
      <c r="W401" s="47" t="s">
        <v>931</v>
      </c>
      <c r="X401" s="47" t="s">
        <v>932</v>
      </c>
      <c r="Y401" s="47" t="s">
        <v>1154</v>
      </c>
      <c r="Z401" s="47" t="s">
        <v>1155</v>
      </c>
      <c r="AA401" s="47" t="s">
        <v>1156</v>
      </c>
      <c r="AB401" s="47" t="s">
        <v>931</v>
      </c>
      <c r="AC401" s="47" t="s">
        <v>409</v>
      </c>
      <c r="AD401" s="47" t="s">
        <v>3364</v>
      </c>
      <c r="AE401" s="47" t="s">
        <v>937</v>
      </c>
      <c r="AF401" s="47" t="s">
        <v>3365</v>
      </c>
      <c r="AG401" s="47" t="s">
        <v>931</v>
      </c>
      <c r="AH401" s="47" t="s">
        <v>364</v>
      </c>
      <c r="AI401" s="47" t="s">
        <v>931</v>
      </c>
      <c r="AJ401" s="47" t="s">
        <v>365</v>
      </c>
      <c r="AK401" s="47" t="s">
        <v>930</v>
      </c>
      <c r="AL401" s="47" t="s">
        <v>931</v>
      </c>
      <c r="AM401" s="47" t="s">
        <v>931</v>
      </c>
      <c r="AN401" s="37"/>
    </row>
    <row r="402" spans="1:40" hidden="1">
      <c r="A402" s="47" t="s">
        <v>982</v>
      </c>
      <c r="B402" s="47" t="s">
        <v>919</v>
      </c>
      <c r="C402" s="47" t="s">
        <v>3366</v>
      </c>
      <c r="D402" s="47">
        <f t="shared" si="13"/>
        <v>161363</v>
      </c>
      <c r="E402" s="47" t="s">
        <v>642</v>
      </c>
      <c r="F402" s="47" t="s">
        <v>643</v>
      </c>
      <c r="G402" s="47" t="s">
        <v>3367</v>
      </c>
      <c r="H402" s="47" t="s">
        <v>3368</v>
      </c>
      <c r="I402" s="47" t="s">
        <v>3369</v>
      </c>
      <c r="J402" s="47" t="s">
        <v>1055</v>
      </c>
      <c r="K402" s="47" t="s">
        <v>163</v>
      </c>
      <c r="L402" s="47" t="s">
        <v>1246</v>
      </c>
      <c r="M402" s="47" t="s">
        <v>1511</v>
      </c>
      <c r="N402" s="47" t="s">
        <v>1058</v>
      </c>
      <c r="O402" s="47" t="s">
        <v>930</v>
      </c>
      <c r="P402" s="47" t="s">
        <v>930</v>
      </c>
      <c r="Q402" s="47"/>
      <c r="R402" s="47"/>
      <c r="S402" s="47"/>
      <c r="T402" s="47" t="s">
        <v>3370</v>
      </c>
      <c r="U402" s="47" t="s">
        <v>3371</v>
      </c>
      <c r="V402" s="47" t="s">
        <v>647</v>
      </c>
      <c r="W402" s="47" t="s">
        <v>931</v>
      </c>
      <c r="X402" s="47" t="s">
        <v>1063</v>
      </c>
      <c r="Y402" s="47" t="s">
        <v>3367</v>
      </c>
      <c r="Z402" s="47" t="s">
        <v>3372</v>
      </c>
      <c r="AA402" s="47" t="s">
        <v>931</v>
      </c>
      <c r="AB402" s="47" t="s">
        <v>931</v>
      </c>
      <c r="AC402" s="47" t="s">
        <v>1052</v>
      </c>
      <c r="AD402" s="47" t="s">
        <v>3373</v>
      </c>
      <c r="AE402" s="47" t="s">
        <v>937</v>
      </c>
      <c r="AF402" s="47" t="s">
        <v>931</v>
      </c>
      <c r="AG402" s="47" t="s">
        <v>931</v>
      </c>
      <c r="AH402" s="47" t="s">
        <v>1067</v>
      </c>
      <c r="AI402" s="47" t="s">
        <v>931</v>
      </c>
      <c r="AJ402" s="47" t="s">
        <v>365</v>
      </c>
      <c r="AK402" s="47" t="s">
        <v>930</v>
      </c>
      <c r="AL402" s="47" t="s">
        <v>931</v>
      </c>
      <c r="AM402" s="47" t="s">
        <v>931</v>
      </c>
      <c r="AN402" s="37"/>
    </row>
    <row r="403" spans="1:40" hidden="1">
      <c r="A403" s="47" t="s">
        <v>982</v>
      </c>
      <c r="B403" s="47" t="s">
        <v>919</v>
      </c>
      <c r="C403" s="47" t="s">
        <v>3374</v>
      </c>
      <c r="D403" s="47">
        <f t="shared" si="13"/>
        <v>162290</v>
      </c>
      <c r="E403" s="47" t="s">
        <v>292</v>
      </c>
      <c r="F403" s="47" t="s">
        <v>293</v>
      </c>
      <c r="G403" s="47" t="s">
        <v>837</v>
      </c>
      <c r="H403" s="47" t="s">
        <v>924</v>
      </c>
      <c r="I403" s="47" t="s">
        <v>3375</v>
      </c>
      <c r="J403" s="47" t="s">
        <v>1024</v>
      </c>
      <c r="K403" s="47" t="s">
        <v>163</v>
      </c>
      <c r="L403" s="47" t="s">
        <v>3376</v>
      </c>
      <c r="M403" s="47" t="s">
        <v>3377</v>
      </c>
      <c r="N403" s="47" t="s">
        <v>946</v>
      </c>
      <c r="O403" s="47" t="s">
        <v>930</v>
      </c>
      <c r="P403" s="47" t="s">
        <v>930</v>
      </c>
      <c r="Q403" s="47"/>
      <c r="R403" s="47"/>
      <c r="S403" s="47"/>
      <c r="T403" s="47" t="s">
        <v>3378</v>
      </c>
      <c r="U403" s="47" t="s">
        <v>3379</v>
      </c>
      <c r="V403" s="47" t="s">
        <v>3380</v>
      </c>
      <c r="W403" s="47" t="s">
        <v>931</v>
      </c>
      <c r="X403" s="47" t="s">
        <v>932</v>
      </c>
      <c r="Y403" s="47" t="s">
        <v>837</v>
      </c>
      <c r="Z403" s="47" t="s">
        <v>3381</v>
      </c>
      <c r="AA403" s="47" t="s">
        <v>3382</v>
      </c>
      <c r="AB403" s="47" t="s">
        <v>931</v>
      </c>
      <c r="AC403" s="47" t="s">
        <v>837</v>
      </c>
      <c r="AD403" s="47" t="s">
        <v>991</v>
      </c>
      <c r="AE403" s="47" t="s">
        <v>937</v>
      </c>
      <c r="AF403" s="47" t="s">
        <v>931</v>
      </c>
      <c r="AG403" s="47" t="s">
        <v>931</v>
      </c>
      <c r="AH403" s="47" t="s">
        <v>364</v>
      </c>
      <c r="AI403" s="47" t="s">
        <v>931</v>
      </c>
      <c r="AJ403" s="47" t="s">
        <v>365</v>
      </c>
      <c r="AK403" s="47" t="s">
        <v>930</v>
      </c>
      <c r="AL403" s="47" t="s">
        <v>931</v>
      </c>
      <c r="AM403" s="47" t="s">
        <v>931</v>
      </c>
      <c r="AN403" s="37"/>
    </row>
    <row r="404" spans="1:40" hidden="1">
      <c r="A404" s="47" t="s">
        <v>982</v>
      </c>
      <c r="B404" s="47" t="s">
        <v>919</v>
      </c>
      <c r="C404" s="47" t="s">
        <v>3383</v>
      </c>
      <c r="D404" s="47">
        <f t="shared" si="13"/>
        <v>161371</v>
      </c>
      <c r="E404" s="47" t="s">
        <v>654</v>
      </c>
      <c r="F404" s="47" t="s">
        <v>655</v>
      </c>
      <c r="G404" s="47" t="s">
        <v>456</v>
      </c>
      <c r="H404" s="47" t="s">
        <v>1053</v>
      </c>
      <c r="I404" s="47" t="s">
        <v>3384</v>
      </c>
      <c r="J404" s="47" t="s">
        <v>1354</v>
      </c>
      <c r="K404" s="47" t="s">
        <v>163</v>
      </c>
      <c r="L404" s="47" t="s">
        <v>1057</v>
      </c>
      <c r="M404" s="47" t="s">
        <v>1269</v>
      </c>
      <c r="N404" s="47" t="s">
        <v>1058</v>
      </c>
      <c r="O404" s="47" t="s">
        <v>930</v>
      </c>
      <c r="P404" s="47" t="s">
        <v>930</v>
      </c>
      <c r="Q404" s="47"/>
      <c r="R404" s="47"/>
      <c r="S404" s="47"/>
      <c r="T404" s="47" t="s">
        <v>3385</v>
      </c>
      <c r="U404" s="47" t="s">
        <v>3386</v>
      </c>
      <c r="V404" s="47" t="s">
        <v>3387</v>
      </c>
      <c r="W404" s="47" t="s">
        <v>931</v>
      </c>
      <c r="X404" s="47" t="s">
        <v>995</v>
      </c>
      <c r="Y404" s="47" t="s">
        <v>456</v>
      </c>
      <c r="Z404" s="47" t="s">
        <v>3331</v>
      </c>
      <c r="AA404" s="47" t="s">
        <v>3332</v>
      </c>
      <c r="AB404" s="47" t="s">
        <v>3388</v>
      </c>
      <c r="AC404" s="47" t="s">
        <v>456</v>
      </c>
      <c r="AD404" s="47" t="s">
        <v>3389</v>
      </c>
      <c r="AE404" s="47" t="s">
        <v>937</v>
      </c>
      <c r="AF404" s="47" t="s">
        <v>3390</v>
      </c>
      <c r="AG404" s="47" t="s">
        <v>3391</v>
      </c>
      <c r="AH404" s="47" t="s">
        <v>998</v>
      </c>
      <c r="AI404" s="47" t="s">
        <v>931</v>
      </c>
      <c r="AJ404" s="47" t="s">
        <v>931</v>
      </c>
      <c r="AK404" s="47" t="s">
        <v>930</v>
      </c>
      <c r="AL404" s="47" t="s">
        <v>931</v>
      </c>
      <c r="AM404" s="47" t="s">
        <v>931</v>
      </c>
      <c r="AN404" s="37"/>
    </row>
    <row r="405" spans="1:40" hidden="1">
      <c r="A405" s="47" t="s">
        <v>982</v>
      </c>
      <c r="B405" s="47" t="s">
        <v>919</v>
      </c>
      <c r="C405" s="47" t="s">
        <v>3392</v>
      </c>
      <c r="D405" s="47">
        <f t="shared" si="13"/>
        <v>162280</v>
      </c>
      <c r="E405" s="47" t="s">
        <v>1718</v>
      </c>
      <c r="F405" s="47" t="s">
        <v>1719</v>
      </c>
      <c r="G405" s="47" t="s">
        <v>487</v>
      </c>
      <c r="H405" s="47" t="s">
        <v>1753</v>
      </c>
      <c r="I405" s="47" t="s">
        <v>3393</v>
      </c>
      <c r="J405" s="47" t="s">
        <v>1024</v>
      </c>
      <c r="K405" s="47" t="s">
        <v>163</v>
      </c>
      <c r="L405" s="47" t="s">
        <v>3328</v>
      </c>
      <c r="M405" s="47" t="s">
        <v>3394</v>
      </c>
      <c r="N405" s="47" t="s">
        <v>946</v>
      </c>
      <c r="O405" s="47" t="s">
        <v>930</v>
      </c>
      <c r="P405" s="47" t="s">
        <v>930</v>
      </c>
      <c r="Q405" s="47"/>
      <c r="R405" s="47"/>
      <c r="S405" s="47"/>
      <c r="T405" s="47" t="s">
        <v>3395</v>
      </c>
      <c r="U405" s="47" t="s">
        <v>3396</v>
      </c>
      <c r="V405" s="47" t="s">
        <v>3314</v>
      </c>
      <c r="W405" s="47" t="s">
        <v>931</v>
      </c>
      <c r="X405" s="47" t="s">
        <v>932</v>
      </c>
      <c r="Y405" s="47" t="s">
        <v>487</v>
      </c>
      <c r="Z405" s="47" t="s">
        <v>3227</v>
      </c>
      <c r="AA405" s="47" t="s">
        <v>3228</v>
      </c>
      <c r="AB405" s="47" t="s">
        <v>931</v>
      </c>
      <c r="AC405" s="47" t="s">
        <v>451</v>
      </c>
      <c r="AD405" s="47" t="s">
        <v>3160</v>
      </c>
      <c r="AE405" s="47" t="s">
        <v>937</v>
      </c>
      <c r="AF405" s="47" t="s">
        <v>3397</v>
      </c>
      <c r="AG405" s="47" t="s">
        <v>3398</v>
      </c>
      <c r="AH405" s="47" t="s">
        <v>1067</v>
      </c>
      <c r="AI405" s="47" t="s">
        <v>931</v>
      </c>
      <c r="AJ405" s="47" t="s">
        <v>365</v>
      </c>
      <c r="AK405" s="47" t="s">
        <v>930</v>
      </c>
      <c r="AL405" s="47" t="s">
        <v>931</v>
      </c>
      <c r="AM405" s="47" t="s">
        <v>931</v>
      </c>
      <c r="AN405" s="37"/>
    </row>
    <row r="406" spans="1:40" hidden="1">
      <c r="A406" s="47" t="s">
        <v>982</v>
      </c>
      <c r="B406" s="47" t="s">
        <v>919</v>
      </c>
      <c r="C406" s="47" t="s">
        <v>3399</v>
      </c>
      <c r="D406" s="47">
        <f t="shared" si="13"/>
        <v>161389</v>
      </c>
      <c r="E406" s="47" t="s">
        <v>63</v>
      </c>
      <c r="F406" s="47" t="s">
        <v>473</v>
      </c>
      <c r="G406" s="47" t="s">
        <v>482</v>
      </c>
      <c r="H406" s="47" t="s">
        <v>1053</v>
      </c>
      <c r="I406" s="47" t="s">
        <v>3400</v>
      </c>
      <c r="J406" s="47" t="s">
        <v>1055</v>
      </c>
      <c r="K406" s="47" t="s">
        <v>163</v>
      </c>
      <c r="L406" s="47" t="s">
        <v>1057</v>
      </c>
      <c r="M406" s="47" t="s">
        <v>1056</v>
      </c>
      <c r="N406" s="47" t="s">
        <v>1058</v>
      </c>
      <c r="O406" s="47" t="s">
        <v>930</v>
      </c>
      <c r="P406" s="47" t="s">
        <v>930</v>
      </c>
      <c r="Q406" s="47" t="str">
        <f>LEFT(T406,9)</f>
        <v xml:space="preserve"> Sáng T5:</v>
      </c>
      <c r="R406" s="47" t="s">
        <v>973</v>
      </c>
      <c r="S406" s="47" t="s">
        <v>1027</v>
      </c>
      <c r="T406" s="47" t="s">
        <v>3401</v>
      </c>
      <c r="U406" s="47" t="s">
        <v>3402</v>
      </c>
      <c r="V406" s="47" t="s">
        <v>483</v>
      </c>
      <c r="W406" s="47" t="s">
        <v>931</v>
      </c>
      <c r="X406" s="47" t="s">
        <v>932</v>
      </c>
      <c r="Y406" s="47" t="s">
        <v>482</v>
      </c>
      <c r="Z406" s="47" t="s">
        <v>2962</v>
      </c>
      <c r="AA406" s="47" t="s">
        <v>2963</v>
      </c>
      <c r="AB406" s="47" t="s">
        <v>3229</v>
      </c>
      <c r="AC406" s="47" t="s">
        <v>438</v>
      </c>
      <c r="AD406" s="47" t="s">
        <v>3403</v>
      </c>
      <c r="AE406" s="47" t="s">
        <v>937</v>
      </c>
      <c r="AF406" s="47" t="s">
        <v>931</v>
      </c>
      <c r="AG406" s="47" t="s">
        <v>3404</v>
      </c>
      <c r="AH406" s="47" t="s">
        <v>364</v>
      </c>
      <c r="AI406" s="47" t="s">
        <v>931</v>
      </c>
      <c r="AJ406" s="47" t="s">
        <v>365</v>
      </c>
      <c r="AK406" s="47" t="s">
        <v>930</v>
      </c>
      <c r="AL406" s="47" t="s">
        <v>931</v>
      </c>
      <c r="AM406" s="47" t="s">
        <v>931</v>
      </c>
      <c r="AN406" s="37"/>
    </row>
    <row r="407" spans="1:40" hidden="1">
      <c r="A407" s="47" t="s">
        <v>982</v>
      </c>
      <c r="B407" s="47" t="s">
        <v>919</v>
      </c>
      <c r="C407" s="47" t="s">
        <v>3405</v>
      </c>
      <c r="D407" s="47">
        <f t="shared" si="13"/>
        <v>162292</v>
      </c>
      <c r="E407" s="47" t="s">
        <v>303</v>
      </c>
      <c r="F407" s="47" t="s">
        <v>304</v>
      </c>
      <c r="G407" s="47" t="s">
        <v>2937</v>
      </c>
      <c r="H407" s="47" t="s">
        <v>1287</v>
      </c>
      <c r="I407" s="47" t="s">
        <v>3361</v>
      </c>
      <c r="J407" s="47" t="s">
        <v>1024</v>
      </c>
      <c r="K407" s="47" t="s">
        <v>163</v>
      </c>
      <c r="L407" s="47" t="s">
        <v>3406</v>
      </c>
      <c r="M407" s="47" t="s">
        <v>3407</v>
      </c>
      <c r="N407" s="47" t="s">
        <v>946</v>
      </c>
      <c r="O407" s="47" t="s">
        <v>930</v>
      </c>
      <c r="P407" s="47" t="s">
        <v>930</v>
      </c>
      <c r="Q407" s="47"/>
      <c r="R407" s="47"/>
      <c r="S407" s="47"/>
      <c r="T407" s="47" t="s">
        <v>3408</v>
      </c>
      <c r="U407" s="47" t="s">
        <v>3409</v>
      </c>
      <c r="V407" s="47" t="s">
        <v>3410</v>
      </c>
      <c r="W407" s="47" t="s">
        <v>931</v>
      </c>
      <c r="X407" s="47" t="s">
        <v>932</v>
      </c>
      <c r="Y407" s="47" t="s">
        <v>2937</v>
      </c>
      <c r="Z407" s="47" t="s">
        <v>3411</v>
      </c>
      <c r="AA407" s="47" t="s">
        <v>3412</v>
      </c>
      <c r="AB407" s="47" t="s">
        <v>3413</v>
      </c>
      <c r="AC407" s="47" t="s">
        <v>2937</v>
      </c>
      <c r="AD407" s="47" t="s">
        <v>3364</v>
      </c>
      <c r="AE407" s="47" t="s">
        <v>937</v>
      </c>
      <c r="AF407" s="47" t="s">
        <v>931</v>
      </c>
      <c r="AG407" s="47" t="s">
        <v>931</v>
      </c>
      <c r="AH407" s="47" t="s">
        <v>364</v>
      </c>
      <c r="AI407" s="47" t="s">
        <v>931</v>
      </c>
      <c r="AJ407" s="47" t="s">
        <v>365</v>
      </c>
      <c r="AK407" s="47" t="s">
        <v>930</v>
      </c>
      <c r="AL407" s="47" t="s">
        <v>931</v>
      </c>
      <c r="AM407" s="47" t="s">
        <v>931</v>
      </c>
      <c r="AN407" s="37"/>
    </row>
    <row r="408" spans="1:40" hidden="1">
      <c r="A408" s="47" t="s">
        <v>982</v>
      </c>
      <c r="B408" s="47" t="s">
        <v>919</v>
      </c>
      <c r="C408" s="47" t="s">
        <v>3414</v>
      </c>
      <c r="D408" s="47">
        <f t="shared" si="13"/>
        <v>162289</v>
      </c>
      <c r="E408" s="47" t="s">
        <v>632</v>
      </c>
      <c r="F408" s="47" t="s">
        <v>633</v>
      </c>
      <c r="G408" s="47" t="s">
        <v>413</v>
      </c>
      <c r="H408" s="47" t="s">
        <v>1287</v>
      </c>
      <c r="I408" s="47" t="s">
        <v>3303</v>
      </c>
      <c r="J408" s="47" t="s">
        <v>1024</v>
      </c>
      <c r="K408" s="47" t="s">
        <v>163</v>
      </c>
      <c r="L408" s="47" t="s">
        <v>2782</v>
      </c>
      <c r="M408" s="47" t="s">
        <v>1004</v>
      </c>
      <c r="N408" s="47" t="s">
        <v>946</v>
      </c>
      <c r="O408" s="47" t="s">
        <v>930</v>
      </c>
      <c r="P408" s="47" t="s">
        <v>930</v>
      </c>
      <c r="Q408" s="47"/>
      <c r="R408" s="47"/>
      <c r="S408" s="47"/>
      <c r="T408" s="47" t="s">
        <v>3415</v>
      </c>
      <c r="U408" s="47" t="s">
        <v>3416</v>
      </c>
      <c r="V408" s="47" t="s">
        <v>3417</v>
      </c>
      <c r="W408" s="47" t="s">
        <v>931</v>
      </c>
      <c r="X408" s="47" t="s">
        <v>932</v>
      </c>
      <c r="Y408" s="47" t="s">
        <v>413</v>
      </c>
      <c r="Z408" s="47" t="s">
        <v>3418</v>
      </c>
      <c r="AA408" s="47" t="s">
        <v>3419</v>
      </c>
      <c r="AB408" s="47" t="s">
        <v>931</v>
      </c>
      <c r="AC408" s="47" t="s">
        <v>2882</v>
      </c>
      <c r="AD408" s="47" t="s">
        <v>3307</v>
      </c>
      <c r="AE408" s="47" t="s">
        <v>937</v>
      </c>
      <c r="AF408" s="47" t="s">
        <v>931</v>
      </c>
      <c r="AG408" s="47" t="s">
        <v>931</v>
      </c>
      <c r="AH408" s="47" t="s">
        <v>1067</v>
      </c>
      <c r="AI408" s="47" t="s">
        <v>931</v>
      </c>
      <c r="AJ408" s="47" t="s">
        <v>365</v>
      </c>
      <c r="AK408" s="47" t="s">
        <v>930</v>
      </c>
      <c r="AL408" s="47" t="s">
        <v>931</v>
      </c>
      <c r="AM408" s="47" t="s">
        <v>931</v>
      </c>
      <c r="AN408" s="37"/>
    </row>
    <row r="409" spans="1:40" hidden="1">
      <c r="A409" s="47" t="s">
        <v>982</v>
      </c>
      <c r="B409" s="47" t="s">
        <v>919</v>
      </c>
      <c r="C409" s="47" t="s">
        <v>3420</v>
      </c>
      <c r="D409" s="47">
        <f t="shared" si="13"/>
        <v>162293</v>
      </c>
      <c r="E409" s="47" t="s">
        <v>2928</v>
      </c>
      <c r="F409" s="47" t="s">
        <v>2929</v>
      </c>
      <c r="G409" s="47" t="s">
        <v>3421</v>
      </c>
      <c r="H409" s="47" t="s">
        <v>924</v>
      </c>
      <c r="I409" s="47" t="s">
        <v>3361</v>
      </c>
      <c r="J409" s="47" t="s">
        <v>1024</v>
      </c>
      <c r="K409" s="47" t="s">
        <v>163</v>
      </c>
      <c r="L409" s="47" t="s">
        <v>1057</v>
      </c>
      <c r="M409" s="47" t="s">
        <v>2725</v>
      </c>
      <c r="N409" s="47" t="s">
        <v>946</v>
      </c>
      <c r="O409" s="47" t="s">
        <v>930</v>
      </c>
      <c r="P409" s="47" t="s">
        <v>930</v>
      </c>
      <c r="Q409" s="47"/>
      <c r="R409" s="47"/>
      <c r="S409" s="47"/>
      <c r="T409" s="47" t="s">
        <v>3422</v>
      </c>
      <c r="U409" s="47" t="s">
        <v>3423</v>
      </c>
      <c r="V409" s="47" t="s">
        <v>3204</v>
      </c>
      <c r="W409" s="47" t="s">
        <v>931</v>
      </c>
      <c r="X409" s="47" t="s">
        <v>932</v>
      </c>
      <c r="Y409" s="47" t="s">
        <v>3421</v>
      </c>
      <c r="Z409" s="47" t="s">
        <v>3424</v>
      </c>
      <c r="AA409" s="47" t="s">
        <v>3425</v>
      </c>
      <c r="AB409" s="47" t="s">
        <v>3426</v>
      </c>
      <c r="AC409" s="47" t="s">
        <v>1328</v>
      </c>
      <c r="AD409" s="47" t="s">
        <v>3364</v>
      </c>
      <c r="AE409" s="47" t="s">
        <v>937</v>
      </c>
      <c r="AF409" s="47" t="s">
        <v>931</v>
      </c>
      <c r="AG409" s="47" t="s">
        <v>3427</v>
      </c>
      <c r="AH409" s="47" t="s">
        <v>1067</v>
      </c>
      <c r="AI409" s="47" t="s">
        <v>931</v>
      </c>
      <c r="AJ409" s="47" t="s">
        <v>365</v>
      </c>
      <c r="AK409" s="47" t="s">
        <v>930</v>
      </c>
      <c r="AL409" s="47" t="s">
        <v>931</v>
      </c>
      <c r="AM409" s="47" t="s">
        <v>931</v>
      </c>
      <c r="AN409" s="37"/>
    </row>
    <row r="410" spans="1:40" hidden="1">
      <c r="A410" s="47" t="s">
        <v>982</v>
      </c>
      <c r="B410" s="47" t="s">
        <v>919</v>
      </c>
      <c r="C410" s="47" t="s">
        <v>3428</v>
      </c>
      <c r="D410" s="47">
        <f t="shared" si="13"/>
        <v>161383</v>
      </c>
      <c r="E410" s="47" t="s">
        <v>216</v>
      </c>
      <c r="F410" s="47" t="s">
        <v>217</v>
      </c>
      <c r="G410" s="47" t="s">
        <v>468</v>
      </c>
      <c r="H410" s="47" t="s">
        <v>924</v>
      </c>
      <c r="I410" s="47" t="s">
        <v>3429</v>
      </c>
      <c r="J410" s="47" t="s">
        <v>1055</v>
      </c>
      <c r="K410" s="47" t="s">
        <v>163</v>
      </c>
      <c r="L410" s="47" t="s">
        <v>2711</v>
      </c>
      <c r="M410" s="47" t="s">
        <v>2711</v>
      </c>
      <c r="N410" s="47" t="s">
        <v>946</v>
      </c>
      <c r="O410" s="47" t="s">
        <v>930</v>
      </c>
      <c r="P410" s="47" t="s">
        <v>930</v>
      </c>
      <c r="Q410" s="47"/>
      <c r="R410" s="47"/>
      <c r="S410" s="47"/>
      <c r="T410" s="47" t="s">
        <v>3430</v>
      </c>
      <c r="U410" s="47" t="s">
        <v>3431</v>
      </c>
      <c r="V410" s="47" t="s">
        <v>425</v>
      </c>
      <c r="W410" s="47" t="s">
        <v>931</v>
      </c>
      <c r="X410" s="47" t="s">
        <v>932</v>
      </c>
      <c r="Y410" s="47" t="s">
        <v>468</v>
      </c>
      <c r="Z410" s="47" t="s">
        <v>3299</v>
      </c>
      <c r="AA410" s="47" t="s">
        <v>3300</v>
      </c>
      <c r="AB410" s="47" t="s">
        <v>931</v>
      </c>
      <c r="AC410" s="47" t="s">
        <v>438</v>
      </c>
      <c r="AD410" s="47" t="s">
        <v>3432</v>
      </c>
      <c r="AE410" s="47" t="s">
        <v>937</v>
      </c>
      <c r="AF410" s="47" t="s">
        <v>931</v>
      </c>
      <c r="AG410" s="47" t="s">
        <v>931</v>
      </c>
      <c r="AH410" s="47" t="s">
        <v>364</v>
      </c>
      <c r="AI410" s="47" t="s">
        <v>931</v>
      </c>
      <c r="AJ410" s="47" t="s">
        <v>365</v>
      </c>
      <c r="AK410" s="47" t="s">
        <v>930</v>
      </c>
      <c r="AL410" s="47" t="s">
        <v>931</v>
      </c>
      <c r="AM410" s="47" t="s">
        <v>931</v>
      </c>
      <c r="AN410" s="37"/>
    </row>
    <row r="411" spans="1:40" hidden="1">
      <c r="A411" s="47" t="s">
        <v>982</v>
      </c>
      <c r="B411" s="47" t="s">
        <v>919</v>
      </c>
      <c r="C411" s="47" t="s">
        <v>3433</v>
      </c>
      <c r="D411" s="47">
        <f t="shared" si="13"/>
        <v>161362</v>
      </c>
      <c r="E411" s="47" t="s">
        <v>642</v>
      </c>
      <c r="F411" s="47" t="s">
        <v>643</v>
      </c>
      <c r="G411" s="47" t="s">
        <v>3434</v>
      </c>
      <c r="H411" s="47" t="s">
        <v>3368</v>
      </c>
      <c r="I411" s="47" t="s">
        <v>3435</v>
      </c>
      <c r="J411" s="47" t="s">
        <v>1055</v>
      </c>
      <c r="K411" s="47" t="s">
        <v>163</v>
      </c>
      <c r="L411" s="47" t="s">
        <v>1511</v>
      </c>
      <c r="M411" s="47" t="s">
        <v>1511</v>
      </c>
      <c r="N411" s="47" t="s">
        <v>1058</v>
      </c>
      <c r="O411" s="47" t="s">
        <v>930</v>
      </c>
      <c r="P411" s="47" t="s">
        <v>930</v>
      </c>
      <c r="Q411" s="47"/>
      <c r="R411" s="47"/>
      <c r="S411" s="47"/>
      <c r="T411" s="47" t="s">
        <v>3436</v>
      </c>
      <c r="U411" s="47" t="s">
        <v>3437</v>
      </c>
      <c r="V411" s="47" t="s">
        <v>645</v>
      </c>
      <c r="W411" s="47" t="s">
        <v>931</v>
      </c>
      <c r="X411" s="47" t="s">
        <v>1063</v>
      </c>
      <c r="Y411" s="47" t="s">
        <v>3434</v>
      </c>
      <c r="Z411" s="47" t="s">
        <v>3438</v>
      </c>
      <c r="AA411" s="47" t="s">
        <v>931</v>
      </c>
      <c r="AB411" s="47" t="s">
        <v>931</v>
      </c>
      <c r="AC411" s="47" t="s">
        <v>1052</v>
      </c>
      <c r="AD411" s="47" t="s">
        <v>3439</v>
      </c>
      <c r="AE411" s="47" t="s">
        <v>937</v>
      </c>
      <c r="AF411" s="47" t="s">
        <v>931</v>
      </c>
      <c r="AG411" s="47" t="s">
        <v>931</v>
      </c>
      <c r="AH411" s="47" t="s">
        <v>1067</v>
      </c>
      <c r="AI411" s="47" t="s">
        <v>931</v>
      </c>
      <c r="AJ411" s="47" t="s">
        <v>365</v>
      </c>
      <c r="AK411" s="47" t="s">
        <v>930</v>
      </c>
      <c r="AL411" s="47" t="s">
        <v>931</v>
      </c>
      <c r="AM411" s="47" t="s">
        <v>931</v>
      </c>
      <c r="AN411" s="37"/>
    </row>
    <row r="412" spans="1:40" hidden="1">
      <c r="A412" s="47" t="s">
        <v>982</v>
      </c>
      <c r="B412" s="47" t="s">
        <v>919</v>
      </c>
      <c r="C412" s="47" t="s">
        <v>3440</v>
      </c>
      <c r="D412" s="47">
        <f t="shared" si="13"/>
        <v>161372</v>
      </c>
      <c r="E412" s="47" t="s">
        <v>654</v>
      </c>
      <c r="F412" s="47" t="s">
        <v>655</v>
      </c>
      <c r="G412" s="47" t="s">
        <v>461</v>
      </c>
      <c r="H412" s="47" t="s">
        <v>1053</v>
      </c>
      <c r="I412" s="47" t="s">
        <v>3441</v>
      </c>
      <c r="J412" s="47" t="s">
        <v>1354</v>
      </c>
      <c r="K412" s="47" t="s">
        <v>163</v>
      </c>
      <c r="L412" s="47" t="s">
        <v>1057</v>
      </c>
      <c r="M412" s="47" t="s">
        <v>1269</v>
      </c>
      <c r="N412" s="47" t="s">
        <v>1058</v>
      </c>
      <c r="O412" s="47" t="s">
        <v>930</v>
      </c>
      <c r="P412" s="47" t="s">
        <v>930</v>
      </c>
      <c r="Q412" s="47" t="str">
        <f>LEFT(T412,9)</f>
        <v xml:space="preserve"> Chiều T5</v>
      </c>
      <c r="R412" s="47" t="s">
        <v>973</v>
      </c>
      <c r="S412" s="47" t="s">
        <v>1027</v>
      </c>
      <c r="T412" s="47" t="s">
        <v>3442</v>
      </c>
      <c r="U412" s="47" t="s">
        <v>3443</v>
      </c>
      <c r="V412" s="47" t="s">
        <v>631</v>
      </c>
      <c r="W412" s="47" t="s">
        <v>931</v>
      </c>
      <c r="X412" s="47" t="s">
        <v>995</v>
      </c>
      <c r="Y412" s="47" t="s">
        <v>461</v>
      </c>
      <c r="Z412" s="47" t="s">
        <v>3281</v>
      </c>
      <c r="AA412" s="47" t="s">
        <v>3282</v>
      </c>
      <c r="AB412" s="47" t="s">
        <v>3444</v>
      </c>
      <c r="AC412" s="47" t="s">
        <v>456</v>
      </c>
      <c r="AD412" s="47" t="s">
        <v>3445</v>
      </c>
      <c r="AE412" s="47" t="s">
        <v>937</v>
      </c>
      <c r="AF412" s="47" t="s">
        <v>931</v>
      </c>
      <c r="AG412" s="47" t="s">
        <v>931</v>
      </c>
      <c r="AH412" s="47" t="s">
        <v>998</v>
      </c>
      <c r="AI412" s="47" t="s">
        <v>931</v>
      </c>
      <c r="AJ412" s="47" t="s">
        <v>931</v>
      </c>
      <c r="AK412" s="47" t="s">
        <v>930</v>
      </c>
      <c r="AL412" s="47" t="s">
        <v>931</v>
      </c>
      <c r="AM412" s="47" t="s">
        <v>931</v>
      </c>
      <c r="AN412" s="37"/>
    </row>
    <row r="413" spans="1:40" hidden="1">
      <c r="A413" s="47" t="s">
        <v>982</v>
      </c>
      <c r="B413" s="47" t="s">
        <v>919</v>
      </c>
      <c r="C413" s="47" t="s">
        <v>3446</v>
      </c>
      <c r="D413" s="47">
        <f t="shared" si="13"/>
        <v>161373</v>
      </c>
      <c r="E413" s="47" t="s">
        <v>654</v>
      </c>
      <c r="F413" s="47" t="s">
        <v>655</v>
      </c>
      <c r="G413" s="47" t="s">
        <v>456</v>
      </c>
      <c r="H413" s="47" t="s">
        <v>1053</v>
      </c>
      <c r="I413" s="47" t="s">
        <v>3447</v>
      </c>
      <c r="J413" s="47" t="s">
        <v>1354</v>
      </c>
      <c r="K413" s="47" t="s">
        <v>163</v>
      </c>
      <c r="L413" s="47" t="s">
        <v>1269</v>
      </c>
      <c r="M413" s="47" t="s">
        <v>1269</v>
      </c>
      <c r="N413" s="47" t="s">
        <v>1058</v>
      </c>
      <c r="O413" s="47" t="s">
        <v>930</v>
      </c>
      <c r="P413" s="47" t="s">
        <v>930</v>
      </c>
      <c r="Q413" s="47" t="str">
        <f>LEFT(T413,9)</f>
        <v xml:space="preserve"> Sáng T4:</v>
      </c>
      <c r="R413" s="47" t="s">
        <v>973</v>
      </c>
      <c r="S413" s="47" t="s">
        <v>1059</v>
      </c>
      <c r="T413" s="47" t="s">
        <v>3448</v>
      </c>
      <c r="U413" s="47" t="s">
        <v>3449</v>
      </c>
      <c r="V413" s="47" t="s">
        <v>631</v>
      </c>
      <c r="W413" s="47" t="s">
        <v>931</v>
      </c>
      <c r="X413" s="47" t="s">
        <v>995</v>
      </c>
      <c r="Y413" s="47" t="s">
        <v>456</v>
      </c>
      <c r="Z413" s="47" t="s">
        <v>3331</v>
      </c>
      <c r="AA413" s="47" t="s">
        <v>3332</v>
      </c>
      <c r="AB413" s="47" t="s">
        <v>3450</v>
      </c>
      <c r="AC413" s="47" t="s">
        <v>456</v>
      </c>
      <c r="AD413" s="47" t="s">
        <v>3451</v>
      </c>
      <c r="AE413" s="47" t="s">
        <v>937</v>
      </c>
      <c r="AF413" s="47" t="s">
        <v>931</v>
      </c>
      <c r="AG413" s="47" t="s">
        <v>931</v>
      </c>
      <c r="AH413" s="47" t="s">
        <v>998</v>
      </c>
      <c r="AI413" s="47" t="s">
        <v>931</v>
      </c>
      <c r="AJ413" s="47" t="s">
        <v>931</v>
      </c>
      <c r="AK413" s="47" t="s">
        <v>930</v>
      </c>
      <c r="AL413" s="47" t="s">
        <v>931</v>
      </c>
      <c r="AM413" s="47" t="s">
        <v>931</v>
      </c>
      <c r="AN413" s="37"/>
    </row>
    <row r="414" spans="1:40" hidden="1">
      <c r="A414" s="47" t="s">
        <v>982</v>
      </c>
      <c r="B414" s="47" t="s">
        <v>919</v>
      </c>
      <c r="C414" s="47" t="s">
        <v>3452</v>
      </c>
      <c r="D414" s="47">
        <f t="shared" si="13"/>
        <v>162274</v>
      </c>
      <c r="E414" s="47" t="s">
        <v>261</v>
      </c>
      <c r="F414" s="47" t="s">
        <v>262</v>
      </c>
      <c r="G414" s="47" t="s">
        <v>470</v>
      </c>
      <c r="H414" s="47" t="s">
        <v>1325</v>
      </c>
      <c r="I414" s="47" t="s">
        <v>3453</v>
      </c>
      <c r="J414" s="47" t="s">
        <v>1024</v>
      </c>
      <c r="K414" s="47" t="s">
        <v>163</v>
      </c>
      <c r="L414" s="47" t="s">
        <v>3311</v>
      </c>
      <c r="M414" s="47" t="s">
        <v>3311</v>
      </c>
      <c r="N414" s="47" t="s">
        <v>946</v>
      </c>
      <c r="O414" s="47" t="s">
        <v>930</v>
      </c>
      <c r="P414" s="47" t="s">
        <v>930</v>
      </c>
      <c r="Q414" s="47"/>
      <c r="R414" s="47"/>
      <c r="S414" s="47"/>
      <c r="T414" s="47" t="s">
        <v>3454</v>
      </c>
      <c r="U414" s="47" t="s">
        <v>3455</v>
      </c>
      <c r="V414" s="47" t="s">
        <v>3314</v>
      </c>
      <c r="W414" s="47" t="s">
        <v>931</v>
      </c>
      <c r="X414" s="47" t="s">
        <v>932</v>
      </c>
      <c r="Y414" s="47" t="s">
        <v>470</v>
      </c>
      <c r="Z414" s="47" t="s">
        <v>3315</v>
      </c>
      <c r="AA414" s="47" t="s">
        <v>3316</v>
      </c>
      <c r="AB414" s="47" t="s">
        <v>931</v>
      </c>
      <c r="AC414" s="47" t="s">
        <v>438</v>
      </c>
      <c r="AD414" s="47" t="s">
        <v>3456</v>
      </c>
      <c r="AE414" s="47" t="s">
        <v>937</v>
      </c>
      <c r="AF414" s="47" t="s">
        <v>931</v>
      </c>
      <c r="AG414" s="47" t="s">
        <v>3457</v>
      </c>
      <c r="AH414" s="47" t="s">
        <v>364</v>
      </c>
      <c r="AI414" s="47" t="s">
        <v>931</v>
      </c>
      <c r="AJ414" s="47" t="s">
        <v>365</v>
      </c>
      <c r="AK414" s="47" t="s">
        <v>930</v>
      </c>
      <c r="AL414" s="47" t="s">
        <v>931</v>
      </c>
      <c r="AM414" s="47" t="s">
        <v>931</v>
      </c>
      <c r="AN414" s="37"/>
    </row>
    <row r="415" spans="1:40" hidden="1">
      <c r="A415" s="47" t="s">
        <v>982</v>
      </c>
      <c r="B415" s="47" t="s">
        <v>919</v>
      </c>
      <c r="C415" s="47" t="s">
        <v>3458</v>
      </c>
      <c r="D415" s="47">
        <f t="shared" si="13"/>
        <v>161394</v>
      </c>
      <c r="E415" s="47" t="s">
        <v>63</v>
      </c>
      <c r="F415" s="47" t="s">
        <v>473</v>
      </c>
      <c r="G415" s="47" t="s">
        <v>464</v>
      </c>
      <c r="H415" s="47" t="s">
        <v>1053</v>
      </c>
      <c r="I415" s="47" t="s">
        <v>3459</v>
      </c>
      <c r="J415" s="47" t="s">
        <v>1055</v>
      </c>
      <c r="K415" s="47" t="s">
        <v>163</v>
      </c>
      <c r="L415" s="47" t="s">
        <v>1056</v>
      </c>
      <c r="M415" s="47" t="s">
        <v>1056</v>
      </c>
      <c r="N415" s="47" t="s">
        <v>1058</v>
      </c>
      <c r="O415" s="47" t="s">
        <v>930</v>
      </c>
      <c r="P415" s="47" t="s">
        <v>930</v>
      </c>
      <c r="Q415" s="47" t="str">
        <f>LEFT(T415,9)</f>
        <v xml:space="preserve"> Sáng T6:</v>
      </c>
      <c r="R415" s="47" t="s">
        <v>973</v>
      </c>
      <c r="S415" s="47" t="s">
        <v>1140</v>
      </c>
      <c r="T415" s="47" t="s">
        <v>3460</v>
      </c>
      <c r="U415" s="47" t="s">
        <v>3461</v>
      </c>
      <c r="V415" s="47" t="s">
        <v>480</v>
      </c>
      <c r="W415" s="47" t="s">
        <v>931</v>
      </c>
      <c r="X415" s="47" t="s">
        <v>995</v>
      </c>
      <c r="Y415" s="47" t="s">
        <v>464</v>
      </c>
      <c r="Z415" s="47" t="s">
        <v>3462</v>
      </c>
      <c r="AA415" s="47" t="s">
        <v>3463</v>
      </c>
      <c r="AB415" s="47" t="s">
        <v>3464</v>
      </c>
      <c r="AC415" s="47" t="s">
        <v>438</v>
      </c>
      <c r="AD415" s="47" t="s">
        <v>3465</v>
      </c>
      <c r="AE415" s="47" t="s">
        <v>937</v>
      </c>
      <c r="AF415" s="47" t="s">
        <v>931</v>
      </c>
      <c r="AG415" s="47" t="s">
        <v>3466</v>
      </c>
      <c r="AH415" s="47" t="s">
        <v>364</v>
      </c>
      <c r="AI415" s="47" t="s">
        <v>931</v>
      </c>
      <c r="AJ415" s="47" t="s">
        <v>365</v>
      </c>
      <c r="AK415" s="47" t="s">
        <v>930</v>
      </c>
      <c r="AL415" s="47" t="s">
        <v>931</v>
      </c>
      <c r="AM415" s="47" t="s">
        <v>931</v>
      </c>
      <c r="AN415" s="37"/>
    </row>
    <row r="416" spans="1:40" hidden="1">
      <c r="A416" s="47" t="s">
        <v>982</v>
      </c>
      <c r="B416" s="47" t="s">
        <v>919</v>
      </c>
      <c r="C416" s="47" t="s">
        <v>3467</v>
      </c>
      <c r="D416" s="47">
        <f t="shared" si="13"/>
        <v>162286</v>
      </c>
      <c r="E416" s="47" t="s">
        <v>632</v>
      </c>
      <c r="F416" s="47" t="s">
        <v>633</v>
      </c>
      <c r="G416" s="47" t="s">
        <v>837</v>
      </c>
      <c r="H416" s="47" t="s">
        <v>1287</v>
      </c>
      <c r="I416" s="47" t="s">
        <v>3468</v>
      </c>
      <c r="J416" s="47" t="s">
        <v>1024</v>
      </c>
      <c r="K416" s="47" t="s">
        <v>163</v>
      </c>
      <c r="L416" s="47" t="s">
        <v>1004</v>
      </c>
      <c r="M416" s="47" t="s">
        <v>1004</v>
      </c>
      <c r="N416" s="47" t="s">
        <v>946</v>
      </c>
      <c r="O416" s="47" t="s">
        <v>930</v>
      </c>
      <c r="P416" s="47" t="s">
        <v>930</v>
      </c>
      <c r="Q416" s="47"/>
      <c r="R416" s="47"/>
      <c r="S416" s="47"/>
      <c r="T416" s="47" t="s">
        <v>3469</v>
      </c>
      <c r="U416" s="47" t="s">
        <v>3470</v>
      </c>
      <c r="V416" s="47" t="s">
        <v>3471</v>
      </c>
      <c r="W416" s="47" t="s">
        <v>931</v>
      </c>
      <c r="X416" s="47" t="s">
        <v>932</v>
      </c>
      <c r="Y416" s="47" t="s">
        <v>837</v>
      </c>
      <c r="Z416" s="47" t="s">
        <v>3381</v>
      </c>
      <c r="AA416" s="47" t="s">
        <v>3382</v>
      </c>
      <c r="AB416" s="47" t="s">
        <v>931</v>
      </c>
      <c r="AC416" s="47" t="s">
        <v>2882</v>
      </c>
      <c r="AD416" s="47" t="s">
        <v>991</v>
      </c>
      <c r="AE416" s="47" t="s">
        <v>937</v>
      </c>
      <c r="AF416" s="47" t="s">
        <v>3472</v>
      </c>
      <c r="AG416" s="47" t="s">
        <v>931</v>
      </c>
      <c r="AH416" s="47" t="s">
        <v>1067</v>
      </c>
      <c r="AI416" s="47" t="s">
        <v>931</v>
      </c>
      <c r="AJ416" s="47" t="s">
        <v>365</v>
      </c>
      <c r="AK416" s="47" t="s">
        <v>930</v>
      </c>
      <c r="AL416" s="47" t="s">
        <v>931</v>
      </c>
      <c r="AM416" s="47" t="s">
        <v>931</v>
      </c>
      <c r="AN416" s="37"/>
    </row>
    <row r="417" spans="1:40" hidden="1">
      <c r="A417" s="47" t="s">
        <v>982</v>
      </c>
      <c r="B417" s="47" t="s">
        <v>919</v>
      </c>
      <c r="C417" s="47" t="s">
        <v>3473</v>
      </c>
      <c r="D417" s="47">
        <f t="shared" si="13"/>
        <v>161384</v>
      </c>
      <c r="E417" s="47" t="s">
        <v>216</v>
      </c>
      <c r="F417" s="47" t="s">
        <v>217</v>
      </c>
      <c r="G417" s="47" t="s">
        <v>470</v>
      </c>
      <c r="H417" s="47" t="s">
        <v>924</v>
      </c>
      <c r="I417" s="47" t="s">
        <v>3474</v>
      </c>
      <c r="J417" s="47" t="s">
        <v>1055</v>
      </c>
      <c r="K417" s="47" t="s">
        <v>163</v>
      </c>
      <c r="L417" s="47" t="s">
        <v>3475</v>
      </c>
      <c r="M417" s="47" t="s">
        <v>2711</v>
      </c>
      <c r="N417" s="47" t="s">
        <v>946</v>
      </c>
      <c r="O417" s="47" t="s">
        <v>930</v>
      </c>
      <c r="P417" s="47" t="s">
        <v>930</v>
      </c>
      <c r="Q417" s="47"/>
      <c r="R417" s="47"/>
      <c r="S417" s="47"/>
      <c r="T417" s="47" t="s">
        <v>3476</v>
      </c>
      <c r="U417" s="47" t="s">
        <v>3477</v>
      </c>
      <c r="V417" s="47" t="s">
        <v>425</v>
      </c>
      <c r="W417" s="47" t="s">
        <v>931</v>
      </c>
      <c r="X417" s="47" t="s">
        <v>932</v>
      </c>
      <c r="Y417" s="47" t="s">
        <v>470</v>
      </c>
      <c r="Z417" s="47" t="s">
        <v>3315</v>
      </c>
      <c r="AA417" s="47" t="s">
        <v>3316</v>
      </c>
      <c r="AB417" s="47" t="s">
        <v>931</v>
      </c>
      <c r="AC417" s="47" t="s">
        <v>438</v>
      </c>
      <c r="AD417" s="47" t="s">
        <v>3478</v>
      </c>
      <c r="AE417" s="47" t="s">
        <v>3479</v>
      </c>
      <c r="AF417" s="47" t="s">
        <v>931</v>
      </c>
      <c r="AG417" s="47" t="s">
        <v>3480</v>
      </c>
      <c r="AH417" s="47" t="s">
        <v>364</v>
      </c>
      <c r="AI417" s="47" t="s">
        <v>931</v>
      </c>
      <c r="AJ417" s="47" t="s">
        <v>365</v>
      </c>
      <c r="AK417" s="47" t="s">
        <v>930</v>
      </c>
      <c r="AL417" s="47" t="s">
        <v>931</v>
      </c>
      <c r="AM417" s="47" t="s">
        <v>931</v>
      </c>
      <c r="AN417" s="37"/>
    </row>
    <row r="418" spans="1:40" hidden="1">
      <c r="A418" s="47" t="s">
        <v>982</v>
      </c>
      <c r="B418" s="47" t="s">
        <v>919</v>
      </c>
      <c r="C418" s="47" t="s">
        <v>3481</v>
      </c>
      <c r="D418" s="47">
        <f t="shared" si="13"/>
        <v>162275</v>
      </c>
      <c r="E418" s="47" t="s">
        <v>261</v>
      </c>
      <c r="F418" s="47" t="s">
        <v>262</v>
      </c>
      <c r="G418" s="47" t="s">
        <v>3058</v>
      </c>
      <c r="H418" s="47" t="s">
        <v>1325</v>
      </c>
      <c r="I418" s="47" t="s">
        <v>3303</v>
      </c>
      <c r="J418" s="47" t="s">
        <v>1024</v>
      </c>
      <c r="K418" s="47" t="s">
        <v>163</v>
      </c>
      <c r="L418" s="47" t="s">
        <v>3475</v>
      </c>
      <c r="M418" s="47" t="s">
        <v>3311</v>
      </c>
      <c r="N418" s="47" t="s">
        <v>946</v>
      </c>
      <c r="O418" s="47" t="s">
        <v>930</v>
      </c>
      <c r="P418" s="47" t="s">
        <v>930</v>
      </c>
      <c r="Q418" s="47"/>
      <c r="R418" s="47"/>
      <c r="S418" s="47"/>
      <c r="T418" s="47" t="s">
        <v>3482</v>
      </c>
      <c r="U418" s="47" t="s">
        <v>3483</v>
      </c>
      <c r="V418" s="47" t="s">
        <v>3314</v>
      </c>
      <c r="W418" s="47" t="s">
        <v>931</v>
      </c>
      <c r="X418" s="47" t="s">
        <v>932</v>
      </c>
      <c r="Y418" s="47" t="s">
        <v>3058</v>
      </c>
      <c r="Z418" s="47" t="s">
        <v>3063</v>
      </c>
      <c r="AA418" s="47" t="s">
        <v>3064</v>
      </c>
      <c r="AB418" s="47" t="s">
        <v>931</v>
      </c>
      <c r="AC418" s="47" t="s">
        <v>438</v>
      </c>
      <c r="AD418" s="47" t="s">
        <v>3307</v>
      </c>
      <c r="AE418" s="47" t="s">
        <v>937</v>
      </c>
      <c r="AF418" s="47" t="s">
        <v>931</v>
      </c>
      <c r="AG418" s="47" t="s">
        <v>931</v>
      </c>
      <c r="AH418" s="47" t="s">
        <v>364</v>
      </c>
      <c r="AI418" s="47" t="s">
        <v>931</v>
      </c>
      <c r="AJ418" s="47" t="s">
        <v>365</v>
      </c>
      <c r="AK418" s="47" t="s">
        <v>930</v>
      </c>
      <c r="AL418" s="47" t="s">
        <v>931</v>
      </c>
      <c r="AM418" s="47" t="s">
        <v>931</v>
      </c>
      <c r="AN418" s="37"/>
    </row>
    <row r="419" spans="1:40" hidden="1">
      <c r="A419" s="47" t="s">
        <v>982</v>
      </c>
      <c r="B419" s="47" t="s">
        <v>919</v>
      </c>
      <c r="C419" s="47" t="s">
        <v>3484</v>
      </c>
      <c r="D419" s="47">
        <f t="shared" si="13"/>
        <v>161370</v>
      </c>
      <c r="E419" s="47" t="s">
        <v>654</v>
      </c>
      <c r="F419" s="47" t="s">
        <v>655</v>
      </c>
      <c r="G419" s="47" t="s">
        <v>3485</v>
      </c>
      <c r="H419" s="47" t="s">
        <v>1053</v>
      </c>
      <c r="I419" s="47" t="s">
        <v>3486</v>
      </c>
      <c r="J419" s="47" t="s">
        <v>1354</v>
      </c>
      <c r="K419" s="47" t="s">
        <v>163</v>
      </c>
      <c r="L419" s="47" t="s">
        <v>1057</v>
      </c>
      <c r="M419" s="47" t="s">
        <v>1269</v>
      </c>
      <c r="N419" s="47" t="s">
        <v>1058</v>
      </c>
      <c r="O419" s="47" t="s">
        <v>930</v>
      </c>
      <c r="P419" s="47" t="s">
        <v>930</v>
      </c>
      <c r="Q419" s="47"/>
      <c r="R419" s="47"/>
      <c r="S419" s="47"/>
      <c r="T419" s="47" t="s">
        <v>3487</v>
      </c>
      <c r="U419" s="47" t="s">
        <v>3488</v>
      </c>
      <c r="V419" s="47" t="s">
        <v>3387</v>
      </c>
      <c r="W419" s="47" t="s">
        <v>931</v>
      </c>
      <c r="X419" s="47" t="s">
        <v>995</v>
      </c>
      <c r="Y419" s="47" t="s">
        <v>3485</v>
      </c>
      <c r="Z419" s="47" t="s">
        <v>3489</v>
      </c>
      <c r="AA419" s="47" t="s">
        <v>3490</v>
      </c>
      <c r="AB419" s="47" t="s">
        <v>931</v>
      </c>
      <c r="AC419" s="47" t="s">
        <v>456</v>
      </c>
      <c r="AD419" s="47" t="s">
        <v>3491</v>
      </c>
      <c r="AE419" s="47" t="s">
        <v>937</v>
      </c>
      <c r="AF419" s="47" t="s">
        <v>931</v>
      </c>
      <c r="AG419" s="47" t="s">
        <v>931</v>
      </c>
      <c r="AH419" s="47" t="s">
        <v>998</v>
      </c>
      <c r="AI419" s="47" t="s">
        <v>931</v>
      </c>
      <c r="AJ419" s="47" t="s">
        <v>931</v>
      </c>
      <c r="AK419" s="47" t="s">
        <v>930</v>
      </c>
      <c r="AL419" s="47" t="s">
        <v>931</v>
      </c>
      <c r="AM419" s="47" t="s">
        <v>931</v>
      </c>
      <c r="AN419" s="37"/>
    </row>
    <row r="420" spans="1:40" hidden="1">
      <c r="A420" s="47" t="s">
        <v>982</v>
      </c>
      <c r="B420" s="47" t="s">
        <v>919</v>
      </c>
      <c r="C420" s="47" t="s">
        <v>3492</v>
      </c>
      <c r="D420" s="47">
        <f t="shared" si="13"/>
        <v>162282</v>
      </c>
      <c r="E420" s="47" t="s">
        <v>68</v>
      </c>
      <c r="F420" s="47" t="s">
        <v>287</v>
      </c>
      <c r="G420" s="47" t="s">
        <v>476</v>
      </c>
      <c r="H420" s="47" t="s">
        <v>924</v>
      </c>
      <c r="I420" s="47" t="s">
        <v>3326</v>
      </c>
      <c r="J420" s="47" t="s">
        <v>1024</v>
      </c>
      <c r="K420" s="47" t="s">
        <v>163</v>
      </c>
      <c r="L420" s="47" t="s">
        <v>3311</v>
      </c>
      <c r="M420" s="47" t="s">
        <v>3311</v>
      </c>
      <c r="N420" s="47" t="s">
        <v>946</v>
      </c>
      <c r="O420" s="47" t="s">
        <v>930</v>
      </c>
      <c r="P420" s="47" t="s">
        <v>930</v>
      </c>
      <c r="Q420" s="47"/>
      <c r="R420" s="47"/>
      <c r="S420" s="47"/>
      <c r="T420" s="47" t="s">
        <v>3493</v>
      </c>
      <c r="U420" s="47" t="s">
        <v>3494</v>
      </c>
      <c r="V420" s="47" t="s">
        <v>3495</v>
      </c>
      <c r="W420" s="47" t="s">
        <v>931</v>
      </c>
      <c r="X420" s="47" t="s">
        <v>995</v>
      </c>
      <c r="Y420" s="47" t="s">
        <v>476</v>
      </c>
      <c r="Z420" s="47" t="s">
        <v>3496</v>
      </c>
      <c r="AA420" s="47" t="s">
        <v>3497</v>
      </c>
      <c r="AB420" s="47" t="s">
        <v>931</v>
      </c>
      <c r="AC420" s="47" t="s">
        <v>464</v>
      </c>
      <c r="AD420" s="47" t="s">
        <v>3160</v>
      </c>
      <c r="AE420" s="47" t="s">
        <v>937</v>
      </c>
      <c r="AF420" s="47" t="s">
        <v>3498</v>
      </c>
      <c r="AG420" s="47" t="s">
        <v>3499</v>
      </c>
      <c r="AH420" s="47" t="s">
        <v>364</v>
      </c>
      <c r="AI420" s="47" t="s">
        <v>931</v>
      </c>
      <c r="AJ420" s="47" t="s">
        <v>365</v>
      </c>
      <c r="AK420" s="47" t="s">
        <v>930</v>
      </c>
      <c r="AL420" s="47" t="s">
        <v>931</v>
      </c>
      <c r="AM420" s="47" t="s">
        <v>931</v>
      </c>
      <c r="AN420" s="37"/>
    </row>
    <row r="421" spans="1:40" hidden="1">
      <c r="A421" s="47" t="s">
        <v>982</v>
      </c>
      <c r="B421" s="47" t="s">
        <v>919</v>
      </c>
      <c r="C421" s="47" t="s">
        <v>3500</v>
      </c>
      <c r="D421" s="47">
        <f t="shared" si="13"/>
        <v>162273</v>
      </c>
      <c r="E421" s="47" t="s">
        <v>266</v>
      </c>
      <c r="F421" s="47" t="s">
        <v>267</v>
      </c>
      <c r="G421" s="47" t="s">
        <v>420</v>
      </c>
      <c r="H421" s="47" t="s">
        <v>1287</v>
      </c>
      <c r="I421" s="47" t="s">
        <v>3501</v>
      </c>
      <c r="J421" s="47" t="s">
        <v>1024</v>
      </c>
      <c r="K421" s="47" t="s">
        <v>163</v>
      </c>
      <c r="L421" s="47" t="s">
        <v>3502</v>
      </c>
      <c r="M421" s="47" t="s">
        <v>3502</v>
      </c>
      <c r="N421" s="47" t="s">
        <v>946</v>
      </c>
      <c r="O421" s="47" t="s">
        <v>930</v>
      </c>
      <c r="P421" s="47" t="s">
        <v>930</v>
      </c>
      <c r="Q421" s="47"/>
      <c r="R421" s="47"/>
      <c r="S421" s="47"/>
      <c r="T421" s="47" t="s">
        <v>3503</v>
      </c>
      <c r="U421" s="47" t="s">
        <v>3504</v>
      </c>
      <c r="V421" s="47" t="s">
        <v>3314</v>
      </c>
      <c r="W421" s="47" t="s">
        <v>931</v>
      </c>
      <c r="X421" s="47" t="s">
        <v>932</v>
      </c>
      <c r="Y421" s="47" t="s">
        <v>420</v>
      </c>
      <c r="Z421" s="47" t="s">
        <v>2934</v>
      </c>
      <c r="AA421" s="47" t="s">
        <v>2935</v>
      </c>
      <c r="AB421" s="47" t="s">
        <v>931</v>
      </c>
      <c r="AC421" s="47" t="s">
        <v>409</v>
      </c>
      <c r="AD421" s="47" t="s">
        <v>3505</v>
      </c>
      <c r="AE421" s="47" t="s">
        <v>3479</v>
      </c>
      <c r="AF421" s="47" t="s">
        <v>3506</v>
      </c>
      <c r="AG421" s="47" t="s">
        <v>3507</v>
      </c>
      <c r="AH421" s="47" t="s">
        <v>364</v>
      </c>
      <c r="AI421" s="47" t="s">
        <v>931</v>
      </c>
      <c r="AJ421" s="47" t="s">
        <v>365</v>
      </c>
      <c r="AK421" s="47" t="s">
        <v>930</v>
      </c>
      <c r="AL421" s="47" t="s">
        <v>931</v>
      </c>
      <c r="AM421" s="47" t="s">
        <v>931</v>
      </c>
      <c r="AN421" s="37"/>
    </row>
    <row r="422" spans="1:40" hidden="1">
      <c r="A422" s="47" t="s">
        <v>982</v>
      </c>
      <c r="B422" s="47" t="s">
        <v>919</v>
      </c>
      <c r="C422" s="47" t="s">
        <v>3508</v>
      </c>
      <c r="D422" s="47">
        <f t="shared" si="13"/>
        <v>161382</v>
      </c>
      <c r="E422" s="47" t="s">
        <v>68</v>
      </c>
      <c r="F422" s="47" t="s">
        <v>287</v>
      </c>
      <c r="G422" s="47" t="s">
        <v>370</v>
      </c>
      <c r="H422" s="47" t="s">
        <v>924</v>
      </c>
      <c r="I422" s="47" t="s">
        <v>3384</v>
      </c>
      <c r="J422" s="47" t="s">
        <v>1354</v>
      </c>
      <c r="K422" s="47" t="s">
        <v>163</v>
      </c>
      <c r="L422" s="47" t="s">
        <v>2711</v>
      </c>
      <c r="M422" s="47" t="s">
        <v>2711</v>
      </c>
      <c r="N422" s="47" t="s">
        <v>946</v>
      </c>
      <c r="O422" s="47" t="s">
        <v>930</v>
      </c>
      <c r="P422" s="47" t="s">
        <v>930</v>
      </c>
      <c r="Q422" s="47"/>
      <c r="R422" s="47"/>
      <c r="S422" s="47"/>
      <c r="T422" s="47" t="s">
        <v>3509</v>
      </c>
      <c r="U422" s="47" t="s">
        <v>3510</v>
      </c>
      <c r="V422" s="47" t="s">
        <v>465</v>
      </c>
      <c r="W422" s="47" t="s">
        <v>931</v>
      </c>
      <c r="X422" s="47" t="s">
        <v>995</v>
      </c>
      <c r="Y422" s="47" t="s">
        <v>370</v>
      </c>
      <c r="Z422" s="47" t="s">
        <v>3511</v>
      </c>
      <c r="AA422" s="47" t="s">
        <v>3512</v>
      </c>
      <c r="AB422" s="47" t="s">
        <v>931</v>
      </c>
      <c r="AC422" s="47" t="s">
        <v>464</v>
      </c>
      <c r="AD422" s="47" t="s">
        <v>3389</v>
      </c>
      <c r="AE422" s="47" t="s">
        <v>937</v>
      </c>
      <c r="AF422" s="47" t="s">
        <v>931</v>
      </c>
      <c r="AG422" s="47" t="s">
        <v>3513</v>
      </c>
      <c r="AH422" s="47" t="s">
        <v>364</v>
      </c>
      <c r="AI422" s="47" t="s">
        <v>931</v>
      </c>
      <c r="AJ422" s="47" t="s">
        <v>365</v>
      </c>
      <c r="AK422" s="47" t="s">
        <v>930</v>
      </c>
      <c r="AL422" s="47" t="s">
        <v>931</v>
      </c>
      <c r="AM422" s="47" t="s">
        <v>931</v>
      </c>
      <c r="AN422" s="37"/>
    </row>
    <row r="423" spans="1:40" hidden="1">
      <c r="A423" s="47" t="s">
        <v>982</v>
      </c>
      <c r="B423" s="47" t="s">
        <v>919</v>
      </c>
      <c r="C423" s="47" t="s">
        <v>3514</v>
      </c>
      <c r="D423" s="47">
        <f t="shared" si="13"/>
        <v>161398</v>
      </c>
      <c r="E423" s="47" t="s">
        <v>632</v>
      </c>
      <c r="F423" s="47" t="s">
        <v>633</v>
      </c>
      <c r="G423" s="47" t="s">
        <v>3515</v>
      </c>
      <c r="H423" s="47" t="s">
        <v>1287</v>
      </c>
      <c r="I423" s="47" t="s">
        <v>3516</v>
      </c>
      <c r="J423" s="47" t="s">
        <v>1055</v>
      </c>
      <c r="K423" s="47" t="s">
        <v>163</v>
      </c>
      <c r="L423" s="47" t="s">
        <v>2913</v>
      </c>
      <c r="M423" s="47" t="s">
        <v>1004</v>
      </c>
      <c r="N423" s="47" t="s">
        <v>946</v>
      </c>
      <c r="O423" s="47" t="s">
        <v>930</v>
      </c>
      <c r="P423" s="47" t="s">
        <v>930</v>
      </c>
      <c r="Q423" s="47"/>
      <c r="R423" s="47"/>
      <c r="S423" s="47"/>
      <c r="T423" s="47" t="s">
        <v>3517</v>
      </c>
      <c r="U423" s="47" t="s">
        <v>3518</v>
      </c>
      <c r="V423" s="47" t="s">
        <v>577</v>
      </c>
      <c r="W423" s="47" t="s">
        <v>931</v>
      </c>
      <c r="X423" s="47" t="s">
        <v>982</v>
      </c>
      <c r="Y423" s="47" t="s">
        <v>3515</v>
      </c>
      <c r="Z423" s="47" t="s">
        <v>3519</v>
      </c>
      <c r="AA423" s="47" t="s">
        <v>3520</v>
      </c>
      <c r="AB423" s="47" t="s">
        <v>931</v>
      </c>
      <c r="AC423" s="47" t="s">
        <v>2882</v>
      </c>
      <c r="AD423" s="47" t="s">
        <v>3521</v>
      </c>
      <c r="AE423" s="47" t="s">
        <v>937</v>
      </c>
      <c r="AF423" s="47" t="s">
        <v>931</v>
      </c>
      <c r="AG423" s="47" t="s">
        <v>931</v>
      </c>
      <c r="AH423" s="47" t="s">
        <v>1067</v>
      </c>
      <c r="AI423" s="47" t="s">
        <v>931</v>
      </c>
      <c r="AJ423" s="47" t="s">
        <v>365</v>
      </c>
      <c r="AK423" s="47" t="s">
        <v>930</v>
      </c>
      <c r="AL423" s="47" t="s">
        <v>931</v>
      </c>
      <c r="AM423" s="47" t="s">
        <v>931</v>
      </c>
      <c r="AN423" s="37"/>
    </row>
    <row r="424" spans="1:40" hidden="1">
      <c r="A424" s="47" t="s">
        <v>982</v>
      </c>
      <c r="B424" s="47" t="s">
        <v>919</v>
      </c>
      <c r="C424" s="47" t="s">
        <v>3522</v>
      </c>
      <c r="D424" s="47">
        <f t="shared" si="13"/>
        <v>161399</v>
      </c>
      <c r="E424" s="47" t="s">
        <v>632</v>
      </c>
      <c r="F424" s="47" t="s">
        <v>633</v>
      </c>
      <c r="G424" s="47" t="s">
        <v>3523</v>
      </c>
      <c r="H424" s="47" t="s">
        <v>1287</v>
      </c>
      <c r="I424" s="47" t="s">
        <v>3524</v>
      </c>
      <c r="J424" s="47" t="s">
        <v>1055</v>
      </c>
      <c r="K424" s="47" t="s">
        <v>163</v>
      </c>
      <c r="L424" s="47" t="s">
        <v>1003</v>
      </c>
      <c r="M424" s="47" t="s">
        <v>1004</v>
      </c>
      <c r="N424" s="47" t="s">
        <v>946</v>
      </c>
      <c r="O424" s="47" t="s">
        <v>930</v>
      </c>
      <c r="P424" s="47" t="s">
        <v>930</v>
      </c>
      <c r="Q424" s="47"/>
      <c r="R424" s="47"/>
      <c r="S424" s="47"/>
      <c r="T424" s="47" t="s">
        <v>3525</v>
      </c>
      <c r="U424" s="47" t="s">
        <v>3526</v>
      </c>
      <c r="V424" s="47" t="s">
        <v>579</v>
      </c>
      <c r="W424" s="47" t="s">
        <v>931</v>
      </c>
      <c r="X424" s="47" t="s">
        <v>982</v>
      </c>
      <c r="Y424" s="47" t="s">
        <v>3523</v>
      </c>
      <c r="Z424" s="47" t="s">
        <v>3527</v>
      </c>
      <c r="AA424" s="47" t="s">
        <v>3528</v>
      </c>
      <c r="AB424" s="47" t="s">
        <v>931</v>
      </c>
      <c r="AC424" s="47" t="s">
        <v>2882</v>
      </c>
      <c r="AD424" s="47" t="s">
        <v>3529</v>
      </c>
      <c r="AE424" s="47" t="s">
        <v>937</v>
      </c>
      <c r="AF424" s="47" t="s">
        <v>931</v>
      </c>
      <c r="AG424" s="47" t="s">
        <v>931</v>
      </c>
      <c r="AH424" s="47" t="s">
        <v>1067</v>
      </c>
      <c r="AI424" s="47" t="s">
        <v>931</v>
      </c>
      <c r="AJ424" s="47" t="s">
        <v>365</v>
      </c>
      <c r="AK424" s="47" t="s">
        <v>930</v>
      </c>
      <c r="AL424" s="47" t="s">
        <v>931</v>
      </c>
      <c r="AM424" s="47" t="s">
        <v>931</v>
      </c>
      <c r="AN424" s="37"/>
    </row>
    <row r="425" spans="1:40" hidden="1">
      <c r="A425" s="47" t="s">
        <v>982</v>
      </c>
      <c r="B425" s="47" t="s">
        <v>919</v>
      </c>
      <c r="C425" s="47" t="s">
        <v>3530</v>
      </c>
      <c r="D425" s="47">
        <f t="shared" si="13"/>
        <v>162272</v>
      </c>
      <c r="E425" s="47" t="s">
        <v>266</v>
      </c>
      <c r="F425" s="47" t="s">
        <v>267</v>
      </c>
      <c r="G425" s="47" t="s">
        <v>418</v>
      </c>
      <c r="H425" s="47" t="s">
        <v>1287</v>
      </c>
      <c r="I425" s="47" t="s">
        <v>3531</v>
      </c>
      <c r="J425" s="47" t="s">
        <v>1024</v>
      </c>
      <c r="K425" s="47" t="s">
        <v>163</v>
      </c>
      <c r="L425" s="47" t="s">
        <v>3532</v>
      </c>
      <c r="M425" s="47" t="s">
        <v>3502</v>
      </c>
      <c r="N425" s="47" t="s">
        <v>946</v>
      </c>
      <c r="O425" s="47" t="s">
        <v>930</v>
      </c>
      <c r="P425" s="47" t="s">
        <v>930</v>
      </c>
      <c r="Q425" s="47"/>
      <c r="R425" s="47"/>
      <c r="S425" s="47"/>
      <c r="T425" s="47" t="s">
        <v>3533</v>
      </c>
      <c r="U425" s="47" t="s">
        <v>3534</v>
      </c>
      <c r="V425" s="47" t="s">
        <v>3495</v>
      </c>
      <c r="W425" s="47" t="s">
        <v>931</v>
      </c>
      <c r="X425" s="47" t="s">
        <v>932</v>
      </c>
      <c r="Y425" s="47" t="s">
        <v>418</v>
      </c>
      <c r="Z425" s="47" t="s">
        <v>3535</v>
      </c>
      <c r="AA425" s="47" t="s">
        <v>3536</v>
      </c>
      <c r="AB425" s="47" t="s">
        <v>931</v>
      </c>
      <c r="AC425" s="47" t="s">
        <v>409</v>
      </c>
      <c r="AD425" s="47" t="s">
        <v>3537</v>
      </c>
      <c r="AE425" s="47" t="s">
        <v>3479</v>
      </c>
      <c r="AF425" s="47" t="s">
        <v>931</v>
      </c>
      <c r="AG425" s="47" t="s">
        <v>3538</v>
      </c>
      <c r="AH425" s="47" t="s">
        <v>364</v>
      </c>
      <c r="AI425" s="47" t="s">
        <v>931</v>
      </c>
      <c r="AJ425" s="47" t="s">
        <v>365</v>
      </c>
      <c r="AK425" s="47" t="s">
        <v>930</v>
      </c>
      <c r="AL425" s="47" t="s">
        <v>931</v>
      </c>
      <c r="AM425" s="47" t="s">
        <v>931</v>
      </c>
      <c r="AN425" s="37"/>
    </row>
    <row r="426" spans="1:40" hidden="1">
      <c r="A426" s="47" t="s">
        <v>982</v>
      </c>
      <c r="B426" s="47" t="s">
        <v>919</v>
      </c>
      <c r="C426" s="47" t="s">
        <v>3539</v>
      </c>
      <c r="D426" s="47">
        <f t="shared" si="13"/>
        <v>162281</v>
      </c>
      <c r="E426" s="47" t="s">
        <v>68</v>
      </c>
      <c r="F426" s="47" t="s">
        <v>287</v>
      </c>
      <c r="G426" s="47" t="s">
        <v>467</v>
      </c>
      <c r="H426" s="47" t="s">
        <v>924</v>
      </c>
      <c r="I426" s="47" t="s">
        <v>3326</v>
      </c>
      <c r="J426" s="47" t="s">
        <v>1024</v>
      </c>
      <c r="K426" s="47" t="s">
        <v>163</v>
      </c>
      <c r="L426" s="47" t="s">
        <v>3540</v>
      </c>
      <c r="M426" s="47" t="s">
        <v>3311</v>
      </c>
      <c r="N426" s="47" t="s">
        <v>946</v>
      </c>
      <c r="O426" s="47" t="s">
        <v>930</v>
      </c>
      <c r="P426" s="47" t="s">
        <v>930</v>
      </c>
      <c r="Q426" s="47"/>
      <c r="R426" s="47"/>
      <c r="S426" s="47"/>
      <c r="T426" s="47" t="s">
        <v>3541</v>
      </c>
      <c r="U426" s="47" t="s">
        <v>3542</v>
      </c>
      <c r="V426" s="47" t="s">
        <v>3314</v>
      </c>
      <c r="W426" s="47" t="s">
        <v>931</v>
      </c>
      <c r="X426" s="47" t="s">
        <v>995</v>
      </c>
      <c r="Y426" s="47" t="s">
        <v>467</v>
      </c>
      <c r="Z426" s="47" t="s">
        <v>3007</v>
      </c>
      <c r="AA426" s="47" t="s">
        <v>3008</v>
      </c>
      <c r="AB426" s="47" t="s">
        <v>931</v>
      </c>
      <c r="AC426" s="47" t="s">
        <v>464</v>
      </c>
      <c r="AD426" s="47" t="s">
        <v>3160</v>
      </c>
      <c r="AE426" s="47" t="s">
        <v>937</v>
      </c>
      <c r="AF426" s="47" t="s">
        <v>3543</v>
      </c>
      <c r="AG426" s="47" t="s">
        <v>3544</v>
      </c>
      <c r="AH426" s="47" t="s">
        <v>364</v>
      </c>
      <c r="AI426" s="47" t="s">
        <v>931</v>
      </c>
      <c r="AJ426" s="47" t="s">
        <v>365</v>
      </c>
      <c r="AK426" s="47" t="s">
        <v>930</v>
      </c>
      <c r="AL426" s="47" t="s">
        <v>931</v>
      </c>
      <c r="AM426" s="47" t="s">
        <v>931</v>
      </c>
      <c r="AN426" s="37"/>
    </row>
    <row r="427" spans="1:40" hidden="1">
      <c r="A427" s="47" t="s">
        <v>982</v>
      </c>
      <c r="B427" s="47" t="s">
        <v>919</v>
      </c>
      <c r="C427" s="47" t="s">
        <v>3545</v>
      </c>
      <c r="D427" s="47">
        <f t="shared" si="13"/>
        <v>161365</v>
      </c>
      <c r="E427" s="47" t="s">
        <v>642</v>
      </c>
      <c r="F427" s="47" t="s">
        <v>643</v>
      </c>
      <c r="G427" s="47" t="s">
        <v>3546</v>
      </c>
      <c r="H427" s="47" t="s">
        <v>3368</v>
      </c>
      <c r="I427" s="47" t="s">
        <v>3547</v>
      </c>
      <c r="J427" s="47" t="s">
        <v>1055</v>
      </c>
      <c r="K427" s="47" t="s">
        <v>163</v>
      </c>
      <c r="L427" s="47" t="s">
        <v>945</v>
      </c>
      <c r="M427" s="47" t="s">
        <v>1511</v>
      </c>
      <c r="N427" s="47" t="s">
        <v>1058</v>
      </c>
      <c r="O427" s="47" t="s">
        <v>930</v>
      </c>
      <c r="P427" s="47" t="s">
        <v>930</v>
      </c>
      <c r="Q427" s="47"/>
      <c r="R427" s="47"/>
      <c r="S427" s="47"/>
      <c r="T427" s="47" t="s">
        <v>3548</v>
      </c>
      <c r="U427" s="47" t="s">
        <v>3549</v>
      </c>
      <c r="V427" s="47" t="s">
        <v>653</v>
      </c>
      <c r="W427" s="47" t="s">
        <v>931</v>
      </c>
      <c r="X427" s="47" t="s">
        <v>1063</v>
      </c>
      <c r="Y427" s="47" t="s">
        <v>3546</v>
      </c>
      <c r="Z427" s="47" t="s">
        <v>3550</v>
      </c>
      <c r="AA427" s="47" t="s">
        <v>931</v>
      </c>
      <c r="AB427" s="47" t="s">
        <v>931</v>
      </c>
      <c r="AC427" s="47" t="s">
        <v>1052</v>
      </c>
      <c r="AD427" s="47" t="s">
        <v>3551</v>
      </c>
      <c r="AE427" s="47" t="s">
        <v>937</v>
      </c>
      <c r="AF427" s="47" t="s">
        <v>931</v>
      </c>
      <c r="AG427" s="47" t="s">
        <v>931</v>
      </c>
      <c r="AH427" s="47" t="s">
        <v>1067</v>
      </c>
      <c r="AI427" s="47" t="s">
        <v>931</v>
      </c>
      <c r="AJ427" s="47" t="s">
        <v>365</v>
      </c>
      <c r="AK427" s="47" t="s">
        <v>930</v>
      </c>
      <c r="AL427" s="47" t="s">
        <v>931</v>
      </c>
      <c r="AM427" s="47" t="s">
        <v>931</v>
      </c>
      <c r="AN427" s="37"/>
    </row>
    <row r="428" spans="1:40" hidden="1">
      <c r="A428" s="47" t="s">
        <v>982</v>
      </c>
      <c r="B428" s="47" t="s">
        <v>919</v>
      </c>
      <c r="C428" s="47" t="s">
        <v>3552</v>
      </c>
      <c r="D428" s="47">
        <f t="shared" si="13"/>
        <v>161379</v>
      </c>
      <c r="E428" s="47" t="s">
        <v>663</v>
      </c>
      <c r="F428" s="47" t="s">
        <v>664</v>
      </c>
      <c r="G428" s="47" t="s">
        <v>430</v>
      </c>
      <c r="H428" s="47" t="s">
        <v>969</v>
      </c>
      <c r="I428" s="47" t="s">
        <v>3384</v>
      </c>
      <c r="J428" s="47" t="s">
        <v>1354</v>
      </c>
      <c r="K428" s="47" t="s">
        <v>163</v>
      </c>
      <c r="L428" s="47" t="s">
        <v>3553</v>
      </c>
      <c r="M428" s="47" t="s">
        <v>2753</v>
      </c>
      <c r="N428" s="47" t="s">
        <v>946</v>
      </c>
      <c r="O428" s="47" t="s">
        <v>930</v>
      </c>
      <c r="P428" s="47" t="s">
        <v>930</v>
      </c>
      <c r="Q428" s="47"/>
      <c r="R428" s="47"/>
      <c r="S428" s="47"/>
      <c r="T428" s="47" t="s">
        <v>3554</v>
      </c>
      <c r="U428" s="47" t="s">
        <v>3555</v>
      </c>
      <c r="V428" s="47" t="s">
        <v>597</v>
      </c>
      <c r="W428" s="47" t="s">
        <v>931</v>
      </c>
      <c r="X428" s="47" t="s">
        <v>932</v>
      </c>
      <c r="Y428" s="47" t="s">
        <v>430</v>
      </c>
      <c r="Z428" s="47" t="s">
        <v>2854</v>
      </c>
      <c r="AA428" s="47" t="s">
        <v>2855</v>
      </c>
      <c r="AB428" s="47" t="s">
        <v>931</v>
      </c>
      <c r="AC428" s="47" t="s">
        <v>2882</v>
      </c>
      <c r="AD428" s="47" t="s">
        <v>3389</v>
      </c>
      <c r="AE428" s="47" t="s">
        <v>937</v>
      </c>
      <c r="AF428" s="47" t="s">
        <v>931</v>
      </c>
      <c r="AG428" s="47" t="s">
        <v>3556</v>
      </c>
      <c r="AH428" s="47" t="s">
        <v>1067</v>
      </c>
      <c r="AI428" s="47" t="s">
        <v>931</v>
      </c>
      <c r="AJ428" s="47" t="s">
        <v>365</v>
      </c>
      <c r="AK428" s="47" t="s">
        <v>930</v>
      </c>
      <c r="AL428" s="47" t="s">
        <v>931</v>
      </c>
      <c r="AM428" s="47" t="s">
        <v>931</v>
      </c>
      <c r="AN428" s="37"/>
    </row>
    <row r="429" spans="1:40" hidden="1">
      <c r="A429" s="47" t="s">
        <v>982</v>
      </c>
      <c r="B429" s="47" t="s">
        <v>919</v>
      </c>
      <c r="C429" s="47" t="s">
        <v>3557</v>
      </c>
      <c r="D429" s="47">
        <f t="shared" si="13"/>
        <v>162285</v>
      </c>
      <c r="E429" s="47" t="s">
        <v>632</v>
      </c>
      <c r="F429" s="47" t="s">
        <v>633</v>
      </c>
      <c r="G429" s="47" t="s">
        <v>398</v>
      </c>
      <c r="H429" s="47" t="s">
        <v>1287</v>
      </c>
      <c r="I429" s="47" t="s">
        <v>3453</v>
      </c>
      <c r="J429" s="47" t="s">
        <v>1024</v>
      </c>
      <c r="K429" s="47" t="s">
        <v>163</v>
      </c>
      <c r="L429" s="47" t="s">
        <v>1236</v>
      </c>
      <c r="M429" s="47" t="s">
        <v>1004</v>
      </c>
      <c r="N429" s="47" t="s">
        <v>946</v>
      </c>
      <c r="O429" s="47" t="s">
        <v>930</v>
      </c>
      <c r="P429" s="47" t="s">
        <v>930</v>
      </c>
      <c r="Q429" s="47"/>
      <c r="R429" s="47"/>
      <c r="S429" s="47"/>
      <c r="T429" s="47" t="s">
        <v>3558</v>
      </c>
      <c r="U429" s="47" t="s">
        <v>3559</v>
      </c>
      <c r="V429" s="47" t="s">
        <v>498</v>
      </c>
      <c r="W429" s="47" t="s">
        <v>931</v>
      </c>
      <c r="X429" s="47" t="s">
        <v>932</v>
      </c>
      <c r="Y429" s="47" t="s">
        <v>398</v>
      </c>
      <c r="Z429" s="47" t="s">
        <v>1039</v>
      </c>
      <c r="AA429" s="47" t="s">
        <v>1040</v>
      </c>
      <c r="AB429" s="47" t="s">
        <v>931</v>
      </c>
      <c r="AC429" s="47" t="s">
        <v>2882</v>
      </c>
      <c r="AD429" s="47" t="s">
        <v>3456</v>
      </c>
      <c r="AE429" s="47" t="s">
        <v>937</v>
      </c>
      <c r="AF429" s="47" t="s">
        <v>931</v>
      </c>
      <c r="AG429" s="47" t="s">
        <v>3560</v>
      </c>
      <c r="AH429" s="47" t="s">
        <v>1067</v>
      </c>
      <c r="AI429" s="47" t="s">
        <v>931</v>
      </c>
      <c r="AJ429" s="47" t="s">
        <v>365</v>
      </c>
      <c r="AK429" s="47" t="s">
        <v>930</v>
      </c>
      <c r="AL429" s="47" t="s">
        <v>931</v>
      </c>
      <c r="AM429" s="47" t="s">
        <v>931</v>
      </c>
      <c r="AN429" s="37"/>
    </row>
    <row r="430" spans="1:40" hidden="1">
      <c r="A430" s="47" t="s">
        <v>982</v>
      </c>
      <c r="B430" s="47" t="s">
        <v>919</v>
      </c>
      <c r="C430" s="47" t="s">
        <v>3561</v>
      </c>
      <c r="D430" s="47">
        <f t="shared" si="13"/>
        <v>161376</v>
      </c>
      <c r="E430" s="47" t="s">
        <v>654</v>
      </c>
      <c r="F430" s="47" t="s">
        <v>655</v>
      </c>
      <c r="G430" s="47" t="s">
        <v>865</v>
      </c>
      <c r="H430" s="47" t="s">
        <v>1053</v>
      </c>
      <c r="I430" s="47" t="s">
        <v>3562</v>
      </c>
      <c r="J430" s="47" t="s">
        <v>1354</v>
      </c>
      <c r="K430" s="47" t="s">
        <v>163</v>
      </c>
      <c r="L430" s="47" t="s">
        <v>1269</v>
      </c>
      <c r="M430" s="47" t="s">
        <v>1269</v>
      </c>
      <c r="N430" s="47" t="s">
        <v>1058</v>
      </c>
      <c r="O430" s="47" t="s">
        <v>930</v>
      </c>
      <c r="P430" s="47" t="s">
        <v>930</v>
      </c>
      <c r="Q430" s="47" t="str">
        <f>LEFT(T430,9)</f>
        <v xml:space="preserve"> Sáng T5:</v>
      </c>
      <c r="R430" s="47" t="s">
        <v>973</v>
      </c>
      <c r="S430" s="47" t="s">
        <v>1027</v>
      </c>
      <c r="T430" s="47" t="s">
        <v>3563</v>
      </c>
      <c r="U430" s="47" t="s">
        <v>3564</v>
      </c>
      <c r="V430" s="47" t="s">
        <v>631</v>
      </c>
      <c r="W430" s="47" t="s">
        <v>931</v>
      </c>
      <c r="X430" s="47" t="s">
        <v>995</v>
      </c>
      <c r="Y430" s="47" t="s">
        <v>865</v>
      </c>
      <c r="Z430" s="47" t="s">
        <v>3565</v>
      </c>
      <c r="AA430" s="47" t="s">
        <v>3566</v>
      </c>
      <c r="AB430" s="47" t="s">
        <v>1128</v>
      </c>
      <c r="AC430" s="47" t="s">
        <v>456</v>
      </c>
      <c r="AD430" s="47" t="s">
        <v>3567</v>
      </c>
      <c r="AE430" s="47" t="s">
        <v>937</v>
      </c>
      <c r="AF430" s="47" t="s">
        <v>3568</v>
      </c>
      <c r="AG430" s="47" t="s">
        <v>3569</v>
      </c>
      <c r="AH430" s="47" t="s">
        <v>998</v>
      </c>
      <c r="AI430" s="47" t="s">
        <v>931</v>
      </c>
      <c r="AJ430" s="47" t="s">
        <v>931</v>
      </c>
      <c r="AK430" s="47" t="s">
        <v>930</v>
      </c>
      <c r="AL430" s="47" t="s">
        <v>931</v>
      </c>
      <c r="AM430" s="47" t="s">
        <v>931</v>
      </c>
      <c r="AN430" s="37"/>
    </row>
    <row r="431" spans="1:40" hidden="1">
      <c r="A431" s="47" t="s">
        <v>982</v>
      </c>
      <c r="B431" s="47" t="s">
        <v>919</v>
      </c>
      <c r="C431" s="47" t="s">
        <v>3570</v>
      </c>
      <c r="D431" s="47">
        <f t="shared" si="13"/>
        <v>161393</v>
      </c>
      <c r="E431" s="47" t="s">
        <v>63</v>
      </c>
      <c r="F431" s="47" t="s">
        <v>473</v>
      </c>
      <c r="G431" s="47" t="s">
        <v>491</v>
      </c>
      <c r="H431" s="47" t="s">
        <v>1053</v>
      </c>
      <c r="I431" s="47" t="s">
        <v>3571</v>
      </c>
      <c r="J431" s="47" t="s">
        <v>1055</v>
      </c>
      <c r="K431" s="47" t="s">
        <v>163</v>
      </c>
      <c r="L431" s="47" t="s">
        <v>1056</v>
      </c>
      <c r="M431" s="47" t="s">
        <v>1056</v>
      </c>
      <c r="N431" s="47" t="s">
        <v>1058</v>
      </c>
      <c r="O431" s="47" t="s">
        <v>930</v>
      </c>
      <c r="P431" s="47" t="s">
        <v>930</v>
      </c>
      <c r="Q431" s="47" t="str">
        <f>LEFT(T431,9)</f>
        <v xml:space="preserve"> Chiều T3</v>
      </c>
      <c r="R431" s="47" t="s">
        <v>973</v>
      </c>
      <c r="S431" s="47" t="s">
        <v>1070</v>
      </c>
      <c r="T431" s="47" t="s">
        <v>3572</v>
      </c>
      <c r="U431" s="47" t="s">
        <v>3573</v>
      </c>
      <c r="V431" s="47" t="s">
        <v>26</v>
      </c>
      <c r="W431" s="47" t="s">
        <v>931</v>
      </c>
      <c r="X431" s="47" t="s">
        <v>932</v>
      </c>
      <c r="Y431" s="47" t="s">
        <v>491</v>
      </c>
      <c r="Z431" s="47" t="s">
        <v>1221</v>
      </c>
      <c r="AA431" s="47" t="s">
        <v>1222</v>
      </c>
      <c r="AB431" s="47" t="s">
        <v>931</v>
      </c>
      <c r="AC431" s="47" t="s">
        <v>438</v>
      </c>
      <c r="AD431" s="47" t="s">
        <v>3574</v>
      </c>
      <c r="AE431" s="47" t="s">
        <v>937</v>
      </c>
      <c r="AF431" s="47" t="s">
        <v>931</v>
      </c>
      <c r="AG431" s="47" t="s">
        <v>3575</v>
      </c>
      <c r="AH431" s="47" t="s">
        <v>364</v>
      </c>
      <c r="AI431" s="47" t="s">
        <v>931</v>
      </c>
      <c r="AJ431" s="47" t="s">
        <v>365</v>
      </c>
      <c r="AK431" s="47" t="s">
        <v>930</v>
      </c>
      <c r="AL431" s="47" t="s">
        <v>931</v>
      </c>
      <c r="AM431" s="47" t="s">
        <v>931</v>
      </c>
      <c r="AN431" s="37"/>
    </row>
    <row r="432" spans="1:40" hidden="1">
      <c r="A432" s="47" t="s">
        <v>982</v>
      </c>
      <c r="B432" s="47" t="s">
        <v>919</v>
      </c>
      <c r="C432" s="47" t="s">
        <v>3576</v>
      </c>
      <c r="D432" s="47">
        <f t="shared" si="13"/>
        <v>161377</v>
      </c>
      <c r="E432" s="47" t="s">
        <v>663</v>
      </c>
      <c r="F432" s="47" t="s">
        <v>664</v>
      </c>
      <c r="G432" s="47" t="s">
        <v>2882</v>
      </c>
      <c r="H432" s="47" t="s">
        <v>969</v>
      </c>
      <c r="I432" s="47" t="s">
        <v>3577</v>
      </c>
      <c r="J432" s="47" t="s">
        <v>1055</v>
      </c>
      <c r="K432" s="47" t="s">
        <v>163</v>
      </c>
      <c r="L432" s="47" t="s">
        <v>2753</v>
      </c>
      <c r="M432" s="47" t="s">
        <v>2753</v>
      </c>
      <c r="N432" s="47" t="s">
        <v>946</v>
      </c>
      <c r="O432" s="47" t="s">
        <v>930</v>
      </c>
      <c r="P432" s="47" t="s">
        <v>930</v>
      </c>
      <c r="Q432" s="47"/>
      <c r="R432" s="47"/>
      <c r="S432" s="47"/>
      <c r="T432" s="47" t="s">
        <v>3578</v>
      </c>
      <c r="U432" s="47" t="s">
        <v>3579</v>
      </c>
      <c r="V432" s="47" t="s">
        <v>465</v>
      </c>
      <c r="W432" s="47" t="s">
        <v>931</v>
      </c>
      <c r="X432" s="47" t="s">
        <v>932</v>
      </c>
      <c r="Y432" s="47" t="s">
        <v>2882</v>
      </c>
      <c r="Z432" s="47" t="s">
        <v>2883</v>
      </c>
      <c r="AA432" s="47" t="s">
        <v>2884</v>
      </c>
      <c r="AB432" s="47" t="s">
        <v>931</v>
      </c>
      <c r="AC432" s="47" t="s">
        <v>2882</v>
      </c>
      <c r="AD432" s="47" t="s">
        <v>3580</v>
      </c>
      <c r="AE432" s="47" t="s">
        <v>937</v>
      </c>
      <c r="AF432" s="47" t="s">
        <v>931</v>
      </c>
      <c r="AG432" s="47" t="s">
        <v>931</v>
      </c>
      <c r="AH432" s="47" t="s">
        <v>1067</v>
      </c>
      <c r="AI432" s="47" t="s">
        <v>931</v>
      </c>
      <c r="AJ432" s="47" t="s">
        <v>365</v>
      </c>
      <c r="AK432" s="47" t="s">
        <v>930</v>
      </c>
      <c r="AL432" s="47" t="s">
        <v>931</v>
      </c>
      <c r="AM432" s="47" t="s">
        <v>931</v>
      </c>
      <c r="AN432" s="37"/>
    </row>
    <row r="433" spans="1:40" hidden="1">
      <c r="A433" s="47" t="s">
        <v>982</v>
      </c>
      <c r="B433" s="47" t="s">
        <v>919</v>
      </c>
      <c r="C433" s="47" t="s">
        <v>3581</v>
      </c>
      <c r="D433" s="47">
        <f t="shared" si="13"/>
        <v>161385</v>
      </c>
      <c r="E433" s="47" t="s">
        <v>216</v>
      </c>
      <c r="F433" s="47" t="s">
        <v>217</v>
      </c>
      <c r="G433" s="47" t="s">
        <v>472</v>
      </c>
      <c r="H433" s="47" t="s">
        <v>924</v>
      </c>
      <c r="I433" s="47" t="s">
        <v>3582</v>
      </c>
      <c r="J433" s="47" t="s">
        <v>1354</v>
      </c>
      <c r="K433" s="47" t="s">
        <v>163</v>
      </c>
      <c r="L433" s="47" t="s">
        <v>3583</v>
      </c>
      <c r="M433" s="47" t="s">
        <v>2711</v>
      </c>
      <c r="N433" s="47" t="s">
        <v>946</v>
      </c>
      <c r="O433" s="47" t="s">
        <v>930</v>
      </c>
      <c r="P433" s="47" t="s">
        <v>930</v>
      </c>
      <c r="Q433" s="47"/>
      <c r="R433" s="47"/>
      <c r="S433" s="47"/>
      <c r="T433" s="47" t="s">
        <v>3584</v>
      </c>
      <c r="U433" s="47" t="s">
        <v>3585</v>
      </c>
      <c r="V433" s="47" t="s">
        <v>363</v>
      </c>
      <c r="W433" s="47" t="s">
        <v>931</v>
      </c>
      <c r="X433" s="47" t="s">
        <v>932</v>
      </c>
      <c r="Y433" s="47" t="s">
        <v>472</v>
      </c>
      <c r="Z433" s="47" t="s">
        <v>1018</v>
      </c>
      <c r="AA433" s="47" t="s">
        <v>1019</v>
      </c>
      <c r="AB433" s="47" t="s">
        <v>3586</v>
      </c>
      <c r="AC433" s="47" t="s">
        <v>438</v>
      </c>
      <c r="AD433" s="47" t="s">
        <v>3587</v>
      </c>
      <c r="AE433" s="47" t="s">
        <v>3479</v>
      </c>
      <c r="AF433" s="47" t="s">
        <v>931</v>
      </c>
      <c r="AG433" s="47" t="s">
        <v>3588</v>
      </c>
      <c r="AH433" s="47" t="s">
        <v>364</v>
      </c>
      <c r="AI433" s="47" t="s">
        <v>931</v>
      </c>
      <c r="AJ433" s="47" t="s">
        <v>365</v>
      </c>
      <c r="AK433" s="47" t="s">
        <v>930</v>
      </c>
      <c r="AL433" s="47" t="s">
        <v>931</v>
      </c>
      <c r="AM433" s="47" t="s">
        <v>931</v>
      </c>
      <c r="AN433" s="37"/>
    </row>
    <row r="434" spans="1:40" hidden="1">
      <c r="A434" s="47" t="s">
        <v>982</v>
      </c>
      <c r="B434" s="47" t="s">
        <v>919</v>
      </c>
      <c r="C434" s="47" t="s">
        <v>3589</v>
      </c>
      <c r="D434" s="47">
        <f t="shared" si="13"/>
        <v>161369</v>
      </c>
      <c r="E434" s="47" t="s">
        <v>654</v>
      </c>
      <c r="F434" s="47" t="s">
        <v>655</v>
      </c>
      <c r="G434" s="47" t="s">
        <v>865</v>
      </c>
      <c r="H434" s="47" t="s">
        <v>1053</v>
      </c>
      <c r="I434" s="47" t="s">
        <v>3590</v>
      </c>
      <c r="J434" s="47" t="s">
        <v>1354</v>
      </c>
      <c r="K434" s="47" t="s">
        <v>163</v>
      </c>
      <c r="L434" s="47" t="s">
        <v>1269</v>
      </c>
      <c r="M434" s="47" t="s">
        <v>1269</v>
      </c>
      <c r="N434" s="47" t="s">
        <v>1058</v>
      </c>
      <c r="O434" s="47" t="s">
        <v>930</v>
      </c>
      <c r="P434" s="47" t="s">
        <v>930</v>
      </c>
      <c r="Q434" s="47"/>
      <c r="R434" s="47"/>
      <c r="S434" s="47"/>
      <c r="T434" s="47" t="s">
        <v>3591</v>
      </c>
      <c r="U434" s="47" t="s">
        <v>3592</v>
      </c>
      <c r="V434" s="47" t="s">
        <v>3387</v>
      </c>
      <c r="W434" s="47" t="s">
        <v>931</v>
      </c>
      <c r="X434" s="47" t="s">
        <v>995</v>
      </c>
      <c r="Y434" s="47" t="s">
        <v>865</v>
      </c>
      <c r="Z434" s="47" t="s">
        <v>3565</v>
      </c>
      <c r="AA434" s="47" t="s">
        <v>3566</v>
      </c>
      <c r="AB434" s="47" t="s">
        <v>3593</v>
      </c>
      <c r="AC434" s="47" t="s">
        <v>456</v>
      </c>
      <c r="AD434" s="47" t="s">
        <v>3594</v>
      </c>
      <c r="AE434" s="47" t="s">
        <v>937</v>
      </c>
      <c r="AF434" s="47" t="s">
        <v>3595</v>
      </c>
      <c r="AG434" s="47" t="s">
        <v>3596</v>
      </c>
      <c r="AH434" s="47" t="s">
        <v>998</v>
      </c>
      <c r="AI434" s="47" t="s">
        <v>931</v>
      </c>
      <c r="AJ434" s="47" t="s">
        <v>931</v>
      </c>
      <c r="AK434" s="47" t="s">
        <v>930</v>
      </c>
      <c r="AL434" s="47" t="s">
        <v>931</v>
      </c>
      <c r="AM434" s="47" t="s">
        <v>931</v>
      </c>
      <c r="AN434" s="37"/>
    </row>
    <row r="435" spans="1:40" hidden="1">
      <c r="A435" s="47" t="s">
        <v>982</v>
      </c>
      <c r="B435" s="47" t="s">
        <v>919</v>
      </c>
      <c r="C435" s="47" t="s">
        <v>3597</v>
      </c>
      <c r="D435" s="47">
        <f t="shared" si="13"/>
        <v>161380</v>
      </c>
      <c r="E435" s="47" t="s">
        <v>68</v>
      </c>
      <c r="F435" s="47" t="s">
        <v>287</v>
      </c>
      <c r="G435" s="47" t="s">
        <v>464</v>
      </c>
      <c r="H435" s="47" t="s">
        <v>924</v>
      </c>
      <c r="I435" s="47" t="s">
        <v>3429</v>
      </c>
      <c r="J435" s="47" t="s">
        <v>1055</v>
      </c>
      <c r="K435" s="47" t="s">
        <v>163</v>
      </c>
      <c r="L435" s="47" t="s">
        <v>3287</v>
      </c>
      <c r="M435" s="47" t="s">
        <v>2711</v>
      </c>
      <c r="N435" s="47" t="s">
        <v>946</v>
      </c>
      <c r="O435" s="47" t="s">
        <v>930</v>
      </c>
      <c r="P435" s="47" t="s">
        <v>930</v>
      </c>
      <c r="Q435" s="47"/>
      <c r="R435" s="47"/>
      <c r="S435" s="47"/>
      <c r="T435" s="47" t="s">
        <v>3598</v>
      </c>
      <c r="U435" s="47" t="s">
        <v>3599</v>
      </c>
      <c r="V435" s="47" t="s">
        <v>465</v>
      </c>
      <c r="W435" s="47" t="s">
        <v>931</v>
      </c>
      <c r="X435" s="47" t="s">
        <v>995</v>
      </c>
      <c r="Y435" s="47" t="s">
        <v>464</v>
      </c>
      <c r="Z435" s="47" t="s">
        <v>3462</v>
      </c>
      <c r="AA435" s="47" t="s">
        <v>3463</v>
      </c>
      <c r="AB435" s="47" t="s">
        <v>931</v>
      </c>
      <c r="AC435" s="47" t="s">
        <v>464</v>
      </c>
      <c r="AD435" s="47" t="s">
        <v>3432</v>
      </c>
      <c r="AE435" s="47" t="s">
        <v>937</v>
      </c>
      <c r="AF435" s="47" t="s">
        <v>931</v>
      </c>
      <c r="AG435" s="47" t="s">
        <v>3600</v>
      </c>
      <c r="AH435" s="47" t="s">
        <v>364</v>
      </c>
      <c r="AI435" s="47" t="s">
        <v>931</v>
      </c>
      <c r="AJ435" s="47" t="s">
        <v>365</v>
      </c>
      <c r="AK435" s="47" t="s">
        <v>930</v>
      </c>
      <c r="AL435" s="47" t="s">
        <v>931</v>
      </c>
      <c r="AM435" s="47" t="s">
        <v>931</v>
      </c>
      <c r="AN435" s="37"/>
    </row>
    <row r="436" spans="1:40" hidden="1">
      <c r="A436" s="47" t="s">
        <v>982</v>
      </c>
      <c r="B436" s="47" t="s">
        <v>919</v>
      </c>
      <c r="C436" s="47" t="s">
        <v>3601</v>
      </c>
      <c r="D436" s="47">
        <f t="shared" si="13"/>
        <v>162287</v>
      </c>
      <c r="E436" s="47" t="s">
        <v>632</v>
      </c>
      <c r="F436" s="47" t="s">
        <v>633</v>
      </c>
      <c r="G436" s="47" t="s">
        <v>837</v>
      </c>
      <c r="H436" s="47" t="s">
        <v>1287</v>
      </c>
      <c r="I436" s="47" t="s">
        <v>3303</v>
      </c>
      <c r="J436" s="47" t="s">
        <v>1024</v>
      </c>
      <c r="K436" s="47" t="s">
        <v>163</v>
      </c>
      <c r="L436" s="47" t="s">
        <v>2913</v>
      </c>
      <c r="M436" s="47" t="s">
        <v>1004</v>
      </c>
      <c r="N436" s="47" t="s">
        <v>946</v>
      </c>
      <c r="O436" s="47" t="s">
        <v>930</v>
      </c>
      <c r="P436" s="47" t="s">
        <v>930</v>
      </c>
      <c r="Q436" s="47"/>
      <c r="R436" s="47"/>
      <c r="S436" s="47"/>
      <c r="T436" s="47" t="s">
        <v>3602</v>
      </c>
      <c r="U436" s="47" t="s">
        <v>3603</v>
      </c>
      <c r="V436" s="47" t="s">
        <v>586</v>
      </c>
      <c r="W436" s="47" t="s">
        <v>931</v>
      </c>
      <c r="X436" s="47" t="s">
        <v>932</v>
      </c>
      <c r="Y436" s="47" t="s">
        <v>837</v>
      </c>
      <c r="Z436" s="47" t="s">
        <v>3381</v>
      </c>
      <c r="AA436" s="47" t="s">
        <v>3382</v>
      </c>
      <c r="AB436" s="47" t="s">
        <v>931</v>
      </c>
      <c r="AC436" s="47" t="s">
        <v>2882</v>
      </c>
      <c r="AD436" s="47" t="s">
        <v>3307</v>
      </c>
      <c r="AE436" s="47" t="s">
        <v>937</v>
      </c>
      <c r="AF436" s="47" t="s">
        <v>931</v>
      </c>
      <c r="AG436" s="47" t="s">
        <v>931</v>
      </c>
      <c r="AH436" s="47" t="s">
        <v>1067</v>
      </c>
      <c r="AI436" s="47" t="s">
        <v>931</v>
      </c>
      <c r="AJ436" s="47" t="s">
        <v>365</v>
      </c>
      <c r="AK436" s="47" t="s">
        <v>930</v>
      </c>
      <c r="AL436" s="47" t="s">
        <v>931</v>
      </c>
      <c r="AM436" s="47" t="s">
        <v>931</v>
      </c>
      <c r="AN436" s="37"/>
    </row>
    <row r="437" spans="1:40" hidden="1">
      <c r="A437" s="47" t="s">
        <v>982</v>
      </c>
      <c r="B437" s="47" t="s">
        <v>919</v>
      </c>
      <c r="C437" s="47" t="s">
        <v>3604</v>
      </c>
      <c r="D437" s="47">
        <f t="shared" si="13"/>
        <v>161364</v>
      </c>
      <c r="E437" s="47" t="s">
        <v>642</v>
      </c>
      <c r="F437" s="47" t="s">
        <v>643</v>
      </c>
      <c r="G437" s="47" t="s">
        <v>3605</v>
      </c>
      <c r="H437" s="47" t="s">
        <v>3368</v>
      </c>
      <c r="I437" s="47" t="s">
        <v>3606</v>
      </c>
      <c r="J437" s="47" t="s">
        <v>1055</v>
      </c>
      <c r="K437" s="47" t="s">
        <v>163</v>
      </c>
      <c r="L437" s="47" t="s">
        <v>945</v>
      </c>
      <c r="M437" s="47" t="s">
        <v>1511</v>
      </c>
      <c r="N437" s="47" t="s">
        <v>1058</v>
      </c>
      <c r="O437" s="47" t="s">
        <v>930</v>
      </c>
      <c r="P437" s="47" t="s">
        <v>930</v>
      </c>
      <c r="Q437" s="47"/>
      <c r="R437" s="47"/>
      <c r="S437" s="47"/>
      <c r="T437" s="47" t="s">
        <v>3607</v>
      </c>
      <c r="U437" s="47" t="s">
        <v>3608</v>
      </c>
      <c r="V437" s="47" t="s">
        <v>651</v>
      </c>
      <c r="W437" s="47" t="s">
        <v>931</v>
      </c>
      <c r="X437" s="47" t="s">
        <v>1063</v>
      </c>
      <c r="Y437" s="47" t="s">
        <v>3605</v>
      </c>
      <c r="Z437" s="47" t="s">
        <v>3609</v>
      </c>
      <c r="AA437" s="47" t="s">
        <v>931</v>
      </c>
      <c r="AB437" s="47" t="s">
        <v>931</v>
      </c>
      <c r="AC437" s="47" t="s">
        <v>1052</v>
      </c>
      <c r="AD437" s="47" t="s">
        <v>3610</v>
      </c>
      <c r="AE437" s="47" t="s">
        <v>937</v>
      </c>
      <c r="AF437" s="47" t="s">
        <v>931</v>
      </c>
      <c r="AG437" s="47" t="s">
        <v>931</v>
      </c>
      <c r="AH437" s="47" t="s">
        <v>1067</v>
      </c>
      <c r="AI437" s="47" t="s">
        <v>931</v>
      </c>
      <c r="AJ437" s="47" t="s">
        <v>365</v>
      </c>
      <c r="AK437" s="47" t="s">
        <v>930</v>
      </c>
      <c r="AL437" s="47" t="s">
        <v>931</v>
      </c>
      <c r="AM437" s="47" t="s">
        <v>931</v>
      </c>
      <c r="AN437" s="37"/>
    </row>
    <row r="438" spans="1:40" hidden="1">
      <c r="A438" s="47" t="s">
        <v>982</v>
      </c>
      <c r="B438" s="47" t="s">
        <v>919</v>
      </c>
      <c r="C438" s="47" t="s">
        <v>3611</v>
      </c>
      <c r="D438" s="47">
        <f t="shared" si="13"/>
        <v>161386</v>
      </c>
      <c r="E438" s="47" t="s">
        <v>63</v>
      </c>
      <c r="F438" s="47" t="s">
        <v>473</v>
      </c>
      <c r="G438" s="47" t="s">
        <v>476</v>
      </c>
      <c r="H438" s="47" t="s">
        <v>1053</v>
      </c>
      <c r="I438" s="47" t="s">
        <v>3612</v>
      </c>
      <c r="J438" s="47" t="s">
        <v>1055</v>
      </c>
      <c r="K438" s="47" t="s">
        <v>163</v>
      </c>
      <c r="L438" s="47" t="s">
        <v>1056</v>
      </c>
      <c r="M438" s="47" t="s">
        <v>1056</v>
      </c>
      <c r="N438" s="47" t="s">
        <v>1058</v>
      </c>
      <c r="O438" s="47" t="s">
        <v>930</v>
      </c>
      <c r="P438" s="47" t="s">
        <v>930</v>
      </c>
      <c r="Q438" s="47" t="str">
        <f>LEFT(T438,9)</f>
        <v xml:space="preserve"> Sáng T4:</v>
      </c>
      <c r="R438" s="47" t="s">
        <v>973</v>
      </c>
      <c r="S438" s="47" t="s">
        <v>1059</v>
      </c>
      <c r="T438" s="47" t="s">
        <v>3613</v>
      </c>
      <c r="U438" s="47" t="s">
        <v>3614</v>
      </c>
      <c r="V438" s="47" t="s">
        <v>477</v>
      </c>
      <c r="W438" s="47" t="s">
        <v>931</v>
      </c>
      <c r="X438" s="47" t="s">
        <v>995</v>
      </c>
      <c r="Y438" s="47" t="s">
        <v>476</v>
      </c>
      <c r="Z438" s="47" t="s">
        <v>3496</v>
      </c>
      <c r="AA438" s="47" t="s">
        <v>3497</v>
      </c>
      <c r="AB438" s="47" t="s">
        <v>3615</v>
      </c>
      <c r="AC438" s="47" t="s">
        <v>438</v>
      </c>
      <c r="AD438" s="47" t="s">
        <v>3616</v>
      </c>
      <c r="AE438" s="47" t="s">
        <v>937</v>
      </c>
      <c r="AF438" s="47" t="s">
        <v>3617</v>
      </c>
      <c r="AG438" s="47" t="s">
        <v>3617</v>
      </c>
      <c r="AH438" s="47" t="s">
        <v>364</v>
      </c>
      <c r="AI438" s="47" t="s">
        <v>931</v>
      </c>
      <c r="AJ438" s="47" t="s">
        <v>365</v>
      </c>
      <c r="AK438" s="47" t="s">
        <v>930</v>
      </c>
      <c r="AL438" s="47" t="s">
        <v>931</v>
      </c>
      <c r="AM438" s="47" t="s">
        <v>931</v>
      </c>
      <c r="AN438" s="37"/>
    </row>
    <row r="439" spans="1:40" hidden="1">
      <c r="A439" s="47" t="s">
        <v>982</v>
      </c>
      <c r="B439" s="47" t="s">
        <v>919</v>
      </c>
      <c r="C439" s="47" t="s">
        <v>3618</v>
      </c>
      <c r="D439" s="47">
        <f t="shared" si="13"/>
        <v>161368</v>
      </c>
      <c r="E439" s="47" t="s">
        <v>457</v>
      </c>
      <c r="F439" s="47" t="s">
        <v>458</v>
      </c>
      <c r="G439" s="47" t="s">
        <v>463</v>
      </c>
      <c r="H439" s="47" t="s">
        <v>924</v>
      </c>
      <c r="I439" s="47" t="s">
        <v>3384</v>
      </c>
      <c r="J439" s="47" t="s">
        <v>1354</v>
      </c>
      <c r="K439" s="47" t="s">
        <v>163</v>
      </c>
      <c r="L439" s="47" t="s">
        <v>3619</v>
      </c>
      <c r="M439" s="47" t="s">
        <v>2711</v>
      </c>
      <c r="N439" s="47" t="s">
        <v>946</v>
      </c>
      <c r="O439" s="47" t="s">
        <v>930</v>
      </c>
      <c r="P439" s="47" t="s">
        <v>930</v>
      </c>
      <c r="Q439" s="47"/>
      <c r="R439" s="47"/>
      <c r="S439" s="47"/>
      <c r="T439" s="47" t="s">
        <v>3620</v>
      </c>
      <c r="U439" s="47" t="s">
        <v>3621</v>
      </c>
      <c r="V439" s="47" t="s">
        <v>363</v>
      </c>
      <c r="W439" s="47" t="s">
        <v>931</v>
      </c>
      <c r="X439" s="47" t="s">
        <v>995</v>
      </c>
      <c r="Y439" s="47" t="s">
        <v>463</v>
      </c>
      <c r="Z439" s="47" t="s">
        <v>3622</v>
      </c>
      <c r="AA439" s="47" t="s">
        <v>3623</v>
      </c>
      <c r="AB439" s="47" t="s">
        <v>931</v>
      </c>
      <c r="AC439" s="47" t="s">
        <v>456</v>
      </c>
      <c r="AD439" s="47" t="s">
        <v>3389</v>
      </c>
      <c r="AE439" s="47" t="s">
        <v>937</v>
      </c>
      <c r="AF439" s="47" t="s">
        <v>3624</v>
      </c>
      <c r="AG439" s="47" t="s">
        <v>3625</v>
      </c>
      <c r="AH439" s="47" t="s">
        <v>364</v>
      </c>
      <c r="AI439" s="47" t="s">
        <v>931</v>
      </c>
      <c r="AJ439" s="47" t="s">
        <v>365</v>
      </c>
      <c r="AK439" s="47" t="s">
        <v>930</v>
      </c>
      <c r="AL439" s="47" t="s">
        <v>931</v>
      </c>
      <c r="AM439" s="47" t="s">
        <v>931</v>
      </c>
      <c r="AN439" s="37"/>
    </row>
    <row r="440" spans="1:40" hidden="1">
      <c r="A440" s="47" t="s">
        <v>982</v>
      </c>
      <c r="B440" s="47" t="s">
        <v>919</v>
      </c>
      <c r="C440" s="47" t="s">
        <v>3626</v>
      </c>
      <c r="D440" s="47">
        <f t="shared" si="13"/>
        <v>162278</v>
      </c>
      <c r="E440" s="47" t="s">
        <v>254</v>
      </c>
      <c r="F440" s="47" t="s">
        <v>255</v>
      </c>
      <c r="G440" s="47" t="s">
        <v>3199</v>
      </c>
      <c r="H440" s="47" t="s">
        <v>969</v>
      </c>
      <c r="I440" s="47" t="s">
        <v>3627</v>
      </c>
      <c r="J440" s="47" t="s">
        <v>1024</v>
      </c>
      <c r="K440" s="47" t="s">
        <v>163</v>
      </c>
      <c r="L440" s="47" t="s">
        <v>3628</v>
      </c>
      <c r="M440" s="47" t="s">
        <v>3377</v>
      </c>
      <c r="N440" s="47" t="s">
        <v>946</v>
      </c>
      <c r="O440" s="47" t="s">
        <v>930</v>
      </c>
      <c r="P440" s="47" t="s">
        <v>930</v>
      </c>
      <c r="Q440" s="47"/>
      <c r="R440" s="47"/>
      <c r="S440" s="47"/>
      <c r="T440" s="47" t="s">
        <v>3629</v>
      </c>
      <c r="U440" s="47" t="s">
        <v>3630</v>
      </c>
      <c r="V440" s="47" t="s">
        <v>3380</v>
      </c>
      <c r="W440" s="47" t="s">
        <v>931</v>
      </c>
      <c r="X440" s="47" t="s">
        <v>932</v>
      </c>
      <c r="Y440" s="47" t="s">
        <v>3199</v>
      </c>
      <c r="Z440" s="47" t="s">
        <v>3205</v>
      </c>
      <c r="AA440" s="47" t="s">
        <v>3206</v>
      </c>
      <c r="AB440" s="47" t="s">
        <v>931</v>
      </c>
      <c r="AC440" s="47" t="s">
        <v>515</v>
      </c>
      <c r="AD440" s="47" t="s">
        <v>3505</v>
      </c>
      <c r="AE440" s="47" t="s">
        <v>3479</v>
      </c>
      <c r="AF440" s="47" t="s">
        <v>931</v>
      </c>
      <c r="AG440" s="47" t="s">
        <v>931</v>
      </c>
      <c r="AH440" s="47" t="s">
        <v>364</v>
      </c>
      <c r="AI440" s="47" t="s">
        <v>931</v>
      </c>
      <c r="AJ440" s="47" t="s">
        <v>365</v>
      </c>
      <c r="AK440" s="47" t="s">
        <v>930</v>
      </c>
      <c r="AL440" s="47" t="s">
        <v>931</v>
      </c>
      <c r="AM440" s="47" t="s">
        <v>931</v>
      </c>
      <c r="AN440" s="37"/>
    </row>
    <row r="441" spans="1:40" hidden="1">
      <c r="A441" s="47" t="s">
        <v>982</v>
      </c>
      <c r="B441" s="47" t="s">
        <v>919</v>
      </c>
      <c r="C441" s="47" t="s">
        <v>3631</v>
      </c>
      <c r="D441" s="47">
        <f t="shared" si="13"/>
        <v>161387</v>
      </c>
      <c r="E441" s="47" t="s">
        <v>63</v>
      </c>
      <c r="F441" s="47" t="s">
        <v>473</v>
      </c>
      <c r="G441" s="47" t="s">
        <v>398</v>
      </c>
      <c r="H441" s="47" t="s">
        <v>1053</v>
      </c>
      <c r="I441" s="47" t="s">
        <v>3277</v>
      </c>
      <c r="J441" s="47" t="s">
        <v>1055</v>
      </c>
      <c r="K441" s="47" t="s">
        <v>163</v>
      </c>
      <c r="L441" s="47" t="s">
        <v>1056</v>
      </c>
      <c r="M441" s="47" t="s">
        <v>1056</v>
      </c>
      <c r="N441" s="47" t="s">
        <v>1058</v>
      </c>
      <c r="O441" s="47" t="s">
        <v>930</v>
      </c>
      <c r="P441" s="47" t="s">
        <v>930</v>
      </c>
      <c r="Q441" s="47" t="str">
        <f>LEFT(T441,9)</f>
        <v xml:space="preserve"> Sáng T3:</v>
      </c>
      <c r="R441" s="47" t="s">
        <v>973</v>
      </c>
      <c r="S441" s="47" t="s">
        <v>1070</v>
      </c>
      <c r="T441" s="47" t="s">
        <v>3632</v>
      </c>
      <c r="U441" s="47" t="s">
        <v>3633</v>
      </c>
      <c r="V441" s="47" t="s">
        <v>477</v>
      </c>
      <c r="W441" s="47" t="s">
        <v>931</v>
      </c>
      <c r="X441" s="47" t="s">
        <v>932</v>
      </c>
      <c r="Y441" s="47" t="s">
        <v>398</v>
      </c>
      <c r="Z441" s="47" t="s">
        <v>1039</v>
      </c>
      <c r="AA441" s="47" t="s">
        <v>1040</v>
      </c>
      <c r="AB441" s="47" t="s">
        <v>931</v>
      </c>
      <c r="AC441" s="47" t="s">
        <v>438</v>
      </c>
      <c r="AD441" s="47" t="s">
        <v>3283</v>
      </c>
      <c r="AE441" s="47" t="s">
        <v>937</v>
      </c>
      <c r="AF441" s="47" t="s">
        <v>931</v>
      </c>
      <c r="AG441" s="47" t="s">
        <v>3634</v>
      </c>
      <c r="AH441" s="47" t="s">
        <v>364</v>
      </c>
      <c r="AI441" s="47" t="s">
        <v>931</v>
      </c>
      <c r="AJ441" s="47" t="s">
        <v>365</v>
      </c>
      <c r="AK441" s="47" t="s">
        <v>930</v>
      </c>
      <c r="AL441" s="47" t="s">
        <v>931</v>
      </c>
      <c r="AM441" s="47" t="s">
        <v>931</v>
      </c>
      <c r="AN441" s="37"/>
    </row>
    <row r="442" spans="1:40" hidden="1">
      <c r="A442" s="47" t="s">
        <v>982</v>
      </c>
      <c r="B442" s="47" t="s">
        <v>919</v>
      </c>
      <c r="C442" s="47" t="s">
        <v>3635</v>
      </c>
      <c r="D442" s="47">
        <f t="shared" si="13"/>
        <v>162279</v>
      </c>
      <c r="E442" s="47" t="s">
        <v>254</v>
      </c>
      <c r="F442" s="47" t="s">
        <v>255</v>
      </c>
      <c r="G442" s="47" t="s">
        <v>374</v>
      </c>
      <c r="H442" s="47" t="s">
        <v>969</v>
      </c>
      <c r="I442" s="47" t="s">
        <v>3627</v>
      </c>
      <c r="J442" s="47" t="s">
        <v>1024</v>
      </c>
      <c r="K442" s="47" t="s">
        <v>163</v>
      </c>
      <c r="L442" s="47" t="s">
        <v>3636</v>
      </c>
      <c r="M442" s="47" t="s">
        <v>3377</v>
      </c>
      <c r="N442" s="47" t="s">
        <v>946</v>
      </c>
      <c r="O442" s="47" t="s">
        <v>930</v>
      </c>
      <c r="P442" s="47" t="s">
        <v>930</v>
      </c>
      <c r="Q442" s="47"/>
      <c r="R442" s="47"/>
      <c r="S442" s="47"/>
      <c r="T442" s="47" t="s">
        <v>3637</v>
      </c>
      <c r="U442" s="47" t="s">
        <v>3638</v>
      </c>
      <c r="V442" s="47" t="s">
        <v>3380</v>
      </c>
      <c r="W442" s="47" t="s">
        <v>931</v>
      </c>
      <c r="X442" s="47" t="s">
        <v>995</v>
      </c>
      <c r="Y442" s="47" t="s">
        <v>374</v>
      </c>
      <c r="Z442" s="47" t="s">
        <v>3092</v>
      </c>
      <c r="AA442" s="47" t="s">
        <v>3093</v>
      </c>
      <c r="AB442" s="47" t="s">
        <v>931</v>
      </c>
      <c r="AC442" s="47" t="s">
        <v>515</v>
      </c>
      <c r="AD442" s="47" t="s">
        <v>3505</v>
      </c>
      <c r="AE442" s="47" t="s">
        <v>3479</v>
      </c>
      <c r="AF442" s="47" t="s">
        <v>931</v>
      </c>
      <c r="AG442" s="47" t="s">
        <v>931</v>
      </c>
      <c r="AH442" s="47" t="s">
        <v>364</v>
      </c>
      <c r="AI442" s="47" t="s">
        <v>931</v>
      </c>
      <c r="AJ442" s="47" t="s">
        <v>365</v>
      </c>
      <c r="AK442" s="47" t="s">
        <v>930</v>
      </c>
      <c r="AL442" s="47" t="s">
        <v>931</v>
      </c>
      <c r="AM442" s="47" t="s">
        <v>931</v>
      </c>
      <c r="AN442" s="37"/>
    </row>
    <row r="443" spans="1:40" hidden="1">
      <c r="A443" s="47" t="s">
        <v>982</v>
      </c>
      <c r="B443" s="47" t="s">
        <v>919</v>
      </c>
      <c r="C443" s="47" t="s">
        <v>3639</v>
      </c>
      <c r="D443" s="47">
        <f t="shared" si="13"/>
        <v>161395</v>
      </c>
      <c r="E443" s="47" t="s">
        <v>63</v>
      </c>
      <c r="F443" s="47" t="s">
        <v>473</v>
      </c>
      <c r="G443" s="47" t="s">
        <v>482</v>
      </c>
      <c r="H443" s="47" t="s">
        <v>1053</v>
      </c>
      <c r="I443" s="47" t="s">
        <v>3640</v>
      </c>
      <c r="J443" s="47" t="s">
        <v>1354</v>
      </c>
      <c r="K443" s="47" t="s">
        <v>163</v>
      </c>
      <c r="L443" s="47" t="s">
        <v>1056</v>
      </c>
      <c r="M443" s="47" t="s">
        <v>1056</v>
      </c>
      <c r="N443" s="47" t="s">
        <v>1058</v>
      </c>
      <c r="O443" s="47" t="s">
        <v>930</v>
      </c>
      <c r="P443" s="47" t="s">
        <v>930</v>
      </c>
      <c r="Q443" s="47" t="str">
        <f>LEFT(T443,9)</f>
        <v xml:space="preserve"> Chiều T6</v>
      </c>
      <c r="R443" s="47" t="s">
        <v>973</v>
      </c>
      <c r="S443" s="47" t="s">
        <v>1140</v>
      </c>
      <c r="T443" s="47" t="s">
        <v>3641</v>
      </c>
      <c r="U443" s="47" t="s">
        <v>3642</v>
      </c>
      <c r="V443" s="47" t="s">
        <v>25</v>
      </c>
      <c r="W443" s="47" t="s">
        <v>931</v>
      </c>
      <c r="X443" s="47" t="s">
        <v>932</v>
      </c>
      <c r="Y443" s="47" t="s">
        <v>482</v>
      </c>
      <c r="Z443" s="47" t="s">
        <v>2962</v>
      </c>
      <c r="AA443" s="47" t="s">
        <v>2963</v>
      </c>
      <c r="AB443" s="47" t="s">
        <v>3338</v>
      </c>
      <c r="AC443" s="47" t="s">
        <v>438</v>
      </c>
      <c r="AD443" s="47" t="s">
        <v>3643</v>
      </c>
      <c r="AE443" s="47" t="s">
        <v>937</v>
      </c>
      <c r="AF443" s="47" t="s">
        <v>931</v>
      </c>
      <c r="AG443" s="47" t="s">
        <v>3644</v>
      </c>
      <c r="AH443" s="47" t="s">
        <v>364</v>
      </c>
      <c r="AI443" s="47" t="s">
        <v>931</v>
      </c>
      <c r="AJ443" s="47" t="s">
        <v>365</v>
      </c>
      <c r="AK443" s="47" t="s">
        <v>930</v>
      </c>
      <c r="AL443" s="47" t="s">
        <v>931</v>
      </c>
      <c r="AM443" s="47" t="s">
        <v>931</v>
      </c>
      <c r="AN443" s="37"/>
    </row>
    <row r="444" spans="1:40" hidden="1">
      <c r="A444" s="47" t="s">
        <v>982</v>
      </c>
      <c r="B444" s="47" t="s">
        <v>919</v>
      </c>
      <c r="C444" s="47" t="s">
        <v>3645</v>
      </c>
      <c r="D444" s="47">
        <f t="shared" si="13"/>
        <v>161378</v>
      </c>
      <c r="E444" s="47" t="s">
        <v>663</v>
      </c>
      <c r="F444" s="47" t="s">
        <v>664</v>
      </c>
      <c r="G444" s="47" t="s">
        <v>491</v>
      </c>
      <c r="H444" s="47" t="s">
        <v>969</v>
      </c>
      <c r="I444" s="47" t="s">
        <v>3277</v>
      </c>
      <c r="J444" s="47" t="s">
        <v>1055</v>
      </c>
      <c r="K444" s="47" t="s">
        <v>163</v>
      </c>
      <c r="L444" s="47" t="s">
        <v>3646</v>
      </c>
      <c r="M444" s="47" t="s">
        <v>2753</v>
      </c>
      <c r="N444" s="47" t="s">
        <v>946</v>
      </c>
      <c r="O444" s="47" t="s">
        <v>930</v>
      </c>
      <c r="P444" s="47" t="s">
        <v>930</v>
      </c>
      <c r="Q444" s="47"/>
      <c r="R444" s="47"/>
      <c r="S444" s="47"/>
      <c r="T444" s="47" t="s">
        <v>3647</v>
      </c>
      <c r="U444" s="47" t="s">
        <v>3648</v>
      </c>
      <c r="V444" s="47" t="s">
        <v>425</v>
      </c>
      <c r="W444" s="47" t="s">
        <v>931</v>
      </c>
      <c r="X444" s="47" t="s">
        <v>932</v>
      </c>
      <c r="Y444" s="47" t="s">
        <v>491</v>
      </c>
      <c r="Z444" s="47" t="s">
        <v>1221</v>
      </c>
      <c r="AA444" s="47" t="s">
        <v>1222</v>
      </c>
      <c r="AB444" s="47" t="s">
        <v>3649</v>
      </c>
      <c r="AC444" s="47" t="s">
        <v>2882</v>
      </c>
      <c r="AD444" s="47" t="s">
        <v>3283</v>
      </c>
      <c r="AE444" s="47" t="s">
        <v>937</v>
      </c>
      <c r="AF444" s="47" t="s">
        <v>931</v>
      </c>
      <c r="AG444" s="47" t="s">
        <v>3650</v>
      </c>
      <c r="AH444" s="47" t="s">
        <v>1067</v>
      </c>
      <c r="AI444" s="47" t="s">
        <v>931</v>
      </c>
      <c r="AJ444" s="47" t="s">
        <v>365</v>
      </c>
      <c r="AK444" s="47" t="s">
        <v>930</v>
      </c>
      <c r="AL444" s="47" t="s">
        <v>931</v>
      </c>
      <c r="AM444" s="47" t="s">
        <v>931</v>
      </c>
      <c r="AN444" s="37"/>
    </row>
    <row r="445" spans="1:40" hidden="1">
      <c r="A445" s="47" t="s">
        <v>982</v>
      </c>
      <c r="B445" s="47" t="s">
        <v>919</v>
      </c>
      <c r="C445" s="47" t="s">
        <v>3651</v>
      </c>
      <c r="D445" s="47">
        <f t="shared" si="13"/>
        <v>161366</v>
      </c>
      <c r="E445" s="47" t="s">
        <v>457</v>
      </c>
      <c r="F445" s="47" t="s">
        <v>458</v>
      </c>
      <c r="G445" s="47" t="s">
        <v>441</v>
      </c>
      <c r="H445" s="47" t="s">
        <v>924</v>
      </c>
      <c r="I445" s="47" t="s">
        <v>3429</v>
      </c>
      <c r="J445" s="47" t="s">
        <v>1055</v>
      </c>
      <c r="K445" s="47" t="s">
        <v>163</v>
      </c>
      <c r="L445" s="47" t="s">
        <v>3278</v>
      </c>
      <c r="M445" s="47" t="s">
        <v>2711</v>
      </c>
      <c r="N445" s="47" t="s">
        <v>946</v>
      </c>
      <c r="O445" s="47" t="s">
        <v>930</v>
      </c>
      <c r="P445" s="47" t="s">
        <v>930</v>
      </c>
      <c r="Q445" s="47"/>
      <c r="R445" s="47"/>
      <c r="S445" s="47"/>
      <c r="T445" s="47" t="s">
        <v>3652</v>
      </c>
      <c r="U445" s="47" t="s">
        <v>3653</v>
      </c>
      <c r="V445" s="47" t="s">
        <v>363</v>
      </c>
      <c r="W445" s="47" t="s">
        <v>931</v>
      </c>
      <c r="X445" s="47" t="s">
        <v>995</v>
      </c>
      <c r="Y445" s="47" t="s">
        <v>441</v>
      </c>
      <c r="Z445" s="47" t="s">
        <v>3027</v>
      </c>
      <c r="AA445" s="47" t="s">
        <v>3028</v>
      </c>
      <c r="AB445" s="47" t="s">
        <v>931</v>
      </c>
      <c r="AC445" s="47" t="s">
        <v>456</v>
      </c>
      <c r="AD445" s="47" t="s">
        <v>3432</v>
      </c>
      <c r="AE445" s="47" t="s">
        <v>937</v>
      </c>
      <c r="AF445" s="47" t="s">
        <v>931</v>
      </c>
      <c r="AG445" s="47" t="s">
        <v>931</v>
      </c>
      <c r="AH445" s="47" t="s">
        <v>364</v>
      </c>
      <c r="AI445" s="47" t="s">
        <v>931</v>
      </c>
      <c r="AJ445" s="47" t="s">
        <v>365</v>
      </c>
      <c r="AK445" s="47" t="s">
        <v>930</v>
      </c>
      <c r="AL445" s="47" t="s">
        <v>931</v>
      </c>
      <c r="AM445" s="47" t="s">
        <v>931</v>
      </c>
      <c r="AN445" s="37"/>
    </row>
    <row r="446" spans="1:40" hidden="1">
      <c r="A446" s="47" t="s">
        <v>982</v>
      </c>
      <c r="B446" s="47" t="s">
        <v>919</v>
      </c>
      <c r="C446" s="47" t="s">
        <v>3654</v>
      </c>
      <c r="D446" s="47">
        <f t="shared" si="13"/>
        <v>162283</v>
      </c>
      <c r="E446" s="47" t="s">
        <v>309</v>
      </c>
      <c r="F446" s="47" t="s">
        <v>310</v>
      </c>
      <c r="G446" s="47" t="s">
        <v>456</v>
      </c>
      <c r="H446" s="47" t="s">
        <v>924</v>
      </c>
      <c r="I446" s="47" t="s">
        <v>3326</v>
      </c>
      <c r="J446" s="47" t="s">
        <v>1024</v>
      </c>
      <c r="K446" s="47" t="s">
        <v>163</v>
      </c>
      <c r="L446" s="47" t="s">
        <v>3475</v>
      </c>
      <c r="M446" s="47" t="s">
        <v>3328</v>
      </c>
      <c r="N446" s="47" t="s">
        <v>1058</v>
      </c>
      <c r="O446" s="47" t="s">
        <v>930</v>
      </c>
      <c r="P446" s="47" t="s">
        <v>930</v>
      </c>
      <c r="Q446" s="47"/>
      <c r="R446" s="47"/>
      <c r="S446" s="47"/>
      <c r="T446" s="47" t="s">
        <v>3655</v>
      </c>
      <c r="U446" s="47" t="s">
        <v>3656</v>
      </c>
      <c r="V446" s="47" t="s">
        <v>444</v>
      </c>
      <c r="W446" s="47" t="s">
        <v>931</v>
      </c>
      <c r="X446" s="47" t="s">
        <v>995</v>
      </c>
      <c r="Y446" s="47" t="s">
        <v>456</v>
      </c>
      <c r="Z446" s="47" t="s">
        <v>3331</v>
      </c>
      <c r="AA446" s="47" t="s">
        <v>3332</v>
      </c>
      <c r="AB446" s="47" t="s">
        <v>3333</v>
      </c>
      <c r="AC446" s="47" t="s">
        <v>441</v>
      </c>
      <c r="AD446" s="47" t="s">
        <v>3160</v>
      </c>
      <c r="AE446" s="47" t="s">
        <v>937</v>
      </c>
      <c r="AF446" s="47" t="s">
        <v>931</v>
      </c>
      <c r="AG446" s="47" t="s">
        <v>931</v>
      </c>
      <c r="AH446" s="47" t="s">
        <v>364</v>
      </c>
      <c r="AI446" s="47" t="s">
        <v>931</v>
      </c>
      <c r="AJ446" s="47" t="s">
        <v>365</v>
      </c>
      <c r="AK446" s="47" t="s">
        <v>930</v>
      </c>
      <c r="AL446" s="47" t="s">
        <v>931</v>
      </c>
      <c r="AM446" s="47" t="s">
        <v>931</v>
      </c>
      <c r="AN446" s="37"/>
    </row>
    <row r="447" spans="1:40" hidden="1">
      <c r="A447" s="47" t="s">
        <v>982</v>
      </c>
      <c r="B447" s="47" t="s">
        <v>919</v>
      </c>
      <c r="C447" s="47" t="s">
        <v>3657</v>
      </c>
      <c r="D447" s="47">
        <f t="shared" si="13"/>
        <v>162270</v>
      </c>
      <c r="E447" s="47" t="s">
        <v>1718</v>
      </c>
      <c r="F447" s="47" t="s">
        <v>1719</v>
      </c>
      <c r="G447" s="47" t="s">
        <v>3199</v>
      </c>
      <c r="H447" s="47" t="s">
        <v>1753</v>
      </c>
      <c r="I447" s="47" t="s">
        <v>3658</v>
      </c>
      <c r="J447" s="47" t="s">
        <v>1024</v>
      </c>
      <c r="K447" s="47" t="s">
        <v>163</v>
      </c>
      <c r="L447" s="47" t="s">
        <v>3394</v>
      </c>
      <c r="M447" s="47" t="s">
        <v>3394</v>
      </c>
      <c r="N447" s="47" t="s">
        <v>946</v>
      </c>
      <c r="O447" s="47" t="s">
        <v>930</v>
      </c>
      <c r="P447" s="47" t="s">
        <v>930</v>
      </c>
      <c r="Q447" s="47"/>
      <c r="R447" s="47"/>
      <c r="S447" s="47"/>
      <c r="T447" s="47" t="s">
        <v>3659</v>
      </c>
      <c r="U447" s="47" t="s">
        <v>3660</v>
      </c>
      <c r="V447" s="47" t="s">
        <v>3314</v>
      </c>
      <c r="W447" s="47" t="s">
        <v>931</v>
      </c>
      <c r="X447" s="47" t="s">
        <v>932</v>
      </c>
      <c r="Y447" s="47" t="s">
        <v>3199</v>
      </c>
      <c r="Z447" s="47" t="s">
        <v>3205</v>
      </c>
      <c r="AA447" s="47" t="s">
        <v>3206</v>
      </c>
      <c r="AB447" s="47" t="s">
        <v>931</v>
      </c>
      <c r="AC447" s="47" t="s">
        <v>451</v>
      </c>
      <c r="AD447" s="47" t="s">
        <v>3661</v>
      </c>
      <c r="AE447" s="47" t="s">
        <v>937</v>
      </c>
      <c r="AF447" s="47" t="s">
        <v>931</v>
      </c>
      <c r="AG447" s="47" t="s">
        <v>931</v>
      </c>
      <c r="AH447" s="47" t="s">
        <v>1067</v>
      </c>
      <c r="AI447" s="47" t="s">
        <v>931</v>
      </c>
      <c r="AJ447" s="47" t="s">
        <v>365</v>
      </c>
      <c r="AK447" s="47" t="s">
        <v>930</v>
      </c>
      <c r="AL447" s="47" t="s">
        <v>931</v>
      </c>
      <c r="AM447" s="47" t="s">
        <v>931</v>
      </c>
      <c r="AN447" s="37"/>
    </row>
    <row r="448" spans="1:40" hidden="1">
      <c r="A448" s="47" t="s">
        <v>982</v>
      </c>
      <c r="B448" s="47" t="s">
        <v>919</v>
      </c>
      <c r="C448" s="47" t="s">
        <v>3662</v>
      </c>
      <c r="D448" s="47">
        <f t="shared" si="13"/>
        <v>161434</v>
      </c>
      <c r="E448" s="47" t="s">
        <v>690</v>
      </c>
      <c r="F448" s="47" t="s">
        <v>691</v>
      </c>
      <c r="G448" s="47" t="s">
        <v>3663</v>
      </c>
      <c r="H448" s="47" t="s">
        <v>3664</v>
      </c>
      <c r="I448" s="47" t="s">
        <v>3665</v>
      </c>
      <c r="J448" s="47" t="s">
        <v>1055</v>
      </c>
      <c r="K448" s="47" t="s">
        <v>163</v>
      </c>
      <c r="L448" s="47" t="s">
        <v>1258</v>
      </c>
      <c r="M448" s="47" t="s">
        <v>1511</v>
      </c>
      <c r="N448" s="47" t="s">
        <v>1058</v>
      </c>
      <c r="O448" s="47" t="s">
        <v>930</v>
      </c>
      <c r="P448" s="47" t="s">
        <v>930</v>
      </c>
      <c r="Q448" s="47"/>
      <c r="R448" s="47"/>
      <c r="S448" s="47"/>
      <c r="T448" s="47" t="s">
        <v>3666</v>
      </c>
      <c r="U448" s="47" t="s">
        <v>3667</v>
      </c>
      <c r="V448" s="47" t="s">
        <v>697</v>
      </c>
      <c r="W448" s="47" t="s">
        <v>931</v>
      </c>
      <c r="X448" s="47" t="s">
        <v>1063</v>
      </c>
      <c r="Y448" s="47" t="s">
        <v>3663</v>
      </c>
      <c r="Z448" s="47" t="s">
        <v>3668</v>
      </c>
      <c r="AA448" s="47" t="s">
        <v>931</v>
      </c>
      <c r="AB448" s="47" t="s">
        <v>931</v>
      </c>
      <c r="AC448" s="47" t="s">
        <v>1052</v>
      </c>
      <c r="AD448" s="47" t="s">
        <v>3669</v>
      </c>
      <c r="AE448" s="47" t="s">
        <v>3479</v>
      </c>
      <c r="AF448" s="47" t="s">
        <v>931</v>
      </c>
      <c r="AG448" s="47" t="s">
        <v>931</v>
      </c>
      <c r="AH448" s="47" t="s">
        <v>1067</v>
      </c>
      <c r="AI448" s="47" t="s">
        <v>931</v>
      </c>
      <c r="AJ448" s="47" t="s">
        <v>365</v>
      </c>
      <c r="AK448" s="47" t="s">
        <v>930</v>
      </c>
      <c r="AL448" s="47" t="s">
        <v>931</v>
      </c>
      <c r="AM448" s="47" t="s">
        <v>931</v>
      </c>
      <c r="AN448" s="37"/>
    </row>
    <row r="449" spans="1:40" hidden="1">
      <c r="A449" s="47" t="s">
        <v>982</v>
      </c>
      <c r="B449" s="47" t="s">
        <v>919</v>
      </c>
      <c r="C449" s="47" t="s">
        <v>3670</v>
      </c>
      <c r="D449" s="47">
        <f t="shared" si="13"/>
        <v>161432</v>
      </c>
      <c r="E449" s="47" t="s">
        <v>690</v>
      </c>
      <c r="F449" s="47" t="s">
        <v>691</v>
      </c>
      <c r="G449" s="47" t="s">
        <v>3671</v>
      </c>
      <c r="H449" s="47" t="s">
        <v>3664</v>
      </c>
      <c r="I449" s="47" t="s">
        <v>3672</v>
      </c>
      <c r="J449" s="47" t="s">
        <v>1055</v>
      </c>
      <c r="K449" s="47" t="s">
        <v>163</v>
      </c>
      <c r="L449" s="47" t="s">
        <v>1676</v>
      </c>
      <c r="M449" s="47" t="s">
        <v>1511</v>
      </c>
      <c r="N449" s="47" t="s">
        <v>1058</v>
      </c>
      <c r="O449" s="47" t="s">
        <v>930</v>
      </c>
      <c r="P449" s="47" t="s">
        <v>930</v>
      </c>
      <c r="Q449" s="47"/>
      <c r="R449" s="47"/>
      <c r="S449" s="47"/>
      <c r="T449" s="47" t="s">
        <v>3673</v>
      </c>
      <c r="U449" s="47" t="s">
        <v>3667</v>
      </c>
      <c r="V449" s="47" t="s">
        <v>693</v>
      </c>
      <c r="W449" s="47" t="s">
        <v>931</v>
      </c>
      <c r="X449" s="47" t="s">
        <v>1063</v>
      </c>
      <c r="Y449" s="47" t="s">
        <v>3671</v>
      </c>
      <c r="Z449" s="47" t="s">
        <v>3674</v>
      </c>
      <c r="AA449" s="47" t="s">
        <v>931</v>
      </c>
      <c r="AB449" s="47" t="s">
        <v>931</v>
      </c>
      <c r="AC449" s="47" t="s">
        <v>1052</v>
      </c>
      <c r="AD449" s="47" t="s">
        <v>3675</v>
      </c>
      <c r="AE449" s="47" t="s">
        <v>3479</v>
      </c>
      <c r="AF449" s="47" t="s">
        <v>931</v>
      </c>
      <c r="AG449" s="47" t="s">
        <v>931</v>
      </c>
      <c r="AH449" s="47" t="s">
        <v>1067</v>
      </c>
      <c r="AI449" s="47" t="s">
        <v>931</v>
      </c>
      <c r="AJ449" s="47" t="s">
        <v>365</v>
      </c>
      <c r="AK449" s="47" t="s">
        <v>930</v>
      </c>
      <c r="AL449" s="47" t="s">
        <v>931</v>
      </c>
      <c r="AM449" s="47" t="s">
        <v>931</v>
      </c>
      <c r="AN449" s="37"/>
    </row>
    <row r="450" spans="1:40" hidden="1">
      <c r="A450" s="47" t="s">
        <v>982</v>
      </c>
      <c r="B450" s="47" t="s">
        <v>919</v>
      </c>
      <c r="C450" s="47" t="s">
        <v>3676</v>
      </c>
      <c r="D450" s="47">
        <f t="shared" si="13"/>
        <v>161433</v>
      </c>
      <c r="E450" s="47" t="s">
        <v>690</v>
      </c>
      <c r="F450" s="47" t="s">
        <v>691</v>
      </c>
      <c r="G450" s="47" t="s">
        <v>3677</v>
      </c>
      <c r="H450" s="47" t="s">
        <v>3664</v>
      </c>
      <c r="I450" s="47" t="s">
        <v>3678</v>
      </c>
      <c r="J450" s="47" t="s">
        <v>1055</v>
      </c>
      <c r="K450" s="47" t="s">
        <v>163</v>
      </c>
      <c r="L450" s="47" t="s">
        <v>1371</v>
      </c>
      <c r="M450" s="47" t="s">
        <v>1511</v>
      </c>
      <c r="N450" s="47" t="s">
        <v>1058</v>
      </c>
      <c r="O450" s="47" t="s">
        <v>930</v>
      </c>
      <c r="P450" s="47" t="s">
        <v>930</v>
      </c>
      <c r="Q450" s="47"/>
      <c r="R450" s="47"/>
      <c r="S450" s="47"/>
      <c r="T450" s="47" t="s">
        <v>3679</v>
      </c>
      <c r="U450" s="47" t="s">
        <v>3667</v>
      </c>
      <c r="V450" s="47" t="s">
        <v>695</v>
      </c>
      <c r="W450" s="47" t="s">
        <v>931</v>
      </c>
      <c r="X450" s="47" t="s">
        <v>1063</v>
      </c>
      <c r="Y450" s="47" t="s">
        <v>3677</v>
      </c>
      <c r="Z450" s="47" t="s">
        <v>3680</v>
      </c>
      <c r="AA450" s="47" t="s">
        <v>931</v>
      </c>
      <c r="AB450" s="47" t="s">
        <v>931</v>
      </c>
      <c r="AC450" s="47" t="s">
        <v>1052</v>
      </c>
      <c r="AD450" s="47" t="s">
        <v>3681</v>
      </c>
      <c r="AE450" s="47" t="s">
        <v>3479</v>
      </c>
      <c r="AF450" s="47" t="s">
        <v>931</v>
      </c>
      <c r="AG450" s="47" t="s">
        <v>931</v>
      </c>
      <c r="AH450" s="47" t="s">
        <v>1067</v>
      </c>
      <c r="AI450" s="47" t="s">
        <v>931</v>
      </c>
      <c r="AJ450" s="47" t="s">
        <v>365</v>
      </c>
      <c r="AK450" s="47" t="s">
        <v>930</v>
      </c>
      <c r="AL450" s="47" t="s">
        <v>931</v>
      </c>
      <c r="AM450" s="47" t="s">
        <v>931</v>
      </c>
      <c r="AN450" s="37"/>
    </row>
    <row r="451" spans="1:40" hidden="1">
      <c r="A451" s="47" t="s">
        <v>982</v>
      </c>
      <c r="B451" s="47" t="s">
        <v>919</v>
      </c>
      <c r="C451" s="47" t="s">
        <v>3682</v>
      </c>
      <c r="D451" s="47">
        <f t="shared" ref="D451:D514" si="14">VALUE(C451)</f>
        <v>162268</v>
      </c>
      <c r="E451" s="47" t="s">
        <v>272</v>
      </c>
      <c r="F451" s="47" t="s">
        <v>273</v>
      </c>
      <c r="G451" s="47" t="s">
        <v>923</v>
      </c>
      <c r="H451" s="47" t="s">
        <v>969</v>
      </c>
      <c r="I451" s="47" t="s">
        <v>3658</v>
      </c>
      <c r="J451" s="47" t="s">
        <v>1024</v>
      </c>
      <c r="K451" s="47" t="s">
        <v>163</v>
      </c>
      <c r="L451" s="47" t="s">
        <v>3683</v>
      </c>
      <c r="M451" s="47" t="s">
        <v>3311</v>
      </c>
      <c r="N451" s="47" t="s">
        <v>946</v>
      </c>
      <c r="O451" s="47" t="s">
        <v>930</v>
      </c>
      <c r="P451" s="47" t="s">
        <v>930</v>
      </c>
      <c r="Q451" s="47"/>
      <c r="R451" s="47"/>
      <c r="S451" s="47"/>
      <c r="T451" s="47" t="s">
        <v>3684</v>
      </c>
      <c r="U451" s="47" t="s">
        <v>3685</v>
      </c>
      <c r="V451" s="47" t="s">
        <v>3314</v>
      </c>
      <c r="W451" s="47" t="s">
        <v>931</v>
      </c>
      <c r="X451" s="47" t="s">
        <v>932</v>
      </c>
      <c r="Y451" s="47" t="s">
        <v>923</v>
      </c>
      <c r="Z451" s="47" t="s">
        <v>933</v>
      </c>
      <c r="AA451" s="47" t="s">
        <v>934</v>
      </c>
      <c r="AB451" s="47" t="s">
        <v>3686</v>
      </c>
      <c r="AC451" s="47" t="s">
        <v>373</v>
      </c>
      <c r="AD451" s="47" t="s">
        <v>3661</v>
      </c>
      <c r="AE451" s="47" t="s">
        <v>937</v>
      </c>
      <c r="AF451" s="47" t="s">
        <v>3687</v>
      </c>
      <c r="AG451" s="47" t="s">
        <v>3688</v>
      </c>
      <c r="AH451" s="47" t="s">
        <v>364</v>
      </c>
      <c r="AI451" s="47" t="s">
        <v>931</v>
      </c>
      <c r="AJ451" s="47" t="s">
        <v>365</v>
      </c>
      <c r="AK451" s="47" t="s">
        <v>930</v>
      </c>
      <c r="AL451" s="47" t="s">
        <v>931</v>
      </c>
      <c r="AM451" s="47" t="s">
        <v>931</v>
      </c>
      <c r="AN451" s="37"/>
    </row>
    <row r="452" spans="1:40" hidden="1">
      <c r="A452" s="47" t="s">
        <v>982</v>
      </c>
      <c r="B452" s="47" t="s">
        <v>919</v>
      </c>
      <c r="C452" s="47" t="s">
        <v>3689</v>
      </c>
      <c r="D452" s="47">
        <f t="shared" si="14"/>
        <v>161430</v>
      </c>
      <c r="E452" s="47" t="s">
        <v>690</v>
      </c>
      <c r="F452" s="47" t="s">
        <v>691</v>
      </c>
      <c r="G452" s="47" t="s">
        <v>3690</v>
      </c>
      <c r="H452" s="47" t="s">
        <v>3664</v>
      </c>
      <c r="I452" s="47" t="s">
        <v>3691</v>
      </c>
      <c r="J452" s="47" t="s">
        <v>1055</v>
      </c>
      <c r="K452" s="47" t="s">
        <v>163</v>
      </c>
      <c r="L452" s="47" t="s">
        <v>1371</v>
      </c>
      <c r="M452" s="47" t="s">
        <v>1511</v>
      </c>
      <c r="N452" s="47" t="s">
        <v>1058</v>
      </c>
      <c r="O452" s="47" t="s">
        <v>930</v>
      </c>
      <c r="P452" s="47" t="s">
        <v>930</v>
      </c>
      <c r="Q452" s="47"/>
      <c r="R452" s="47"/>
      <c r="S452" s="47"/>
      <c r="T452" s="47" t="s">
        <v>3692</v>
      </c>
      <c r="U452" s="47" t="s">
        <v>3693</v>
      </c>
      <c r="V452" s="47" t="s">
        <v>699</v>
      </c>
      <c r="W452" s="47" t="s">
        <v>931</v>
      </c>
      <c r="X452" s="47" t="s">
        <v>1063</v>
      </c>
      <c r="Y452" s="47" t="s">
        <v>3690</v>
      </c>
      <c r="Z452" s="47" t="s">
        <v>3694</v>
      </c>
      <c r="AA452" s="47" t="s">
        <v>931</v>
      </c>
      <c r="AB452" s="47" t="s">
        <v>931</v>
      </c>
      <c r="AC452" s="47" t="s">
        <v>1052</v>
      </c>
      <c r="AD452" s="47" t="s">
        <v>3695</v>
      </c>
      <c r="AE452" s="47" t="s">
        <v>3479</v>
      </c>
      <c r="AF452" s="47" t="s">
        <v>931</v>
      </c>
      <c r="AG452" s="47" t="s">
        <v>931</v>
      </c>
      <c r="AH452" s="47" t="s">
        <v>1067</v>
      </c>
      <c r="AI452" s="47" t="s">
        <v>931</v>
      </c>
      <c r="AJ452" s="47" t="s">
        <v>365</v>
      </c>
      <c r="AK452" s="47" t="s">
        <v>930</v>
      </c>
      <c r="AL452" s="47" t="s">
        <v>931</v>
      </c>
      <c r="AM452" s="47" t="s">
        <v>931</v>
      </c>
      <c r="AN452" s="37"/>
    </row>
    <row r="453" spans="1:40" hidden="1">
      <c r="A453" s="47" t="s">
        <v>982</v>
      </c>
      <c r="B453" s="47" t="s">
        <v>919</v>
      </c>
      <c r="C453" s="47" t="s">
        <v>3696</v>
      </c>
      <c r="D453" s="47">
        <f t="shared" si="14"/>
        <v>161419</v>
      </c>
      <c r="E453" s="47" t="s">
        <v>505</v>
      </c>
      <c r="F453" s="47" t="s">
        <v>506</v>
      </c>
      <c r="G453" s="47" t="s">
        <v>368</v>
      </c>
      <c r="H453" s="47" t="s">
        <v>1053</v>
      </c>
      <c r="I453" s="47" t="s">
        <v>3697</v>
      </c>
      <c r="J453" s="47" t="s">
        <v>944</v>
      </c>
      <c r="K453" s="47" t="s">
        <v>163</v>
      </c>
      <c r="L453" s="47" t="s">
        <v>1056</v>
      </c>
      <c r="M453" s="47" t="s">
        <v>1056</v>
      </c>
      <c r="N453" s="47" t="s">
        <v>1058</v>
      </c>
      <c r="O453" s="47" t="s">
        <v>930</v>
      </c>
      <c r="P453" s="47" t="s">
        <v>930</v>
      </c>
      <c r="Q453" s="47" t="str">
        <f>LEFT(T453,9)</f>
        <v xml:space="preserve"> Sáng T6:</v>
      </c>
      <c r="R453" s="47" t="s">
        <v>973</v>
      </c>
      <c r="S453" s="47" t="s">
        <v>1140</v>
      </c>
      <c r="T453" s="47" t="s">
        <v>3698</v>
      </c>
      <c r="U453" s="47" t="s">
        <v>3699</v>
      </c>
      <c r="V453" s="47" t="s">
        <v>26</v>
      </c>
      <c r="W453" s="47" t="s">
        <v>931</v>
      </c>
      <c r="X453" s="47" t="s">
        <v>995</v>
      </c>
      <c r="Y453" s="47" t="s">
        <v>368</v>
      </c>
      <c r="Z453" s="47" t="s">
        <v>2243</v>
      </c>
      <c r="AA453" s="47" t="s">
        <v>2244</v>
      </c>
      <c r="AB453" s="47" t="s">
        <v>3615</v>
      </c>
      <c r="AC453" s="47" t="s">
        <v>504</v>
      </c>
      <c r="AD453" s="47" t="s">
        <v>3700</v>
      </c>
      <c r="AE453" s="47" t="s">
        <v>937</v>
      </c>
      <c r="AF453" s="47" t="s">
        <v>931</v>
      </c>
      <c r="AG453" s="47" t="s">
        <v>3701</v>
      </c>
      <c r="AH453" s="47" t="s">
        <v>364</v>
      </c>
      <c r="AI453" s="47" t="s">
        <v>931</v>
      </c>
      <c r="AJ453" s="47" t="s">
        <v>365</v>
      </c>
      <c r="AK453" s="47" t="s">
        <v>930</v>
      </c>
      <c r="AL453" s="47" t="s">
        <v>931</v>
      </c>
      <c r="AM453" s="47" t="s">
        <v>931</v>
      </c>
      <c r="AN453" s="37"/>
    </row>
    <row r="454" spans="1:40" hidden="1">
      <c r="A454" s="47" t="s">
        <v>982</v>
      </c>
      <c r="B454" s="47" t="s">
        <v>919</v>
      </c>
      <c r="C454" s="47" t="s">
        <v>3702</v>
      </c>
      <c r="D454" s="47">
        <f t="shared" si="14"/>
        <v>161435</v>
      </c>
      <c r="E454" s="47" t="s">
        <v>690</v>
      </c>
      <c r="F454" s="47" t="s">
        <v>691</v>
      </c>
      <c r="G454" s="47" t="s">
        <v>3690</v>
      </c>
      <c r="H454" s="47" t="s">
        <v>3664</v>
      </c>
      <c r="I454" s="47" t="s">
        <v>3703</v>
      </c>
      <c r="J454" s="47" t="s">
        <v>1055</v>
      </c>
      <c r="K454" s="47" t="s">
        <v>163</v>
      </c>
      <c r="L454" s="47" t="s">
        <v>1371</v>
      </c>
      <c r="M454" s="47" t="s">
        <v>1511</v>
      </c>
      <c r="N454" s="47" t="s">
        <v>1058</v>
      </c>
      <c r="O454" s="47" t="s">
        <v>930</v>
      </c>
      <c r="P454" s="47" t="s">
        <v>930</v>
      </c>
      <c r="Q454" s="47"/>
      <c r="R454" s="47"/>
      <c r="S454" s="47"/>
      <c r="T454" s="47" t="s">
        <v>3704</v>
      </c>
      <c r="U454" s="47" t="s">
        <v>3667</v>
      </c>
      <c r="V454" s="47" t="s">
        <v>699</v>
      </c>
      <c r="W454" s="47" t="s">
        <v>931</v>
      </c>
      <c r="X454" s="47" t="s">
        <v>1063</v>
      </c>
      <c r="Y454" s="47" t="s">
        <v>3690</v>
      </c>
      <c r="Z454" s="47" t="s">
        <v>3694</v>
      </c>
      <c r="AA454" s="47" t="s">
        <v>931</v>
      </c>
      <c r="AB454" s="47" t="s">
        <v>931</v>
      </c>
      <c r="AC454" s="47" t="s">
        <v>1052</v>
      </c>
      <c r="AD454" s="47" t="s">
        <v>3705</v>
      </c>
      <c r="AE454" s="47" t="s">
        <v>3479</v>
      </c>
      <c r="AF454" s="47" t="s">
        <v>931</v>
      </c>
      <c r="AG454" s="47" t="s">
        <v>931</v>
      </c>
      <c r="AH454" s="47" t="s">
        <v>1067</v>
      </c>
      <c r="AI454" s="47" t="s">
        <v>931</v>
      </c>
      <c r="AJ454" s="47" t="s">
        <v>365</v>
      </c>
      <c r="AK454" s="47" t="s">
        <v>930</v>
      </c>
      <c r="AL454" s="47" t="s">
        <v>931</v>
      </c>
      <c r="AM454" s="47" t="s">
        <v>931</v>
      </c>
      <c r="AN454" s="37"/>
    </row>
    <row r="455" spans="1:40" hidden="1">
      <c r="A455" s="47" t="s">
        <v>982</v>
      </c>
      <c r="B455" s="47" t="s">
        <v>919</v>
      </c>
      <c r="C455" s="47" t="s">
        <v>3706</v>
      </c>
      <c r="D455" s="47">
        <f t="shared" si="14"/>
        <v>161429</v>
      </c>
      <c r="E455" s="47" t="s">
        <v>690</v>
      </c>
      <c r="F455" s="47" t="s">
        <v>691</v>
      </c>
      <c r="G455" s="47" t="s">
        <v>3663</v>
      </c>
      <c r="H455" s="47" t="s">
        <v>3664</v>
      </c>
      <c r="I455" s="47" t="s">
        <v>3707</v>
      </c>
      <c r="J455" s="47" t="s">
        <v>1055</v>
      </c>
      <c r="K455" s="47" t="s">
        <v>163</v>
      </c>
      <c r="L455" s="47" t="s">
        <v>1246</v>
      </c>
      <c r="M455" s="47" t="s">
        <v>1511</v>
      </c>
      <c r="N455" s="47" t="s">
        <v>1058</v>
      </c>
      <c r="O455" s="47" t="s">
        <v>930</v>
      </c>
      <c r="P455" s="47" t="s">
        <v>930</v>
      </c>
      <c r="Q455" s="47"/>
      <c r="R455" s="47"/>
      <c r="S455" s="47"/>
      <c r="T455" s="47" t="s">
        <v>3708</v>
      </c>
      <c r="U455" s="47" t="s">
        <v>3693</v>
      </c>
      <c r="V455" s="47" t="s">
        <v>697</v>
      </c>
      <c r="W455" s="47" t="s">
        <v>931</v>
      </c>
      <c r="X455" s="47" t="s">
        <v>1063</v>
      </c>
      <c r="Y455" s="47" t="s">
        <v>3663</v>
      </c>
      <c r="Z455" s="47" t="s">
        <v>3668</v>
      </c>
      <c r="AA455" s="47" t="s">
        <v>931</v>
      </c>
      <c r="AB455" s="47" t="s">
        <v>931</v>
      </c>
      <c r="AC455" s="47" t="s">
        <v>1052</v>
      </c>
      <c r="AD455" s="47" t="s">
        <v>3709</v>
      </c>
      <c r="AE455" s="47" t="s">
        <v>3479</v>
      </c>
      <c r="AF455" s="47" t="s">
        <v>931</v>
      </c>
      <c r="AG455" s="47" t="s">
        <v>931</v>
      </c>
      <c r="AH455" s="47" t="s">
        <v>1067</v>
      </c>
      <c r="AI455" s="47" t="s">
        <v>931</v>
      </c>
      <c r="AJ455" s="47" t="s">
        <v>365</v>
      </c>
      <c r="AK455" s="47" t="s">
        <v>930</v>
      </c>
      <c r="AL455" s="47" t="s">
        <v>931</v>
      </c>
      <c r="AM455" s="47" t="s">
        <v>931</v>
      </c>
      <c r="AN455" s="37"/>
    </row>
    <row r="456" spans="1:40" hidden="1">
      <c r="A456" s="47" t="s">
        <v>982</v>
      </c>
      <c r="B456" s="47" t="s">
        <v>919</v>
      </c>
      <c r="C456" s="47" t="s">
        <v>3710</v>
      </c>
      <c r="D456" s="47">
        <f t="shared" si="14"/>
        <v>161428</v>
      </c>
      <c r="E456" s="47" t="s">
        <v>690</v>
      </c>
      <c r="F456" s="47" t="s">
        <v>691</v>
      </c>
      <c r="G456" s="47" t="s">
        <v>3677</v>
      </c>
      <c r="H456" s="47" t="s">
        <v>3664</v>
      </c>
      <c r="I456" s="47" t="s">
        <v>3711</v>
      </c>
      <c r="J456" s="47" t="s">
        <v>1055</v>
      </c>
      <c r="K456" s="47" t="s">
        <v>163</v>
      </c>
      <c r="L456" s="47" t="s">
        <v>1258</v>
      </c>
      <c r="M456" s="47" t="s">
        <v>1511</v>
      </c>
      <c r="N456" s="47" t="s">
        <v>1058</v>
      </c>
      <c r="O456" s="47" t="s">
        <v>930</v>
      </c>
      <c r="P456" s="47" t="s">
        <v>930</v>
      </c>
      <c r="Q456" s="47"/>
      <c r="R456" s="47"/>
      <c r="S456" s="47"/>
      <c r="T456" s="47" t="s">
        <v>3712</v>
      </c>
      <c r="U456" s="47" t="s">
        <v>3693</v>
      </c>
      <c r="V456" s="47" t="s">
        <v>695</v>
      </c>
      <c r="W456" s="47" t="s">
        <v>931</v>
      </c>
      <c r="X456" s="47" t="s">
        <v>1063</v>
      </c>
      <c r="Y456" s="47" t="s">
        <v>3677</v>
      </c>
      <c r="Z456" s="47" t="s">
        <v>3680</v>
      </c>
      <c r="AA456" s="47" t="s">
        <v>931</v>
      </c>
      <c r="AB456" s="47" t="s">
        <v>931</v>
      </c>
      <c r="AC456" s="47" t="s">
        <v>1052</v>
      </c>
      <c r="AD456" s="47" t="s">
        <v>3713</v>
      </c>
      <c r="AE456" s="47" t="s">
        <v>3479</v>
      </c>
      <c r="AF456" s="47" t="s">
        <v>931</v>
      </c>
      <c r="AG456" s="47" t="s">
        <v>931</v>
      </c>
      <c r="AH456" s="47" t="s">
        <v>1067</v>
      </c>
      <c r="AI456" s="47" t="s">
        <v>931</v>
      </c>
      <c r="AJ456" s="47" t="s">
        <v>365</v>
      </c>
      <c r="AK456" s="47" t="s">
        <v>930</v>
      </c>
      <c r="AL456" s="47" t="s">
        <v>931</v>
      </c>
      <c r="AM456" s="47" t="s">
        <v>931</v>
      </c>
      <c r="AN456" s="37"/>
    </row>
    <row r="457" spans="1:40" hidden="1">
      <c r="A457" s="47" t="s">
        <v>982</v>
      </c>
      <c r="B457" s="47" t="s">
        <v>919</v>
      </c>
      <c r="C457" s="47" t="s">
        <v>3714</v>
      </c>
      <c r="D457" s="47">
        <f t="shared" si="14"/>
        <v>162271</v>
      </c>
      <c r="E457" s="47" t="s">
        <v>266</v>
      </c>
      <c r="F457" s="47" t="s">
        <v>267</v>
      </c>
      <c r="G457" s="47" t="s">
        <v>3715</v>
      </c>
      <c r="H457" s="47" t="s">
        <v>1287</v>
      </c>
      <c r="I457" s="47" t="s">
        <v>3531</v>
      </c>
      <c r="J457" s="47" t="s">
        <v>1024</v>
      </c>
      <c r="K457" s="47" t="s">
        <v>163</v>
      </c>
      <c r="L457" s="47" t="s">
        <v>3716</v>
      </c>
      <c r="M457" s="47" t="s">
        <v>3502</v>
      </c>
      <c r="N457" s="47" t="s">
        <v>946</v>
      </c>
      <c r="O457" s="47" t="s">
        <v>930</v>
      </c>
      <c r="P457" s="47" t="s">
        <v>930</v>
      </c>
      <c r="Q457" s="47"/>
      <c r="R457" s="47"/>
      <c r="S457" s="47"/>
      <c r="T457" s="47" t="s">
        <v>3717</v>
      </c>
      <c r="U457" s="47" t="s">
        <v>3718</v>
      </c>
      <c r="V457" s="47" t="s">
        <v>3495</v>
      </c>
      <c r="W457" s="47" t="s">
        <v>931</v>
      </c>
      <c r="X457" s="47" t="s">
        <v>932</v>
      </c>
      <c r="Y457" s="47" t="s">
        <v>3715</v>
      </c>
      <c r="Z457" s="47" t="s">
        <v>3719</v>
      </c>
      <c r="AA457" s="47" t="s">
        <v>3720</v>
      </c>
      <c r="AB457" s="47" t="s">
        <v>931</v>
      </c>
      <c r="AC457" s="47" t="s">
        <v>409</v>
      </c>
      <c r="AD457" s="47" t="s">
        <v>3537</v>
      </c>
      <c r="AE457" s="47" t="s">
        <v>3479</v>
      </c>
      <c r="AF457" s="47" t="s">
        <v>931</v>
      </c>
      <c r="AG457" s="47" t="s">
        <v>3721</v>
      </c>
      <c r="AH457" s="47" t="s">
        <v>364</v>
      </c>
      <c r="AI457" s="47" t="s">
        <v>931</v>
      </c>
      <c r="AJ457" s="47" t="s">
        <v>365</v>
      </c>
      <c r="AK457" s="47" t="s">
        <v>930</v>
      </c>
      <c r="AL457" s="47" t="s">
        <v>931</v>
      </c>
      <c r="AM457" s="47" t="s">
        <v>931</v>
      </c>
      <c r="AN457" s="37"/>
    </row>
    <row r="458" spans="1:40" hidden="1">
      <c r="A458" s="47" t="s">
        <v>982</v>
      </c>
      <c r="B458" s="47" t="s">
        <v>919</v>
      </c>
      <c r="C458" s="47" t="s">
        <v>3722</v>
      </c>
      <c r="D458" s="47">
        <f t="shared" si="14"/>
        <v>162269</v>
      </c>
      <c r="E458" s="47" t="s">
        <v>272</v>
      </c>
      <c r="F458" s="47" t="s">
        <v>273</v>
      </c>
      <c r="G458" s="47" t="s">
        <v>3723</v>
      </c>
      <c r="H458" s="47" t="s">
        <v>969</v>
      </c>
      <c r="I458" s="47" t="s">
        <v>3658</v>
      </c>
      <c r="J458" s="47" t="s">
        <v>1024</v>
      </c>
      <c r="K458" s="47" t="s">
        <v>163</v>
      </c>
      <c r="L458" s="47" t="s">
        <v>3724</v>
      </c>
      <c r="M458" s="47" t="s">
        <v>3311</v>
      </c>
      <c r="N458" s="47" t="s">
        <v>946</v>
      </c>
      <c r="O458" s="47" t="s">
        <v>930</v>
      </c>
      <c r="P458" s="47" t="s">
        <v>930</v>
      </c>
      <c r="Q458" s="47"/>
      <c r="R458" s="47"/>
      <c r="S458" s="47"/>
      <c r="T458" s="47" t="s">
        <v>3725</v>
      </c>
      <c r="U458" s="47" t="s">
        <v>3726</v>
      </c>
      <c r="V458" s="47" t="s">
        <v>3495</v>
      </c>
      <c r="W458" s="47" t="s">
        <v>931</v>
      </c>
      <c r="X458" s="47" t="s">
        <v>932</v>
      </c>
      <c r="Y458" s="47" t="s">
        <v>3723</v>
      </c>
      <c r="Z458" s="47" t="s">
        <v>3727</v>
      </c>
      <c r="AA458" s="47" t="s">
        <v>3728</v>
      </c>
      <c r="AB458" s="47" t="s">
        <v>3729</v>
      </c>
      <c r="AC458" s="47" t="s">
        <v>373</v>
      </c>
      <c r="AD458" s="47" t="s">
        <v>3661</v>
      </c>
      <c r="AE458" s="47" t="s">
        <v>937</v>
      </c>
      <c r="AF458" s="47" t="s">
        <v>3730</v>
      </c>
      <c r="AG458" s="47" t="s">
        <v>3730</v>
      </c>
      <c r="AH458" s="47" t="s">
        <v>364</v>
      </c>
      <c r="AI458" s="47" t="s">
        <v>931</v>
      </c>
      <c r="AJ458" s="47" t="s">
        <v>365</v>
      </c>
      <c r="AK458" s="47" t="s">
        <v>930</v>
      </c>
      <c r="AL458" s="47" t="s">
        <v>931</v>
      </c>
      <c r="AM458" s="47" t="s">
        <v>931</v>
      </c>
      <c r="AN458" s="37"/>
    </row>
    <row r="459" spans="1:40" hidden="1">
      <c r="A459" s="47" t="s">
        <v>982</v>
      </c>
      <c r="B459" s="47" t="s">
        <v>919</v>
      </c>
      <c r="C459" s="47" t="s">
        <v>3731</v>
      </c>
      <c r="D459" s="47">
        <f t="shared" si="14"/>
        <v>161427</v>
      </c>
      <c r="E459" s="47" t="s">
        <v>690</v>
      </c>
      <c r="F459" s="47" t="s">
        <v>691</v>
      </c>
      <c r="G459" s="47" t="s">
        <v>3671</v>
      </c>
      <c r="H459" s="47" t="s">
        <v>3664</v>
      </c>
      <c r="I459" s="47" t="s">
        <v>3732</v>
      </c>
      <c r="J459" s="47" t="s">
        <v>1055</v>
      </c>
      <c r="K459" s="47" t="s">
        <v>163</v>
      </c>
      <c r="L459" s="47" t="s">
        <v>1258</v>
      </c>
      <c r="M459" s="47" t="s">
        <v>1511</v>
      </c>
      <c r="N459" s="47" t="s">
        <v>1058</v>
      </c>
      <c r="O459" s="47" t="s">
        <v>930</v>
      </c>
      <c r="P459" s="47" t="s">
        <v>930</v>
      </c>
      <c r="Q459" s="47"/>
      <c r="R459" s="47"/>
      <c r="S459" s="47"/>
      <c r="T459" s="47" t="s">
        <v>3733</v>
      </c>
      <c r="U459" s="47" t="s">
        <v>3693</v>
      </c>
      <c r="V459" s="47" t="s">
        <v>693</v>
      </c>
      <c r="W459" s="47" t="s">
        <v>931</v>
      </c>
      <c r="X459" s="47" t="s">
        <v>1063</v>
      </c>
      <c r="Y459" s="47" t="s">
        <v>3671</v>
      </c>
      <c r="Z459" s="47" t="s">
        <v>3674</v>
      </c>
      <c r="AA459" s="47" t="s">
        <v>931</v>
      </c>
      <c r="AB459" s="47" t="s">
        <v>931</v>
      </c>
      <c r="AC459" s="47" t="s">
        <v>1052</v>
      </c>
      <c r="AD459" s="47" t="s">
        <v>3734</v>
      </c>
      <c r="AE459" s="47" t="s">
        <v>3479</v>
      </c>
      <c r="AF459" s="47" t="s">
        <v>931</v>
      </c>
      <c r="AG459" s="47" t="s">
        <v>931</v>
      </c>
      <c r="AH459" s="47" t="s">
        <v>1067</v>
      </c>
      <c r="AI459" s="47" t="s">
        <v>931</v>
      </c>
      <c r="AJ459" s="47" t="s">
        <v>365</v>
      </c>
      <c r="AK459" s="47" t="s">
        <v>930</v>
      </c>
      <c r="AL459" s="47" t="s">
        <v>931</v>
      </c>
      <c r="AM459" s="47" t="s">
        <v>931</v>
      </c>
      <c r="AN459" s="37"/>
    </row>
    <row r="460" spans="1:40" hidden="1">
      <c r="A460" s="47" t="s">
        <v>982</v>
      </c>
      <c r="B460" s="47" t="s">
        <v>919</v>
      </c>
      <c r="C460" s="47" t="s">
        <v>3735</v>
      </c>
      <c r="D460" s="47">
        <f t="shared" si="14"/>
        <v>162265</v>
      </c>
      <c r="E460" s="47" t="s">
        <v>242</v>
      </c>
      <c r="F460" s="47" t="s">
        <v>243</v>
      </c>
      <c r="G460" s="47" t="s">
        <v>468</v>
      </c>
      <c r="H460" s="47" t="s">
        <v>924</v>
      </c>
      <c r="I460" s="47" t="s">
        <v>3736</v>
      </c>
      <c r="J460" s="47" t="s">
        <v>1024</v>
      </c>
      <c r="K460" s="47" t="s">
        <v>163</v>
      </c>
      <c r="L460" s="47" t="s">
        <v>3737</v>
      </c>
      <c r="M460" s="47" t="s">
        <v>2753</v>
      </c>
      <c r="N460" s="47" t="s">
        <v>946</v>
      </c>
      <c r="O460" s="47" t="s">
        <v>930</v>
      </c>
      <c r="P460" s="47" t="s">
        <v>930</v>
      </c>
      <c r="Q460" s="47"/>
      <c r="R460" s="47"/>
      <c r="S460" s="47"/>
      <c r="T460" s="47" t="s">
        <v>3738</v>
      </c>
      <c r="U460" s="47" t="s">
        <v>3739</v>
      </c>
      <c r="V460" s="47" t="s">
        <v>3740</v>
      </c>
      <c r="W460" s="47" t="s">
        <v>931</v>
      </c>
      <c r="X460" s="47" t="s">
        <v>932</v>
      </c>
      <c r="Y460" s="47" t="s">
        <v>468</v>
      </c>
      <c r="Z460" s="47" t="s">
        <v>3299</v>
      </c>
      <c r="AA460" s="47" t="s">
        <v>3300</v>
      </c>
      <c r="AB460" s="47" t="s">
        <v>931</v>
      </c>
      <c r="AC460" s="47" t="s">
        <v>382</v>
      </c>
      <c r="AD460" s="47" t="s">
        <v>3741</v>
      </c>
      <c r="AE460" s="47" t="s">
        <v>937</v>
      </c>
      <c r="AF460" s="47" t="s">
        <v>931</v>
      </c>
      <c r="AG460" s="47" t="s">
        <v>931</v>
      </c>
      <c r="AH460" s="47" t="s">
        <v>364</v>
      </c>
      <c r="AI460" s="47" t="s">
        <v>931</v>
      </c>
      <c r="AJ460" s="47" t="s">
        <v>365</v>
      </c>
      <c r="AK460" s="47" t="s">
        <v>930</v>
      </c>
      <c r="AL460" s="47" t="s">
        <v>931</v>
      </c>
      <c r="AM460" s="47" t="s">
        <v>931</v>
      </c>
      <c r="AN460" s="37"/>
    </row>
    <row r="461" spans="1:40" hidden="1">
      <c r="A461" s="47" t="s">
        <v>982</v>
      </c>
      <c r="B461" s="47" t="s">
        <v>919</v>
      </c>
      <c r="C461" s="47" t="s">
        <v>3742</v>
      </c>
      <c r="D461" s="47">
        <f t="shared" si="14"/>
        <v>162254</v>
      </c>
      <c r="E461" s="47" t="s">
        <v>242</v>
      </c>
      <c r="F461" s="47" t="s">
        <v>243</v>
      </c>
      <c r="G461" s="47" t="s">
        <v>850</v>
      </c>
      <c r="H461" s="47" t="s">
        <v>924</v>
      </c>
      <c r="I461" s="47" t="s">
        <v>3743</v>
      </c>
      <c r="J461" s="47" t="s">
        <v>1024</v>
      </c>
      <c r="K461" s="47" t="s">
        <v>163</v>
      </c>
      <c r="L461" s="47" t="s">
        <v>2753</v>
      </c>
      <c r="M461" s="47" t="s">
        <v>2753</v>
      </c>
      <c r="N461" s="47" t="s">
        <v>946</v>
      </c>
      <c r="O461" s="47" t="s">
        <v>930</v>
      </c>
      <c r="P461" s="47" t="s">
        <v>930</v>
      </c>
      <c r="Q461" s="47"/>
      <c r="R461" s="47"/>
      <c r="S461" s="47"/>
      <c r="T461" s="47" t="s">
        <v>3744</v>
      </c>
      <c r="U461" s="47" t="s">
        <v>3745</v>
      </c>
      <c r="V461" s="47" t="s">
        <v>465</v>
      </c>
      <c r="W461" s="47" t="s">
        <v>931</v>
      </c>
      <c r="X461" s="47" t="s">
        <v>932</v>
      </c>
      <c r="Y461" s="47" t="s">
        <v>850</v>
      </c>
      <c r="Z461" s="47" t="s">
        <v>1310</v>
      </c>
      <c r="AA461" s="47" t="s">
        <v>1311</v>
      </c>
      <c r="AB461" s="47" t="s">
        <v>931</v>
      </c>
      <c r="AC461" s="47" t="s">
        <v>382</v>
      </c>
      <c r="AD461" s="47" t="s">
        <v>3746</v>
      </c>
      <c r="AE461" s="47" t="s">
        <v>937</v>
      </c>
      <c r="AF461" s="47" t="s">
        <v>931</v>
      </c>
      <c r="AG461" s="47" t="s">
        <v>3747</v>
      </c>
      <c r="AH461" s="47" t="s">
        <v>364</v>
      </c>
      <c r="AI461" s="47" t="s">
        <v>931</v>
      </c>
      <c r="AJ461" s="47" t="s">
        <v>365</v>
      </c>
      <c r="AK461" s="47" t="s">
        <v>930</v>
      </c>
      <c r="AL461" s="47" t="s">
        <v>931</v>
      </c>
      <c r="AM461" s="47" t="s">
        <v>931</v>
      </c>
      <c r="AN461" s="37"/>
    </row>
    <row r="462" spans="1:40" hidden="1">
      <c r="A462" s="47" t="s">
        <v>982</v>
      </c>
      <c r="B462" s="47" t="s">
        <v>919</v>
      </c>
      <c r="C462" s="47" t="s">
        <v>3748</v>
      </c>
      <c r="D462" s="47">
        <f t="shared" si="14"/>
        <v>162266</v>
      </c>
      <c r="E462" s="47" t="s">
        <v>235</v>
      </c>
      <c r="F462" s="47" t="s">
        <v>236</v>
      </c>
      <c r="G462" s="47" t="s">
        <v>387</v>
      </c>
      <c r="H462" s="47" t="s">
        <v>969</v>
      </c>
      <c r="I462" s="47" t="s">
        <v>3749</v>
      </c>
      <c r="J462" s="47" t="s">
        <v>1024</v>
      </c>
      <c r="K462" s="47" t="s">
        <v>163</v>
      </c>
      <c r="L462" s="47" t="s">
        <v>3311</v>
      </c>
      <c r="M462" s="47" t="s">
        <v>3311</v>
      </c>
      <c r="N462" s="47" t="s">
        <v>946</v>
      </c>
      <c r="O462" s="47" t="s">
        <v>930</v>
      </c>
      <c r="P462" s="47" t="s">
        <v>930</v>
      </c>
      <c r="Q462" s="47"/>
      <c r="R462" s="47"/>
      <c r="S462" s="47"/>
      <c r="T462" s="47" t="s">
        <v>3750</v>
      </c>
      <c r="U462" s="47" t="s">
        <v>3751</v>
      </c>
      <c r="V462" s="47" t="s">
        <v>3752</v>
      </c>
      <c r="W462" s="47" t="s">
        <v>931</v>
      </c>
      <c r="X462" s="47" t="s">
        <v>932</v>
      </c>
      <c r="Y462" s="47" t="s">
        <v>387</v>
      </c>
      <c r="Z462" s="47" t="s">
        <v>1148</v>
      </c>
      <c r="AA462" s="47" t="s">
        <v>1149</v>
      </c>
      <c r="AB462" s="47" t="s">
        <v>931</v>
      </c>
      <c r="AC462" s="47" t="s">
        <v>387</v>
      </c>
      <c r="AD462" s="47" t="s">
        <v>3753</v>
      </c>
      <c r="AE462" s="47" t="s">
        <v>937</v>
      </c>
      <c r="AF462" s="47" t="s">
        <v>931</v>
      </c>
      <c r="AG462" s="47" t="s">
        <v>931</v>
      </c>
      <c r="AH462" s="47" t="s">
        <v>364</v>
      </c>
      <c r="AI462" s="47" t="s">
        <v>931</v>
      </c>
      <c r="AJ462" s="47" t="s">
        <v>365</v>
      </c>
      <c r="AK462" s="47" t="s">
        <v>930</v>
      </c>
      <c r="AL462" s="47" t="s">
        <v>931</v>
      </c>
      <c r="AM462" s="47" t="s">
        <v>931</v>
      </c>
      <c r="AN462" s="37"/>
    </row>
    <row r="463" spans="1:40">
      <c r="A463" s="47" t="s">
        <v>982</v>
      </c>
      <c r="B463" s="47" t="s">
        <v>919</v>
      </c>
      <c r="C463" s="47" t="s">
        <v>3754</v>
      </c>
      <c r="D463" s="47">
        <f t="shared" si="14"/>
        <v>162755</v>
      </c>
      <c r="E463" s="47" t="s">
        <v>200</v>
      </c>
      <c r="F463" s="47" t="s">
        <v>191</v>
      </c>
      <c r="G463" s="47" t="s">
        <v>485</v>
      </c>
      <c r="H463" s="47" t="s">
        <v>1518</v>
      </c>
      <c r="I463" s="47" t="s">
        <v>3755</v>
      </c>
      <c r="J463" s="47" t="s">
        <v>1024</v>
      </c>
      <c r="K463" s="47" t="s">
        <v>163</v>
      </c>
      <c r="L463" s="47" t="s">
        <v>3756</v>
      </c>
      <c r="M463" s="47" t="s">
        <v>3083</v>
      </c>
      <c r="N463" s="47" t="s">
        <v>946</v>
      </c>
      <c r="O463" s="47" t="s">
        <v>930</v>
      </c>
      <c r="P463" s="47" t="s">
        <v>930</v>
      </c>
      <c r="Q463" s="47"/>
      <c r="R463" s="47"/>
      <c r="S463" s="47"/>
      <c r="T463" s="47" t="s">
        <v>3757</v>
      </c>
      <c r="U463" s="47" t="s">
        <v>3758</v>
      </c>
      <c r="V463" s="47" t="s">
        <v>521</v>
      </c>
      <c r="W463" s="47" t="s">
        <v>931</v>
      </c>
      <c r="X463" s="47" t="s">
        <v>995</v>
      </c>
      <c r="Y463" s="47" t="s">
        <v>485</v>
      </c>
      <c r="Z463" s="47" t="s">
        <v>2999</v>
      </c>
      <c r="AA463" s="47" t="s">
        <v>3000</v>
      </c>
      <c r="AB463" s="47" t="s">
        <v>931</v>
      </c>
      <c r="AC463" s="47" t="s">
        <v>447</v>
      </c>
      <c r="AD463" s="47" t="s">
        <v>3759</v>
      </c>
      <c r="AE463" s="47" t="s">
        <v>937</v>
      </c>
      <c r="AF463" s="47" t="s">
        <v>931</v>
      </c>
      <c r="AG463" s="47" t="s">
        <v>931</v>
      </c>
      <c r="AH463" s="47" t="s">
        <v>931</v>
      </c>
      <c r="AI463" s="47" t="s">
        <v>931</v>
      </c>
      <c r="AJ463" s="47" t="s">
        <v>931</v>
      </c>
      <c r="AK463" s="47" t="s">
        <v>930</v>
      </c>
      <c r="AL463" s="47" t="s">
        <v>931</v>
      </c>
      <c r="AM463" s="47" t="s">
        <v>931</v>
      </c>
      <c r="AN463" s="37"/>
    </row>
    <row r="464" spans="1:40" hidden="1">
      <c r="A464" s="47" t="s">
        <v>982</v>
      </c>
      <c r="B464" s="47" t="s">
        <v>919</v>
      </c>
      <c r="C464" s="47" t="s">
        <v>3760</v>
      </c>
      <c r="D464" s="47">
        <f t="shared" si="14"/>
        <v>161413</v>
      </c>
      <c r="E464" s="47" t="s">
        <v>499</v>
      </c>
      <c r="F464" s="47" t="s">
        <v>500</v>
      </c>
      <c r="G464" s="47" t="s">
        <v>438</v>
      </c>
      <c r="H464" s="47" t="s">
        <v>1325</v>
      </c>
      <c r="I464" s="47" t="s">
        <v>3761</v>
      </c>
      <c r="J464" s="47" t="s">
        <v>944</v>
      </c>
      <c r="K464" s="47" t="s">
        <v>163</v>
      </c>
      <c r="L464" s="47" t="s">
        <v>3762</v>
      </c>
      <c r="M464" s="47" t="s">
        <v>2711</v>
      </c>
      <c r="N464" s="47" t="s">
        <v>946</v>
      </c>
      <c r="O464" s="47" t="s">
        <v>930</v>
      </c>
      <c r="P464" s="47" t="s">
        <v>930</v>
      </c>
      <c r="Q464" s="47"/>
      <c r="R464" s="47"/>
      <c r="S464" s="47"/>
      <c r="T464" s="47" t="s">
        <v>3763</v>
      </c>
      <c r="U464" s="47" t="s">
        <v>3764</v>
      </c>
      <c r="V464" s="47" t="s">
        <v>363</v>
      </c>
      <c r="W464" s="47" t="s">
        <v>931</v>
      </c>
      <c r="X464" s="47" t="s">
        <v>932</v>
      </c>
      <c r="Y464" s="47" t="s">
        <v>438</v>
      </c>
      <c r="Z464" s="47" t="s">
        <v>3765</v>
      </c>
      <c r="AA464" s="47" t="s">
        <v>3766</v>
      </c>
      <c r="AB464" s="47" t="s">
        <v>931</v>
      </c>
      <c r="AC464" s="47" t="s">
        <v>438</v>
      </c>
      <c r="AD464" s="47" t="s">
        <v>3767</v>
      </c>
      <c r="AE464" s="47" t="s">
        <v>937</v>
      </c>
      <c r="AF464" s="47" t="s">
        <v>931</v>
      </c>
      <c r="AG464" s="47" t="s">
        <v>931</v>
      </c>
      <c r="AH464" s="47" t="s">
        <v>364</v>
      </c>
      <c r="AI464" s="47" t="s">
        <v>931</v>
      </c>
      <c r="AJ464" s="47" t="s">
        <v>365</v>
      </c>
      <c r="AK464" s="47" t="s">
        <v>930</v>
      </c>
      <c r="AL464" s="47" t="s">
        <v>931</v>
      </c>
      <c r="AM464" s="47" t="s">
        <v>931</v>
      </c>
      <c r="AN464" s="37"/>
    </row>
    <row r="465" spans="1:40" hidden="1">
      <c r="A465" s="47" t="s">
        <v>982</v>
      </c>
      <c r="B465" s="47" t="s">
        <v>919</v>
      </c>
      <c r="C465" s="47" t="s">
        <v>3768</v>
      </c>
      <c r="D465" s="47">
        <f t="shared" si="14"/>
        <v>162256</v>
      </c>
      <c r="E465" s="47" t="s">
        <v>225</v>
      </c>
      <c r="F465" s="47" t="s">
        <v>226</v>
      </c>
      <c r="G465" s="47" t="s">
        <v>504</v>
      </c>
      <c r="H465" s="47" t="s">
        <v>969</v>
      </c>
      <c r="I465" s="47" t="s">
        <v>3769</v>
      </c>
      <c r="J465" s="47" t="s">
        <v>1024</v>
      </c>
      <c r="K465" s="47" t="s">
        <v>163</v>
      </c>
      <c r="L465" s="47" t="s">
        <v>3770</v>
      </c>
      <c r="M465" s="47" t="s">
        <v>3328</v>
      </c>
      <c r="N465" s="47" t="s">
        <v>946</v>
      </c>
      <c r="O465" s="47" t="s">
        <v>930</v>
      </c>
      <c r="P465" s="47" t="s">
        <v>930</v>
      </c>
      <c r="Q465" s="47"/>
      <c r="R465" s="47"/>
      <c r="S465" s="47"/>
      <c r="T465" s="47" t="s">
        <v>3771</v>
      </c>
      <c r="U465" s="47" t="s">
        <v>3772</v>
      </c>
      <c r="V465" s="47" t="s">
        <v>3773</v>
      </c>
      <c r="W465" s="47" t="s">
        <v>931</v>
      </c>
      <c r="X465" s="47" t="s">
        <v>995</v>
      </c>
      <c r="Y465" s="47" t="s">
        <v>504</v>
      </c>
      <c r="Z465" s="47" t="s">
        <v>3774</v>
      </c>
      <c r="AA465" s="47" t="s">
        <v>3775</v>
      </c>
      <c r="AB465" s="47" t="s">
        <v>3776</v>
      </c>
      <c r="AC465" s="47" t="s">
        <v>504</v>
      </c>
      <c r="AD465" s="47" t="s">
        <v>3777</v>
      </c>
      <c r="AE465" s="47" t="s">
        <v>937</v>
      </c>
      <c r="AF465" s="47" t="s">
        <v>931</v>
      </c>
      <c r="AG465" s="47" t="s">
        <v>3778</v>
      </c>
      <c r="AH465" s="47" t="s">
        <v>364</v>
      </c>
      <c r="AI465" s="47" t="s">
        <v>931</v>
      </c>
      <c r="AJ465" s="47" t="s">
        <v>365</v>
      </c>
      <c r="AK465" s="47" t="s">
        <v>930</v>
      </c>
      <c r="AL465" s="47" t="s">
        <v>931</v>
      </c>
      <c r="AM465" s="47" t="s">
        <v>931</v>
      </c>
      <c r="AN465" s="37"/>
    </row>
    <row r="466" spans="1:40" hidden="1">
      <c r="A466" s="47" t="s">
        <v>982</v>
      </c>
      <c r="B466" s="47" t="s">
        <v>919</v>
      </c>
      <c r="C466" s="47" t="s">
        <v>3779</v>
      </c>
      <c r="D466" s="47">
        <f t="shared" si="14"/>
        <v>161436</v>
      </c>
      <c r="E466" s="47" t="s">
        <v>690</v>
      </c>
      <c r="F466" s="47" t="s">
        <v>691</v>
      </c>
      <c r="G466" s="47" t="s">
        <v>3546</v>
      </c>
      <c r="H466" s="47" t="s">
        <v>3664</v>
      </c>
      <c r="I466" s="47" t="s">
        <v>3780</v>
      </c>
      <c r="J466" s="47" t="s">
        <v>1055</v>
      </c>
      <c r="K466" s="47" t="s">
        <v>163</v>
      </c>
      <c r="L466" s="47" t="s">
        <v>1258</v>
      </c>
      <c r="M466" s="47" t="s">
        <v>1511</v>
      </c>
      <c r="N466" s="47" t="s">
        <v>1058</v>
      </c>
      <c r="O466" s="47" t="s">
        <v>930</v>
      </c>
      <c r="P466" s="47" t="s">
        <v>930</v>
      </c>
      <c r="Q466" s="47"/>
      <c r="R466" s="47"/>
      <c r="S466" s="47"/>
      <c r="T466" s="47" t="s">
        <v>3781</v>
      </c>
      <c r="U466" s="47" t="s">
        <v>3667</v>
      </c>
      <c r="V466" s="47" t="s">
        <v>701</v>
      </c>
      <c r="W466" s="47" t="s">
        <v>931</v>
      </c>
      <c r="X466" s="47" t="s">
        <v>1063</v>
      </c>
      <c r="Y466" s="47" t="s">
        <v>3546</v>
      </c>
      <c r="Z466" s="47" t="s">
        <v>3550</v>
      </c>
      <c r="AA466" s="47" t="s">
        <v>931</v>
      </c>
      <c r="AB466" s="47" t="s">
        <v>931</v>
      </c>
      <c r="AC466" s="47" t="s">
        <v>1052</v>
      </c>
      <c r="AD466" s="47" t="s">
        <v>3782</v>
      </c>
      <c r="AE466" s="47" t="s">
        <v>3479</v>
      </c>
      <c r="AF466" s="47" t="s">
        <v>931</v>
      </c>
      <c r="AG466" s="47" t="s">
        <v>931</v>
      </c>
      <c r="AH466" s="47" t="s">
        <v>1067</v>
      </c>
      <c r="AI466" s="47" t="s">
        <v>931</v>
      </c>
      <c r="AJ466" s="47" t="s">
        <v>365</v>
      </c>
      <c r="AK466" s="47" t="s">
        <v>930</v>
      </c>
      <c r="AL466" s="47" t="s">
        <v>931</v>
      </c>
      <c r="AM466" s="47" t="s">
        <v>931</v>
      </c>
      <c r="AN466" s="37"/>
    </row>
    <row r="467" spans="1:40" hidden="1">
      <c r="A467" s="47" t="s">
        <v>982</v>
      </c>
      <c r="B467" s="47" t="s">
        <v>919</v>
      </c>
      <c r="C467" s="47" t="s">
        <v>3783</v>
      </c>
      <c r="D467" s="47">
        <f t="shared" si="14"/>
        <v>162255</v>
      </c>
      <c r="E467" s="47" t="s">
        <v>225</v>
      </c>
      <c r="F467" s="47" t="s">
        <v>226</v>
      </c>
      <c r="G467" s="47" t="s">
        <v>509</v>
      </c>
      <c r="H467" s="47" t="s">
        <v>969</v>
      </c>
      <c r="I467" s="47" t="s">
        <v>3769</v>
      </c>
      <c r="J467" s="47" t="s">
        <v>1024</v>
      </c>
      <c r="K467" s="47" t="s">
        <v>163</v>
      </c>
      <c r="L467" s="47" t="s">
        <v>3784</v>
      </c>
      <c r="M467" s="47" t="s">
        <v>3328</v>
      </c>
      <c r="N467" s="47" t="s">
        <v>946</v>
      </c>
      <c r="O467" s="47" t="s">
        <v>930</v>
      </c>
      <c r="P467" s="47" t="s">
        <v>930</v>
      </c>
      <c r="Q467" s="47"/>
      <c r="R467" s="47"/>
      <c r="S467" s="47"/>
      <c r="T467" s="47" t="s">
        <v>3785</v>
      </c>
      <c r="U467" s="47" t="s">
        <v>3786</v>
      </c>
      <c r="V467" s="47" t="s">
        <v>597</v>
      </c>
      <c r="W467" s="47" t="s">
        <v>931</v>
      </c>
      <c r="X467" s="47" t="s">
        <v>995</v>
      </c>
      <c r="Y467" s="47" t="s">
        <v>509</v>
      </c>
      <c r="Z467" s="47" t="s">
        <v>2886</v>
      </c>
      <c r="AA467" s="47" t="s">
        <v>2887</v>
      </c>
      <c r="AB467" s="47" t="s">
        <v>3787</v>
      </c>
      <c r="AC467" s="47" t="s">
        <v>504</v>
      </c>
      <c r="AD467" s="47" t="s">
        <v>3777</v>
      </c>
      <c r="AE467" s="47" t="s">
        <v>937</v>
      </c>
      <c r="AF467" s="47" t="s">
        <v>3788</v>
      </c>
      <c r="AG467" s="47" t="s">
        <v>3789</v>
      </c>
      <c r="AH467" s="47" t="s">
        <v>364</v>
      </c>
      <c r="AI467" s="47" t="s">
        <v>931</v>
      </c>
      <c r="AJ467" s="47" t="s">
        <v>365</v>
      </c>
      <c r="AK467" s="47" t="s">
        <v>930</v>
      </c>
      <c r="AL467" s="47" t="s">
        <v>931</v>
      </c>
      <c r="AM467" s="47" t="s">
        <v>931</v>
      </c>
      <c r="AN467" s="37"/>
    </row>
    <row r="468" spans="1:40" hidden="1">
      <c r="A468" s="47" t="s">
        <v>982</v>
      </c>
      <c r="B468" s="47" t="s">
        <v>919</v>
      </c>
      <c r="C468" s="47" t="s">
        <v>3790</v>
      </c>
      <c r="D468" s="47">
        <f t="shared" si="14"/>
        <v>162264</v>
      </c>
      <c r="E468" s="47" t="s">
        <v>242</v>
      </c>
      <c r="F468" s="47" t="s">
        <v>243</v>
      </c>
      <c r="G468" s="47" t="s">
        <v>479</v>
      </c>
      <c r="H468" s="47" t="s">
        <v>924</v>
      </c>
      <c r="I468" s="47" t="s">
        <v>3736</v>
      </c>
      <c r="J468" s="47" t="s">
        <v>1024</v>
      </c>
      <c r="K468" s="47" t="s">
        <v>163</v>
      </c>
      <c r="L468" s="47" t="s">
        <v>3791</v>
      </c>
      <c r="M468" s="47" t="s">
        <v>2753</v>
      </c>
      <c r="N468" s="47" t="s">
        <v>946</v>
      </c>
      <c r="O468" s="47" t="s">
        <v>930</v>
      </c>
      <c r="P468" s="47" t="s">
        <v>930</v>
      </c>
      <c r="Q468" s="47"/>
      <c r="R468" s="47"/>
      <c r="S468" s="47"/>
      <c r="T468" s="47" t="s">
        <v>3792</v>
      </c>
      <c r="U468" s="47" t="s">
        <v>3793</v>
      </c>
      <c r="V468" s="47" t="s">
        <v>3380</v>
      </c>
      <c r="W468" s="47" t="s">
        <v>931</v>
      </c>
      <c r="X468" s="47" t="s">
        <v>932</v>
      </c>
      <c r="Y468" s="47" t="s">
        <v>479</v>
      </c>
      <c r="Z468" s="47" t="s">
        <v>1228</v>
      </c>
      <c r="AA468" s="47" t="s">
        <v>1229</v>
      </c>
      <c r="AB468" s="47" t="s">
        <v>931</v>
      </c>
      <c r="AC468" s="47" t="s">
        <v>382</v>
      </c>
      <c r="AD468" s="47" t="s">
        <v>3741</v>
      </c>
      <c r="AE468" s="47" t="s">
        <v>937</v>
      </c>
      <c r="AF468" s="47" t="s">
        <v>3345</v>
      </c>
      <c r="AG468" s="47" t="s">
        <v>3346</v>
      </c>
      <c r="AH468" s="47" t="s">
        <v>364</v>
      </c>
      <c r="AI468" s="47" t="s">
        <v>931</v>
      </c>
      <c r="AJ468" s="47" t="s">
        <v>365</v>
      </c>
      <c r="AK468" s="47" t="s">
        <v>930</v>
      </c>
      <c r="AL468" s="47" t="s">
        <v>931</v>
      </c>
      <c r="AM468" s="47" t="s">
        <v>931</v>
      </c>
      <c r="AN468" s="37"/>
    </row>
    <row r="469" spans="1:40" hidden="1">
      <c r="A469" s="47" t="s">
        <v>982</v>
      </c>
      <c r="B469" s="47" t="s">
        <v>919</v>
      </c>
      <c r="C469" s="47" t="s">
        <v>3794</v>
      </c>
      <c r="D469" s="47">
        <f t="shared" si="14"/>
        <v>161431</v>
      </c>
      <c r="E469" s="47" t="s">
        <v>690</v>
      </c>
      <c r="F469" s="47" t="s">
        <v>691</v>
      </c>
      <c r="G469" s="47" t="s">
        <v>3546</v>
      </c>
      <c r="H469" s="47" t="s">
        <v>3664</v>
      </c>
      <c r="I469" s="47" t="s">
        <v>3795</v>
      </c>
      <c r="J469" s="47" t="s">
        <v>1055</v>
      </c>
      <c r="K469" s="47" t="s">
        <v>163</v>
      </c>
      <c r="L469" s="47" t="s">
        <v>1371</v>
      </c>
      <c r="M469" s="47" t="s">
        <v>1511</v>
      </c>
      <c r="N469" s="47" t="s">
        <v>1058</v>
      </c>
      <c r="O469" s="47" t="s">
        <v>930</v>
      </c>
      <c r="P469" s="47" t="s">
        <v>930</v>
      </c>
      <c r="Q469" s="47"/>
      <c r="R469" s="47"/>
      <c r="S469" s="47"/>
      <c r="T469" s="47" t="s">
        <v>3796</v>
      </c>
      <c r="U469" s="47" t="s">
        <v>3693</v>
      </c>
      <c r="V469" s="47" t="s">
        <v>701</v>
      </c>
      <c r="W469" s="47" t="s">
        <v>931</v>
      </c>
      <c r="X469" s="47" t="s">
        <v>1063</v>
      </c>
      <c r="Y469" s="47" t="s">
        <v>3546</v>
      </c>
      <c r="Z469" s="47" t="s">
        <v>3550</v>
      </c>
      <c r="AA469" s="47" t="s">
        <v>931</v>
      </c>
      <c r="AB469" s="47" t="s">
        <v>931</v>
      </c>
      <c r="AC469" s="47" t="s">
        <v>1052</v>
      </c>
      <c r="AD469" s="47" t="s">
        <v>3797</v>
      </c>
      <c r="AE469" s="47" t="s">
        <v>3479</v>
      </c>
      <c r="AF469" s="47" t="s">
        <v>931</v>
      </c>
      <c r="AG469" s="47" t="s">
        <v>931</v>
      </c>
      <c r="AH469" s="47" t="s">
        <v>1067</v>
      </c>
      <c r="AI469" s="47" t="s">
        <v>931</v>
      </c>
      <c r="AJ469" s="47" t="s">
        <v>365</v>
      </c>
      <c r="AK469" s="47" t="s">
        <v>930</v>
      </c>
      <c r="AL469" s="47" t="s">
        <v>931</v>
      </c>
      <c r="AM469" s="47" t="s">
        <v>931</v>
      </c>
      <c r="AN469" s="37"/>
    </row>
    <row r="470" spans="1:40" hidden="1">
      <c r="A470" s="47" t="s">
        <v>982</v>
      </c>
      <c r="B470" s="47" t="s">
        <v>919</v>
      </c>
      <c r="C470" s="47" t="s">
        <v>3798</v>
      </c>
      <c r="D470" s="47">
        <f t="shared" si="14"/>
        <v>162258</v>
      </c>
      <c r="E470" s="47" t="s">
        <v>225</v>
      </c>
      <c r="F470" s="47" t="s">
        <v>226</v>
      </c>
      <c r="G470" s="47" t="s">
        <v>402</v>
      </c>
      <c r="H470" s="47" t="s">
        <v>969</v>
      </c>
      <c r="I470" s="47" t="s">
        <v>3769</v>
      </c>
      <c r="J470" s="47" t="s">
        <v>1024</v>
      </c>
      <c r="K470" s="47" t="s">
        <v>163</v>
      </c>
      <c r="L470" s="47" t="s">
        <v>3784</v>
      </c>
      <c r="M470" s="47" t="s">
        <v>3328</v>
      </c>
      <c r="N470" s="47" t="s">
        <v>946</v>
      </c>
      <c r="O470" s="47" t="s">
        <v>930</v>
      </c>
      <c r="P470" s="47" t="s">
        <v>930</v>
      </c>
      <c r="Q470" s="47"/>
      <c r="R470" s="47"/>
      <c r="S470" s="47"/>
      <c r="T470" s="47" t="s">
        <v>3799</v>
      </c>
      <c r="U470" s="47" t="s">
        <v>3800</v>
      </c>
      <c r="V470" s="47" t="s">
        <v>3495</v>
      </c>
      <c r="W470" s="47" t="s">
        <v>931</v>
      </c>
      <c r="X470" s="47" t="s">
        <v>995</v>
      </c>
      <c r="Y470" s="47" t="s">
        <v>402</v>
      </c>
      <c r="Z470" s="47" t="s">
        <v>3801</v>
      </c>
      <c r="AA470" s="47" t="s">
        <v>3802</v>
      </c>
      <c r="AB470" s="47" t="s">
        <v>3803</v>
      </c>
      <c r="AC470" s="47" t="s">
        <v>504</v>
      </c>
      <c r="AD470" s="47" t="s">
        <v>3777</v>
      </c>
      <c r="AE470" s="47" t="s">
        <v>937</v>
      </c>
      <c r="AF470" s="47" t="s">
        <v>3804</v>
      </c>
      <c r="AG470" s="47" t="s">
        <v>3805</v>
      </c>
      <c r="AH470" s="47" t="s">
        <v>364</v>
      </c>
      <c r="AI470" s="47" t="s">
        <v>931</v>
      </c>
      <c r="AJ470" s="47" t="s">
        <v>365</v>
      </c>
      <c r="AK470" s="47" t="s">
        <v>930</v>
      </c>
      <c r="AL470" s="47" t="s">
        <v>931</v>
      </c>
      <c r="AM470" s="47" t="s">
        <v>931</v>
      </c>
      <c r="AN470" s="37"/>
    </row>
    <row r="471" spans="1:40" hidden="1">
      <c r="A471" s="47" t="s">
        <v>982</v>
      </c>
      <c r="B471" s="47" t="s">
        <v>919</v>
      </c>
      <c r="C471" s="47" t="s">
        <v>3806</v>
      </c>
      <c r="D471" s="47">
        <f t="shared" si="14"/>
        <v>162257</v>
      </c>
      <c r="E471" s="47" t="s">
        <v>225</v>
      </c>
      <c r="F471" s="47" t="s">
        <v>226</v>
      </c>
      <c r="G471" s="47" t="s">
        <v>37</v>
      </c>
      <c r="H471" s="47" t="s">
        <v>969</v>
      </c>
      <c r="I471" s="47" t="s">
        <v>3769</v>
      </c>
      <c r="J471" s="47" t="s">
        <v>1024</v>
      </c>
      <c r="K471" s="47" t="s">
        <v>163</v>
      </c>
      <c r="L471" s="47" t="s">
        <v>3327</v>
      </c>
      <c r="M471" s="47" t="s">
        <v>3328</v>
      </c>
      <c r="N471" s="47" t="s">
        <v>946</v>
      </c>
      <c r="O471" s="47" t="s">
        <v>930</v>
      </c>
      <c r="P471" s="47" t="s">
        <v>930</v>
      </c>
      <c r="Q471" s="47"/>
      <c r="R471" s="47"/>
      <c r="S471" s="47"/>
      <c r="T471" s="47" t="s">
        <v>3807</v>
      </c>
      <c r="U471" s="47" t="s">
        <v>3808</v>
      </c>
      <c r="V471" s="47" t="s">
        <v>597</v>
      </c>
      <c r="W471" s="47" t="s">
        <v>931</v>
      </c>
      <c r="X471" s="47" t="s">
        <v>995</v>
      </c>
      <c r="Y471" s="47" t="s">
        <v>37</v>
      </c>
      <c r="Z471" s="47" t="s">
        <v>3809</v>
      </c>
      <c r="AA471" s="47" t="s">
        <v>3810</v>
      </c>
      <c r="AB471" s="47" t="s">
        <v>3811</v>
      </c>
      <c r="AC471" s="47" t="s">
        <v>504</v>
      </c>
      <c r="AD471" s="47" t="s">
        <v>3777</v>
      </c>
      <c r="AE471" s="47" t="s">
        <v>937</v>
      </c>
      <c r="AF471" s="47" t="s">
        <v>3812</v>
      </c>
      <c r="AG471" s="47" t="s">
        <v>931</v>
      </c>
      <c r="AH471" s="47" t="s">
        <v>364</v>
      </c>
      <c r="AI471" s="47" t="s">
        <v>931</v>
      </c>
      <c r="AJ471" s="47" t="s">
        <v>365</v>
      </c>
      <c r="AK471" s="47" t="s">
        <v>930</v>
      </c>
      <c r="AL471" s="47" t="s">
        <v>931</v>
      </c>
      <c r="AM471" s="47" t="s">
        <v>931</v>
      </c>
      <c r="AN471" s="37"/>
    </row>
    <row r="472" spans="1:40" hidden="1">
      <c r="A472" s="47" t="s">
        <v>982</v>
      </c>
      <c r="B472" s="47" t="s">
        <v>919</v>
      </c>
      <c r="C472" s="47" t="s">
        <v>3813</v>
      </c>
      <c r="D472" s="47">
        <f t="shared" si="14"/>
        <v>162267</v>
      </c>
      <c r="E472" s="47" t="s">
        <v>135</v>
      </c>
      <c r="F472" s="47" t="s">
        <v>355</v>
      </c>
      <c r="G472" s="47" t="s">
        <v>396</v>
      </c>
      <c r="H472" s="47" t="s">
        <v>924</v>
      </c>
      <c r="I472" s="47" t="s">
        <v>3658</v>
      </c>
      <c r="J472" s="47" t="s">
        <v>1024</v>
      </c>
      <c r="K472" s="47" t="s">
        <v>163</v>
      </c>
      <c r="L472" s="47" t="s">
        <v>1025</v>
      </c>
      <c r="M472" s="47" t="s">
        <v>1056</v>
      </c>
      <c r="N472" s="47" t="s">
        <v>946</v>
      </c>
      <c r="O472" s="47" t="s">
        <v>930</v>
      </c>
      <c r="P472" s="47" t="s">
        <v>930</v>
      </c>
      <c r="Q472" s="47"/>
      <c r="R472" s="47"/>
      <c r="S472" s="47"/>
      <c r="T472" s="47" t="s">
        <v>3814</v>
      </c>
      <c r="U472" s="47" t="s">
        <v>3815</v>
      </c>
      <c r="V472" s="47" t="s">
        <v>3816</v>
      </c>
      <c r="W472" s="47" t="s">
        <v>931</v>
      </c>
      <c r="X472" s="47" t="s">
        <v>932</v>
      </c>
      <c r="Y472" s="47" t="s">
        <v>396</v>
      </c>
      <c r="Z472" s="47" t="s">
        <v>1303</v>
      </c>
      <c r="AA472" s="47" t="s">
        <v>1304</v>
      </c>
      <c r="AB472" s="47" t="s">
        <v>931</v>
      </c>
      <c r="AC472" s="47" t="s">
        <v>990</v>
      </c>
      <c r="AD472" s="47" t="s">
        <v>3661</v>
      </c>
      <c r="AE472" s="47" t="s">
        <v>937</v>
      </c>
      <c r="AF472" s="47" t="s">
        <v>931</v>
      </c>
      <c r="AG472" s="47" t="s">
        <v>3817</v>
      </c>
      <c r="AH472" s="47" t="s">
        <v>364</v>
      </c>
      <c r="AI472" s="47" t="s">
        <v>931</v>
      </c>
      <c r="AJ472" s="47" t="s">
        <v>365</v>
      </c>
      <c r="AK472" s="47" t="s">
        <v>930</v>
      </c>
      <c r="AL472" s="47" t="s">
        <v>931</v>
      </c>
      <c r="AM472" s="47" t="s">
        <v>931</v>
      </c>
      <c r="AN472" s="37"/>
    </row>
    <row r="473" spans="1:40" hidden="1">
      <c r="A473" s="47" t="s">
        <v>982</v>
      </c>
      <c r="B473" s="47" t="s">
        <v>919</v>
      </c>
      <c r="C473" s="47" t="s">
        <v>3818</v>
      </c>
      <c r="D473" s="47">
        <f t="shared" si="14"/>
        <v>161468</v>
      </c>
      <c r="E473" s="47" t="s">
        <v>212</v>
      </c>
      <c r="F473" s="47" t="s">
        <v>213</v>
      </c>
      <c r="G473" s="47" t="s">
        <v>515</v>
      </c>
      <c r="H473" s="47" t="s">
        <v>1100</v>
      </c>
      <c r="I473" s="47" t="s">
        <v>3819</v>
      </c>
      <c r="J473" s="47" t="s">
        <v>944</v>
      </c>
      <c r="K473" s="47" t="s">
        <v>163</v>
      </c>
      <c r="L473" s="47" t="s">
        <v>3820</v>
      </c>
      <c r="M473" s="47" t="s">
        <v>3821</v>
      </c>
      <c r="N473" s="47" t="s">
        <v>946</v>
      </c>
      <c r="O473" s="47" t="s">
        <v>930</v>
      </c>
      <c r="P473" s="47" t="s">
        <v>930</v>
      </c>
      <c r="Q473" s="47"/>
      <c r="R473" s="47"/>
      <c r="S473" s="47"/>
      <c r="T473" s="47" t="s">
        <v>3822</v>
      </c>
      <c r="U473" s="47" t="s">
        <v>3823</v>
      </c>
      <c r="V473" s="47" t="s">
        <v>521</v>
      </c>
      <c r="W473" s="47" t="s">
        <v>931</v>
      </c>
      <c r="X473" s="47" t="s">
        <v>932</v>
      </c>
      <c r="Y473" s="47" t="s">
        <v>515</v>
      </c>
      <c r="Z473" s="47" t="s">
        <v>3824</v>
      </c>
      <c r="AA473" s="47" t="s">
        <v>3825</v>
      </c>
      <c r="AB473" s="47" t="s">
        <v>3826</v>
      </c>
      <c r="AC473" s="47" t="s">
        <v>515</v>
      </c>
      <c r="AD473" s="47" t="s">
        <v>3827</v>
      </c>
      <c r="AE473" s="47" t="s">
        <v>937</v>
      </c>
      <c r="AF473" s="47" t="s">
        <v>931</v>
      </c>
      <c r="AG473" s="47" t="s">
        <v>3828</v>
      </c>
      <c r="AH473" s="47" t="s">
        <v>364</v>
      </c>
      <c r="AI473" s="47" t="s">
        <v>931</v>
      </c>
      <c r="AJ473" s="47" t="s">
        <v>365</v>
      </c>
      <c r="AK473" s="47" t="s">
        <v>930</v>
      </c>
      <c r="AL473" s="47" t="s">
        <v>931</v>
      </c>
      <c r="AM473" s="47" t="s">
        <v>931</v>
      </c>
      <c r="AN473" s="37"/>
    </row>
    <row r="474" spans="1:40" hidden="1">
      <c r="A474" s="47" t="s">
        <v>982</v>
      </c>
      <c r="B474" s="47" t="s">
        <v>919</v>
      </c>
      <c r="C474" s="47" t="s">
        <v>3829</v>
      </c>
      <c r="D474" s="47">
        <f t="shared" si="14"/>
        <v>161471</v>
      </c>
      <c r="E474" s="47" t="s">
        <v>527</v>
      </c>
      <c r="F474" s="47" t="s">
        <v>528</v>
      </c>
      <c r="G474" s="47" t="s">
        <v>467</v>
      </c>
      <c r="H474" s="47" t="s">
        <v>1053</v>
      </c>
      <c r="I474" s="47" t="s">
        <v>3830</v>
      </c>
      <c r="J474" s="47" t="s">
        <v>944</v>
      </c>
      <c r="K474" s="47" t="s">
        <v>163</v>
      </c>
      <c r="L474" s="47" t="s">
        <v>1392</v>
      </c>
      <c r="M474" s="47" t="s">
        <v>1269</v>
      </c>
      <c r="N474" s="47" t="s">
        <v>1058</v>
      </c>
      <c r="O474" s="47" t="s">
        <v>930</v>
      </c>
      <c r="P474" s="47" t="s">
        <v>930</v>
      </c>
      <c r="Q474" s="47" t="str">
        <f>LEFT(T474,9)</f>
        <v xml:space="preserve"> Sáng T2:</v>
      </c>
      <c r="R474" s="47" t="s">
        <v>973</v>
      </c>
      <c r="S474" s="47" t="s">
        <v>1103</v>
      </c>
      <c r="T474" s="47" t="s">
        <v>3831</v>
      </c>
      <c r="U474" s="47" t="s">
        <v>3832</v>
      </c>
      <c r="V474" s="47" t="s">
        <v>25</v>
      </c>
      <c r="W474" s="47" t="s">
        <v>931</v>
      </c>
      <c r="X474" s="47" t="s">
        <v>995</v>
      </c>
      <c r="Y474" s="47" t="s">
        <v>467</v>
      </c>
      <c r="Z474" s="47" t="s">
        <v>3007</v>
      </c>
      <c r="AA474" s="47" t="s">
        <v>3008</v>
      </c>
      <c r="AB474" s="47" t="s">
        <v>931</v>
      </c>
      <c r="AC474" s="47" t="s">
        <v>438</v>
      </c>
      <c r="AD474" s="47" t="s">
        <v>3833</v>
      </c>
      <c r="AE474" s="47" t="s">
        <v>937</v>
      </c>
      <c r="AF474" s="47" t="s">
        <v>3834</v>
      </c>
      <c r="AG474" s="47" t="s">
        <v>3835</v>
      </c>
      <c r="AH474" s="47" t="s">
        <v>364</v>
      </c>
      <c r="AI474" s="47" t="s">
        <v>931</v>
      </c>
      <c r="AJ474" s="47" t="s">
        <v>365</v>
      </c>
      <c r="AK474" s="47" t="s">
        <v>930</v>
      </c>
      <c r="AL474" s="47" t="s">
        <v>931</v>
      </c>
      <c r="AM474" s="47" t="s">
        <v>931</v>
      </c>
      <c r="AN474" s="37"/>
    </row>
    <row r="475" spans="1:40" hidden="1">
      <c r="A475" s="47" t="s">
        <v>982</v>
      </c>
      <c r="B475" s="47" t="s">
        <v>919</v>
      </c>
      <c r="C475" s="47" t="s">
        <v>3836</v>
      </c>
      <c r="D475" s="47">
        <f t="shared" si="14"/>
        <v>161469</v>
      </c>
      <c r="E475" s="47" t="s">
        <v>524</v>
      </c>
      <c r="F475" s="47" t="s">
        <v>525</v>
      </c>
      <c r="G475" s="47" t="s">
        <v>398</v>
      </c>
      <c r="H475" s="47" t="s">
        <v>3837</v>
      </c>
      <c r="I475" s="47" t="s">
        <v>3838</v>
      </c>
      <c r="J475" s="47" t="s">
        <v>944</v>
      </c>
      <c r="K475" s="47" t="s">
        <v>163</v>
      </c>
      <c r="L475" s="47" t="s">
        <v>3839</v>
      </c>
      <c r="M475" s="47" t="s">
        <v>3377</v>
      </c>
      <c r="N475" s="47" t="s">
        <v>946</v>
      </c>
      <c r="O475" s="47" t="s">
        <v>930</v>
      </c>
      <c r="P475" s="47" t="s">
        <v>930</v>
      </c>
      <c r="Q475" s="47"/>
      <c r="R475" s="47"/>
      <c r="S475" s="47"/>
      <c r="T475" s="47" t="s">
        <v>3840</v>
      </c>
      <c r="U475" s="47" t="s">
        <v>3841</v>
      </c>
      <c r="V475" s="47" t="s">
        <v>378</v>
      </c>
      <c r="W475" s="47" t="s">
        <v>931</v>
      </c>
      <c r="X475" s="47" t="s">
        <v>932</v>
      </c>
      <c r="Y475" s="47" t="s">
        <v>398</v>
      </c>
      <c r="Z475" s="47" t="s">
        <v>1039</v>
      </c>
      <c r="AA475" s="47" t="s">
        <v>1040</v>
      </c>
      <c r="AB475" s="47" t="s">
        <v>931</v>
      </c>
      <c r="AC475" s="47" t="s">
        <v>438</v>
      </c>
      <c r="AD475" s="47" t="s">
        <v>3842</v>
      </c>
      <c r="AE475" s="47" t="s">
        <v>937</v>
      </c>
      <c r="AF475" s="47" t="s">
        <v>931</v>
      </c>
      <c r="AG475" s="47" t="s">
        <v>3843</v>
      </c>
      <c r="AH475" s="47" t="s">
        <v>364</v>
      </c>
      <c r="AI475" s="47" t="s">
        <v>931</v>
      </c>
      <c r="AJ475" s="47" t="s">
        <v>365</v>
      </c>
      <c r="AK475" s="47" t="s">
        <v>930</v>
      </c>
      <c r="AL475" s="47" t="s">
        <v>931</v>
      </c>
      <c r="AM475" s="47" t="s">
        <v>931</v>
      </c>
      <c r="AN475" s="37"/>
    </row>
    <row r="476" spans="1:40" hidden="1">
      <c r="A476" s="47" t="s">
        <v>982</v>
      </c>
      <c r="B476" s="47" t="s">
        <v>919</v>
      </c>
      <c r="C476" s="47" t="s">
        <v>3844</v>
      </c>
      <c r="D476" s="47">
        <f t="shared" si="14"/>
        <v>161470</v>
      </c>
      <c r="E476" s="47" t="s">
        <v>527</v>
      </c>
      <c r="F476" s="47" t="s">
        <v>528</v>
      </c>
      <c r="G476" s="47" t="s">
        <v>472</v>
      </c>
      <c r="H476" s="47" t="s">
        <v>1053</v>
      </c>
      <c r="I476" s="47" t="s">
        <v>3845</v>
      </c>
      <c r="J476" s="47" t="s">
        <v>944</v>
      </c>
      <c r="K476" s="47" t="s">
        <v>163</v>
      </c>
      <c r="L476" s="47" t="s">
        <v>1447</v>
      </c>
      <c r="M476" s="47" t="s">
        <v>1269</v>
      </c>
      <c r="N476" s="47" t="s">
        <v>1058</v>
      </c>
      <c r="O476" s="47" t="s">
        <v>930</v>
      </c>
      <c r="P476" s="47" t="s">
        <v>930</v>
      </c>
      <c r="Q476" s="47" t="str">
        <f>LEFT(T476,9)</f>
        <v xml:space="preserve"> Sáng T2:</v>
      </c>
      <c r="R476" s="47" t="s">
        <v>973</v>
      </c>
      <c r="S476" s="47" t="s">
        <v>1103</v>
      </c>
      <c r="T476" s="47" t="s">
        <v>3846</v>
      </c>
      <c r="U476" s="47" t="s">
        <v>3832</v>
      </c>
      <c r="V476" s="47" t="s">
        <v>24</v>
      </c>
      <c r="W476" s="47" t="s">
        <v>931</v>
      </c>
      <c r="X476" s="47" t="s">
        <v>932</v>
      </c>
      <c r="Y476" s="47" t="s">
        <v>472</v>
      </c>
      <c r="Z476" s="47" t="s">
        <v>1018</v>
      </c>
      <c r="AA476" s="47" t="s">
        <v>1019</v>
      </c>
      <c r="AB476" s="47" t="s">
        <v>931</v>
      </c>
      <c r="AC476" s="47" t="s">
        <v>438</v>
      </c>
      <c r="AD476" s="47" t="s">
        <v>3847</v>
      </c>
      <c r="AE476" s="47" t="s">
        <v>937</v>
      </c>
      <c r="AF476" s="47" t="s">
        <v>931</v>
      </c>
      <c r="AG476" s="47" t="s">
        <v>3848</v>
      </c>
      <c r="AH476" s="47" t="s">
        <v>364</v>
      </c>
      <c r="AI476" s="47" t="s">
        <v>931</v>
      </c>
      <c r="AJ476" s="47" t="s">
        <v>365</v>
      </c>
      <c r="AK476" s="47" t="s">
        <v>930</v>
      </c>
      <c r="AL476" s="47" t="s">
        <v>931</v>
      </c>
      <c r="AM476" s="47" t="s">
        <v>931</v>
      </c>
      <c r="AN476" s="37"/>
    </row>
    <row r="477" spans="1:40" hidden="1">
      <c r="A477" s="47" t="s">
        <v>982</v>
      </c>
      <c r="B477" s="47" t="s">
        <v>919</v>
      </c>
      <c r="C477" s="47" t="s">
        <v>3849</v>
      </c>
      <c r="D477" s="47">
        <f t="shared" si="14"/>
        <v>162322</v>
      </c>
      <c r="E477" s="47" t="s">
        <v>3850</v>
      </c>
      <c r="F477" s="47" t="s">
        <v>3851</v>
      </c>
      <c r="G477" s="47" t="s">
        <v>386</v>
      </c>
      <c r="H477" s="47" t="s">
        <v>969</v>
      </c>
      <c r="I477" s="47" t="s">
        <v>3852</v>
      </c>
      <c r="J477" s="47" t="s">
        <v>1024</v>
      </c>
      <c r="K477" s="47" t="s">
        <v>163</v>
      </c>
      <c r="L477" s="47" t="s">
        <v>2959</v>
      </c>
      <c r="M477" s="47" t="s">
        <v>2961</v>
      </c>
      <c r="N477" s="47" t="s">
        <v>946</v>
      </c>
      <c r="O477" s="47" t="s">
        <v>930</v>
      </c>
      <c r="P477" s="47" t="s">
        <v>930</v>
      </c>
      <c r="Q477" s="47"/>
      <c r="R477" s="47"/>
      <c r="S477" s="47"/>
      <c r="T477" s="47" t="s">
        <v>3853</v>
      </c>
      <c r="U477" s="47" t="s">
        <v>3854</v>
      </c>
      <c r="V477" s="47" t="s">
        <v>3855</v>
      </c>
      <c r="W477" s="47" t="s">
        <v>931</v>
      </c>
      <c r="X477" s="47" t="s">
        <v>932</v>
      </c>
      <c r="Y477" s="47" t="s">
        <v>386</v>
      </c>
      <c r="Z477" s="47" t="s">
        <v>1047</v>
      </c>
      <c r="AA477" s="47" t="s">
        <v>1048</v>
      </c>
      <c r="AB477" s="47" t="s">
        <v>931</v>
      </c>
      <c r="AC477" s="47" t="s">
        <v>414</v>
      </c>
      <c r="AD477" s="47" t="s">
        <v>3856</v>
      </c>
      <c r="AE477" s="47" t="s">
        <v>937</v>
      </c>
      <c r="AF477" s="47" t="s">
        <v>931</v>
      </c>
      <c r="AG477" s="47" t="s">
        <v>3857</v>
      </c>
      <c r="AH477" s="47" t="s">
        <v>1067</v>
      </c>
      <c r="AI477" s="47" t="s">
        <v>931</v>
      </c>
      <c r="AJ477" s="47" t="s">
        <v>365</v>
      </c>
      <c r="AK477" s="47" t="s">
        <v>930</v>
      </c>
      <c r="AL477" s="47" t="s">
        <v>931</v>
      </c>
      <c r="AM477" s="47" t="s">
        <v>931</v>
      </c>
      <c r="AN477" s="37"/>
    </row>
    <row r="478" spans="1:40" hidden="1">
      <c r="A478" s="47" t="s">
        <v>982</v>
      </c>
      <c r="B478" s="47" t="s">
        <v>919</v>
      </c>
      <c r="C478" s="47" t="s">
        <v>3858</v>
      </c>
      <c r="D478" s="47">
        <f t="shared" si="14"/>
        <v>162319</v>
      </c>
      <c r="E478" s="47" t="s">
        <v>295</v>
      </c>
      <c r="F478" s="47" t="s">
        <v>296</v>
      </c>
      <c r="G478" s="47" t="s">
        <v>3859</v>
      </c>
      <c r="H478" s="47" t="s">
        <v>1100</v>
      </c>
      <c r="I478" s="47" t="s">
        <v>3860</v>
      </c>
      <c r="J478" s="47" t="s">
        <v>1024</v>
      </c>
      <c r="K478" s="47" t="s">
        <v>163</v>
      </c>
      <c r="L478" s="47" t="s">
        <v>3407</v>
      </c>
      <c r="M478" s="47" t="s">
        <v>2753</v>
      </c>
      <c r="N478" s="47" t="s">
        <v>946</v>
      </c>
      <c r="O478" s="47" t="s">
        <v>930</v>
      </c>
      <c r="P478" s="47" t="s">
        <v>930</v>
      </c>
      <c r="Q478" s="47"/>
      <c r="R478" s="47"/>
      <c r="S478" s="47"/>
      <c r="T478" s="47" t="s">
        <v>3861</v>
      </c>
      <c r="U478" s="47" t="s">
        <v>3862</v>
      </c>
      <c r="V478" s="47" t="s">
        <v>425</v>
      </c>
      <c r="W478" s="47" t="s">
        <v>931</v>
      </c>
      <c r="X478" s="47" t="s">
        <v>995</v>
      </c>
      <c r="Y478" s="47" t="s">
        <v>3859</v>
      </c>
      <c r="Z478" s="47" t="s">
        <v>3863</v>
      </c>
      <c r="AA478" s="47" t="s">
        <v>3864</v>
      </c>
      <c r="AB478" s="47" t="s">
        <v>931</v>
      </c>
      <c r="AC478" s="47" t="s">
        <v>435</v>
      </c>
      <c r="AD478" s="47" t="s">
        <v>3865</v>
      </c>
      <c r="AE478" s="47" t="s">
        <v>1750</v>
      </c>
      <c r="AF478" s="47" t="s">
        <v>3866</v>
      </c>
      <c r="AG478" s="47" t="s">
        <v>3867</v>
      </c>
      <c r="AH478" s="47" t="s">
        <v>364</v>
      </c>
      <c r="AI478" s="47" t="s">
        <v>931</v>
      </c>
      <c r="AJ478" s="47" t="s">
        <v>365</v>
      </c>
      <c r="AK478" s="47" t="s">
        <v>930</v>
      </c>
      <c r="AL478" s="47" t="s">
        <v>931</v>
      </c>
      <c r="AM478" s="47" t="s">
        <v>931</v>
      </c>
      <c r="AN478" s="37"/>
    </row>
    <row r="479" spans="1:40" hidden="1">
      <c r="A479" s="47" t="s">
        <v>982</v>
      </c>
      <c r="B479" s="47" t="s">
        <v>919</v>
      </c>
      <c r="C479" s="47" t="s">
        <v>3868</v>
      </c>
      <c r="D479" s="47">
        <f t="shared" si="14"/>
        <v>162317</v>
      </c>
      <c r="E479" s="47" t="s">
        <v>71</v>
      </c>
      <c r="F479" s="47" t="s">
        <v>326</v>
      </c>
      <c r="G479" s="47" t="s">
        <v>368</v>
      </c>
      <c r="H479" s="47" t="s">
        <v>924</v>
      </c>
      <c r="I479" s="47" t="s">
        <v>3869</v>
      </c>
      <c r="J479" s="47" t="s">
        <v>1024</v>
      </c>
      <c r="K479" s="47" t="s">
        <v>163</v>
      </c>
      <c r="L479" s="47" t="s">
        <v>3619</v>
      </c>
      <c r="M479" s="47" t="s">
        <v>2711</v>
      </c>
      <c r="N479" s="47" t="s">
        <v>946</v>
      </c>
      <c r="O479" s="47" t="s">
        <v>930</v>
      </c>
      <c r="P479" s="47" t="s">
        <v>930</v>
      </c>
      <c r="Q479" s="47"/>
      <c r="R479" s="47"/>
      <c r="S479" s="47"/>
      <c r="T479" s="47" t="s">
        <v>3870</v>
      </c>
      <c r="U479" s="47" t="s">
        <v>3871</v>
      </c>
      <c r="V479" s="47" t="s">
        <v>3740</v>
      </c>
      <c r="W479" s="47" t="s">
        <v>931</v>
      </c>
      <c r="X479" s="47" t="s">
        <v>995</v>
      </c>
      <c r="Y479" s="47" t="s">
        <v>368</v>
      </c>
      <c r="Z479" s="47" t="s">
        <v>2243</v>
      </c>
      <c r="AA479" s="47" t="s">
        <v>2244</v>
      </c>
      <c r="AB479" s="47" t="s">
        <v>931</v>
      </c>
      <c r="AC479" s="47" t="s">
        <v>402</v>
      </c>
      <c r="AD479" s="47" t="s">
        <v>3872</v>
      </c>
      <c r="AE479" s="47" t="s">
        <v>937</v>
      </c>
      <c r="AF479" s="47" t="s">
        <v>931</v>
      </c>
      <c r="AG479" s="47" t="s">
        <v>3873</v>
      </c>
      <c r="AH479" s="47" t="s">
        <v>364</v>
      </c>
      <c r="AI479" s="47" t="s">
        <v>931</v>
      </c>
      <c r="AJ479" s="47" t="s">
        <v>365</v>
      </c>
      <c r="AK479" s="47" t="s">
        <v>930</v>
      </c>
      <c r="AL479" s="47" t="s">
        <v>931</v>
      </c>
      <c r="AM479" s="47" t="s">
        <v>931</v>
      </c>
      <c r="AN479" s="37"/>
    </row>
    <row r="480" spans="1:40" hidden="1">
      <c r="A480" s="47" t="s">
        <v>982</v>
      </c>
      <c r="B480" s="47" t="s">
        <v>919</v>
      </c>
      <c r="C480" s="47" t="s">
        <v>3874</v>
      </c>
      <c r="D480" s="47">
        <f t="shared" si="14"/>
        <v>162321</v>
      </c>
      <c r="E480" s="47" t="s">
        <v>136</v>
      </c>
      <c r="F480" s="47" t="s">
        <v>324</v>
      </c>
      <c r="G480" s="47" t="s">
        <v>3875</v>
      </c>
      <c r="H480" s="47" t="s">
        <v>1753</v>
      </c>
      <c r="I480" s="47" t="s">
        <v>3876</v>
      </c>
      <c r="J480" s="47" t="s">
        <v>1024</v>
      </c>
      <c r="K480" s="47" t="s">
        <v>163</v>
      </c>
      <c r="L480" s="47" t="s">
        <v>956</v>
      </c>
      <c r="M480" s="47" t="s">
        <v>1056</v>
      </c>
      <c r="N480" s="47" t="s">
        <v>946</v>
      </c>
      <c r="O480" s="47" t="s">
        <v>930</v>
      </c>
      <c r="P480" s="47" t="s">
        <v>930</v>
      </c>
      <c r="Q480" s="47"/>
      <c r="R480" s="47"/>
      <c r="S480" s="47"/>
      <c r="T480" s="47" t="s">
        <v>3877</v>
      </c>
      <c r="U480" s="47" t="s">
        <v>3878</v>
      </c>
      <c r="V480" s="47" t="s">
        <v>3879</v>
      </c>
      <c r="W480" s="47" t="s">
        <v>931</v>
      </c>
      <c r="X480" s="47" t="s">
        <v>995</v>
      </c>
      <c r="Y480" s="47" t="s">
        <v>3875</v>
      </c>
      <c r="Z480" s="47" t="s">
        <v>3880</v>
      </c>
      <c r="AA480" s="47" t="s">
        <v>3881</v>
      </c>
      <c r="AB480" s="47" t="s">
        <v>931</v>
      </c>
      <c r="AC480" s="47" t="s">
        <v>2072</v>
      </c>
      <c r="AD480" s="47" t="s">
        <v>3882</v>
      </c>
      <c r="AE480" s="47" t="s">
        <v>937</v>
      </c>
      <c r="AF480" s="47" t="s">
        <v>931</v>
      </c>
      <c r="AG480" s="47" t="s">
        <v>931</v>
      </c>
      <c r="AH480" s="47" t="s">
        <v>364</v>
      </c>
      <c r="AI480" s="47" t="s">
        <v>931</v>
      </c>
      <c r="AJ480" s="47" t="s">
        <v>365</v>
      </c>
      <c r="AK480" s="47" t="s">
        <v>930</v>
      </c>
      <c r="AL480" s="47" t="s">
        <v>931</v>
      </c>
      <c r="AM480" s="47" t="s">
        <v>931</v>
      </c>
      <c r="AN480" s="37"/>
    </row>
    <row r="481" spans="1:40" hidden="1">
      <c r="A481" s="47" t="s">
        <v>982</v>
      </c>
      <c r="B481" s="47" t="s">
        <v>919</v>
      </c>
      <c r="C481" s="47" t="s">
        <v>3883</v>
      </c>
      <c r="D481" s="47">
        <f t="shared" si="14"/>
        <v>162312</v>
      </c>
      <c r="E481" s="47" t="s">
        <v>330</v>
      </c>
      <c r="F481" s="47" t="s">
        <v>331</v>
      </c>
      <c r="G481" s="47" t="s">
        <v>37</v>
      </c>
      <c r="H481" s="47" t="s">
        <v>924</v>
      </c>
      <c r="I481" s="47" t="s">
        <v>3884</v>
      </c>
      <c r="J481" s="47" t="s">
        <v>1024</v>
      </c>
      <c r="K481" s="47" t="s">
        <v>163</v>
      </c>
      <c r="L481" s="47" t="s">
        <v>3553</v>
      </c>
      <c r="M481" s="47" t="s">
        <v>2753</v>
      </c>
      <c r="N481" s="47" t="s">
        <v>946</v>
      </c>
      <c r="O481" s="47" t="s">
        <v>930</v>
      </c>
      <c r="P481" s="47" t="s">
        <v>930</v>
      </c>
      <c r="Q481" s="47"/>
      <c r="R481" s="47"/>
      <c r="S481" s="47"/>
      <c r="T481" s="47" t="s">
        <v>3885</v>
      </c>
      <c r="U481" s="47" t="s">
        <v>3886</v>
      </c>
      <c r="V481" s="47" t="s">
        <v>3298</v>
      </c>
      <c r="W481" s="47" t="s">
        <v>931</v>
      </c>
      <c r="X481" s="47" t="s">
        <v>995</v>
      </c>
      <c r="Y481" s="47" t="s">
        <v>37</v>
      </c>
      <c r="Z481" s="47" t="s">
        <v>3809</v>
      </c>
      <c r="AA481" s="47" t="s">
        <v>3810</v>
      </c>
      <c r="AB481" s="47" t="s">
        <v>931</v>
      </c>
      <c r="AC481" s="47" t="s">
        <v>37</v>
      </c>
      <c r="AD481" s="47" t="s">
        <v>3887</v>
      </c>
      <c r="AE481" s="47" t="s">
        <v>937</v>
      </c>
      <c r="AF481" s="47" t="s">
        <v>931</v>
      </c>
      <c r="AG481" s="47" t="s">
        <v>931</v>
      </c>
      <c r="AH481" s="47" t="s">
        <v>364</v>
      </c>
      <c r="AI481" s="47" t="s">
        <v>931</v>
      </c>
      <c r="AJ481" s="47" t="s">
        <v>365</v>
      </c>
      <c r="AK481" s="47" t="s">
        <v>930</v>
      </c>
      <c r="AL481" s="47" t="s">
        <v>931</v>
      </c>
      <c r="AM481" s="47" t="s">
        <v>931</v>
      </c>
      <c r="AN481" s="37"/>
    </row>
    <row r="482" spans="1:40" hidden="1">
      <c r="A482" s="47" t="s">
        <v>982</v>
      </c>
      <c r="B482" s="47" t="s">
        <v>919</v>
      </c>
      <c r="C482" s="47" t="s">
        <v>3888</v>
      </c>
      <c r="D482" s="47">
        <f t="shared" si="14"/>
        <v>161417</v>
      </c>
      <c r="E482" s="47" t="s">
        <v>505</v>
      </c>
      <c r="F482" s="47" t="s">
        <v>506</v>
      </c>
      <c r="G482" s="47" t="s">
        <v>507</v>
      </c>
      <c r="H482" s="47" t="s">
        <v>1053</v>
      </c>
      <c r="I482" s="47" t="s">
        <v>3761</v>
      </c>
      <c r="J482" s="47" t="s">
        <v>944</v>
      </c>
      <c r="K482" s="47" t="s">
        <v>163</v>
      </c>
      <c r="L482" s="47" t="s">
        <v>1056</v>
      </c>
      <c r="M482" s="47" t="s">
        <v>1056</v>
      </c>
      <c r="N482" s="47" t="s">
        <v>1058</v>
      </c>
      <c r="O482" s="47" t="s">
        <v>930</v>
      </c>
      <c r="P482" s="47" t="s">
        <v>930</v>
      </c>
      <c r="Q482" s="47" t="str">
        <f>LEFT(T482,9)</f>
        <v xml:space="preserve"> Chiều T6</v>
      </c>
      <c r="R482" s="47" t="s">
        <v>973</v>
      </c>
      <c r="S482" s="47" t="s">
        <v>1140</v>
      </c>
      <c r="T482" s="47" t="s">
        <v>3889</v>
      </c>
      <c r="U482" s="47" t="s">
        <v>3890</v>
      </c>
      <c r="V482" s="47" t="s">
        <v>26</v>
      </c>
      <c r="W482" s="47" t="s">
        <v>931</v>
      </c>
      <c r="X482" s="47" t="s">
        <v>995</v>
      </c>
      <c r="Y482" s="47" t="s">
        <v>507</v>
      </c>
      <c r="Z482" s="47" t="s">
        <v>3891</v>
      </c>
      <c r="AA482" s="47" t="s">
        <v>3892</v>
      </c>
      <c r="AB482" s="47" t="s">
        <v>931</v>
      </c>
      <c r="AC482" s="47" t="s">
        <v>504</v>
      </c>
      <c r="AD482" s="47" t="s">
        <v>3767</v>
      </c>
      <c r="AE482" s="47" t="s">
        <v>937</v>
      </c>
      <c r="AF482" s="47" t="s">
        <v>931</v>
      </c>
      <c r="AG482" s="47" t="s">
        <v>931</v>
      </c>
      <c r="AH482" s="47" t="s">
        <v>364</v>
      </c>
      <c r="AI482" s="47" t="s">
        <v>931</v>
      </c>
      <c r="AJ482" s="47" t="s">
        <v>365</v>
      </c>
      <c r="AK482" s="47" t="s">
        <v>930</v>
      </c>
      <c r="AL482" s="47" t="s">
        <v>931</v>
      </c>
      <c r="AM482" s="47" t="s">
        <v>931</v>
      </c>
      <c r="AN482" s="37"/>
    </row>
    <row r="483" spans="1:40" hidden="1">
      <c r="A483" s="47" t="s">
        <v>982</v>
      </c>
      <c r="B483" s="47" t="s">
        <v>919</v>
      </c>
      <c r="C483" s="47" t="s">
        <v>3893</v>
      </c>
      <c r="D483" s="47">
        <f t="shared" si="14"/>
        <v>162315</v>
      </c>
      <c r="E483" s="47" t="s">
        <v>344</v>
      </c>
      <c r="F483" s="47" t="s">
        <v>345</v>
      </c>
      <c r="G483" s="47" t="s">
        <v>396</v>
      </c>
      <c r="H483" s="47" t="s">
        <v>969</v>
      </c>
      <c r="I483" s="47" t="s">
        <v>3894</v>
      </c>
      <c r="J483" s="47" t="s">
        <v>1024</v>
      </c>
      <c r="K483" s="47" t="s">
        <v>163</v>
      </c>
      <c r="L483" s="47" t="s">
        <v>3895</v>
      </c>
      <c r="M483" s="47" t="s">
        <v>3377</v>
      </c>
      <c r="N483" s="47" t="s">
        <v>946</v>
      </c>
      <c r="O483" s="47" t="s">
        <v>930</v>
      </c>
      <c r="P483" s="47" t="s">
        <v>930</v>
      </c>
      <c r="Q483" s="47"/>
      <c r="R483" s="47"/>
      <c r="S483" s="47"/>
      <c r="T483" s="47" t="s">
        <v>3896</v>
      </c>
      <c r="U483" s="47" t="s">
        <v>3897</v>
      </c>
      <c r="V483" s="47" t="s">
        <v>3380</v>
      </c>
      <c r="W483" s="47" t="s">
        <v>931</v>
      </c>
      <c r="X483" s="47" t="s">
        <v>932</v>
      </c>
      <c r="Y483" s="47" t="s">
        <v>396</v>
      </c>
      <c r="Z483" s="47" t="s">
        <v>1303</v>
      </c>
      <c r="AA483" s="47" t="s">
        <v>1304</v>
      </c>
      <c r="AB483" s="47" t="s">
        <v>3898</v>
      </c>
      <c r="AC483" s="47" t="s">
        <v>990</v>
      </c>
      <c r="AD483" s="47" t="s">
        <v>3899</v>
      </c>
      <c r="AE483" s="47" t="s">
        <v>937</v>
      </c>
      <c r="AF483" s="47" t="s">
        <v>931</v>
      </c>
      <c r="AG483" s="47" t="s">
        <v>3900</v>
      </c>
      <c r="AH483" s="47" t="s">
        <v>364</v>
      </c>
      <c r="AI483" s="47" t="s">
        <v>931</v>
      </c>
      <c r="AJ483" s="47" t="s">
        <v>365</v>
      </c>
      <c r="AK483" s="47" t="s">
        <v>930</v>
      </c>
      <c r="AL483" s="47" t="s">
        <v>931</v>
      </c>
      <c r="AM483" s="47" t="s">
        <v>931</v>
      </c>
      <c r="AN483" s="37"/>
    </row>
    <row r="484" spans="1:40" hidden="1">
      <c r="A484" s="47" t="s">
        <v>982</v>
      </c>
      <c r="B484" s="47" t="s">
        <v>919</v>
      </c>
      <c r="C484" s="47" t="s">
        <v>3901</v>
      </c>
      <c r="D484" s="47">
        <f t="shared" si="14"/>
        <v>161415</v>
      </c>
      <c r="E484" s="47" t="s">
        <v>501</v>
      </c>
      <c r="F484" s="47" t="s">
        <v>502</v>
      </c>
      <c r="G484" s="47" t="s">
        <v>402</v>
      </c>
      <c r="H484" s="47" t="s">
        <v>924</v>
      </c>
      <c r="I484" s="47" t="s">
        <v>3902</v>
      </c>
      <c r="J484" s="47" t="s">
        <v>944</v>
      </c>
      <c r="K484" s="47" t="s">
        <v>163</v>
      </c>
      <c r="L484" s="47" t="s">
        <v>2719</v>
      </c>
      <c r="M484" s="47" t="s">
        <v>2719</v>
      </c>
      <c r="N484" s="47" t="s">
        <v>946</v>
      </c>
      <c r="O484" s="47" t="s">
        <v>930</v>
      </c>
      <c r="P484" s="47" t="s">
        <v>930</v>
      </c>
      <c r="Q484" s="47"/>
      <c r="R484" s="47"/>
      <c r="S484" s="47"/>
      <c r="T484" s="47" t="s">
        <v>3903</v>
      </c>
      <c r="U484" s="47" t="s">
        <v>3904</v>
      </c>
      <c r="V484" s="47" t="s">
        <v>403</v>
      </c>
      <c r="W484" s="47" t="s">
        <v>931</v>
      </c>
      <c r="X484" s="47" t="s">
        <v>995</v>
      </c>
      <c r="Y484" s="47" t="s">
        <v>402</v>
      </c>
      <c r="Z484" s="47" t="s">
        <v>3801</v>
      </c>
      <c r="AA484" s="47" t="s">
        <v>3802</v>
      </c>
      <c r="AB484" s="47" t="s">
        <v>931</v>
      </c>
      <c r="AC484" s="47" t="s">
        <v>504</v>
      </c>
      <c r="AD484" s="47" t="s">
        <v>3905</v>
      </c>
      <c r="AE484" s="47" t="s">
        <v>937</v>
      </c>
      <c r="AF484" s="47" t="s">
        <v>3906</v>
      </c>
      <c r="AG484" s="47" t="s">
        <v>3907</v>
      </c>
      <c r="AH484" s="47" t="s">
        <v>364</v>
      </c>
      <c r="AI484" s="47" t="s">
        <v>931</v>
      </c>
      <c r="AJ484" s="47" t="s">
        <v>365</v>
      </c>
      <c r="AK484" s="47" t="s">
        <v>930</v>
      </c>
      <c r="AL484" s="47" t="s">
        <v>931</v>
      </c>
      <c r="AM484" s="47" t="s">
        <v>931</v>
      </c>
      <c r="AN484" s="37"/>
    </row>
    <row r="485" spans="1:40" hidden="1">
      <c r="A485" s="47" t="s">
        <v>982</v>
      </c>
      <c r="B485" s="47" t="s">
        <v>919</v>
      </c>
      <c r="C485" s="47" t="s">
        <v>3908</v>
      </c>
      <c r="D485" s="47">
        <f t="shared" si="14"/>
        <v>162300</v>
      </c>
      <c r="E485" s="47" t="s">
        <v>3240</v>
      </c>
      <c r="F485" s="47" t="s">
        <v>3241</v>
      </c>
      <c r="G485" s="47" t="s">
        <v>3909</v>
      </c>
      <c r="H485" s="47" t="s">
        <v>969</v>
      </c>
      <c r="I485" s="47" t="s">
        <v>3209</v>
      </c>
      <c r="J485" s="47" t="s">
        <v>1024</v>
      </c>
      <c r="K485" s="47" t="s">
        <v>163</v>
      </c>
      <c r="L485" s="47" t="s">
        <v>1197</v>
      </c>
      <c r="M485" s="47" t="s">
        <v>2719</v>
      </c>
      <c r="N485" s="47" t="s">
        <v>946</v>
      </c>
      <c r="O485" s="47" t="s">
        <v>930</v>
      </c>
      <c r="P485" s="47" t="s">
        <v>930</v>
      </c>
      <c r="Q485" s="47"/>
      <c r="R485" s="47"/>
      <c r="S485" s="47"/>
      <c r="T485" s="47" t="s">
        <v>3910</v>
      </c>
      <c r="U485" s="47" t="s">
        <v>3911</v>
      </c>
      <c r="V485" s="47" t="s">
        <v>3212</v>
      </c>
      <c r="W485" s="47" t="s">
        <v>931</v>
      </c>
      <c r="X485" s="47" t="s">
        <v>932</v>
      </c>
      <c r="Y485" s="47" t="s">
        <v>3909</v>
      </c>
      <c r="Z485" s="47" t="s">
        <v>3912</v>
      </c>
      <c r="AA485" s="47" t="s">
        <v>3913</v>
      </c>
      <c r="AB485" s="47" t="s">
        <v>3914</v>
      </c>
      <c r="AC485" s="47" t="s">
        <v>437</v>
      </c>
      <c r="AD485" s="47" t="s">
        <v>3215</v>
      </c>
      <c r="AE485" s="47" t="s">
        <v>937</v>
      </c>
      <c r="AF485" s="47" t="s">
        <v>3915</v>
      </c>
      <c r="AG485" s="47" t="s">
        <v>3915</v>
      </c>
      <c r="AH485" s="47" t="s">
        <v>1067</v>
      </c>
      <c r="AI485" s="47" t="s">
        <v>931</v>
      </c>
      <c r="AJ485" s="47" t="s">
        <v>365</v>
      </c>
      <c r="AK485" s="47" t="s">
        <v>930</v>
      </c>
      <c r="AL485" s="47" t="s">
        <v>931</v>
      </c>
      <c r="AM485" s="47" t="s">
        <v>931</v>
      </c>
      <c r="AN485" s="37"/>
    </row>
    <row r="486" spans="1:40" hidden="1">
      <c r="A486" s="47" t="s">
        <v>982</v>
      </c>
      <c r="B486" s="47" t="s">
        <v>919</v>
      </c>
      <c r="C486" s="47" t="s">
        <v>3916</v>
      </c>
      <c r="D486" s="47">
        <f t="shared" si="14"/>
        <v>162311</v>
      </c>
      <c r="E486" s="47" t="s">
        <v>330</v>
      </c>
      <c r="F486" s="47" t="s">
        <v>331</v>
      </c>
      <c r="G486" s="47" t="s">
        <v>3917</v>
      </c>
      <c r="H486" s="47" t="s">
        <v>924</v>
      </c>
      <c r="I486" s="47" t="s">
        <v>3884</v>
      </c>
      <c r="J486" s="47" t="s">
        <v>1024</v>
      </c>
      <c r="K486" s="47" t="s">
        <v>163</v>
      </c>
      <c r="L486" s="47" t="s">
        <v>3918</v>
      </c>
      <c r="M486" s="47" t="s">
        <v>2753</v>
      </c>
      <c r="N486" s="47" t="s">
        <v>946</v>
      </c>
      <c r="O486" s="47" t="s">
        <v>930</v>
      </c>
      <c r="P486" s="47" t="s">
        <v>930</v>
      </c>
      <c r="Q486" s="47"/>
      <c r="R486" s="47"/>
      <c r="S486" s="47"/>
      <c r="T486" s="47" t="s">
        <v>3919</v>
      </c>
      <c r="U486" s="47" t="s">
        <v>3920</v>
      </c>
      <c r="V486" s="47" t="s">
        <v>3740</v>
      </c>
      <c r="W486" s="47" t="s">
        <v>931</v>
      </c>
      <c r="X486" s="47" t="s">
        <v>995</v>
      </c>
      <c r="Y486" s="47" t="s">
        <v>3917</v>
      </c>
      <c r="Z486" s="47" t="s">
        <v>3921</v>
      </c>
      <c r="AA486" s="47" t="s">
        <v>3922</v>
      </c>
      <c r="AB486" s="47" t="s">
        <v>931</v>
      </c>
      <c r="AC486" s="47" t="s">
        <v>37</v>
      </c>
      <c r="AD486" s="47" t="s">
        <v>3887</v>
      </c>
      <c r="AE486" s="47" t="s">
        <v>937</v>
      </c>
      <c r="AF486" s="47" t="s">
        <v>931</v>
      </c>
      <c r="AG486" s="47" t="s">
        <v>931</v>
      </c>
      <c r="AH486" s="47" t="s">
        <v>364</v>
      </c>
      <c r="AI486" s="47" t="s">
        <v>931</v>
      </c>
      <c r="AJ486" s="47" t="s">
        <v>365</v>
      </c>
      <c r="AK486" s="47" t="s">
        <v>930</v>
      </c>
      <c r="AL486" s="47" t="s">
        <v>931</v>
      </c>
      <c r="AM486" s="47" t="s">
        <v>931</v>
      </c>
      <c r="AN486" s="37"/>
    </row>
    <row r="487" spans="1:40" hidden="1">
      <c r="A487" s="47" t="s">
        <v>982</v>
      </c>
      <c r="B487" s="47" t="s">
        <v>919</v>
      </c>
      <c r="C487" s="47" t="s">
        <v>3923</v>
      </c>
      <c r="D487" s="47">
        <f t="shared" si="14"/>
        <v>162305</v>
      </c>
      <c r="E487" s="47" t="s">
        <v>311</v>
      </c>
      <c r="F487" s="47" t="s">
        <v>312</v>
      </c>
      <c r="G487" s="47" t="s">
        <v>3110</v>
      </c>
      <c r="H487" s="47" t="s">
        <v>1287</v>
      </c>
      <c r="I487" s="47" t="s">
        <v>3924</v>
      </c>
      <c r="J487" s="47" t="s">
        <v>1024</v>
      </c>
      <c r="K487" s="47" t="s">
        <v>163</v>
      </c>
      <c r="L487" s="47" t="s">
        <v>2959</v>
      </c>
      <c r="M487" s="47" t="s">
        <v>2725</v>
      </c>
      <c r="N487" s="47" t="s">
        <v>946</v>
      </c>
      <c r="O487" s="47" t="s">
        <v>930</v>
      </c>
      <c r="P487" s="47" t="s">
        <v>930</v>
      </c>
      <c r="Q487" s="47"/>
      <c r="R487" s="47"/>
      <c r="S487" s="47"/>
      <c r="T487" s="47" t="s">
        <v>3925</v>
      </c>
      <c r="U487" s="47" t="s">
        <v>3926</v>
      </c>
      <c r="V487" s="47" t="s">
        <v>3855</v>
      </c>
      <c r="W487" s="47" t="s">
        <v>931</v>
      </c>
      <c r="X487" s="47" t="s">
        <v>932</v>
      </c>
      <c r="Y487" s="47" t="s">
        <v>3110</v>
      </c>
      <c r="Z487" s="47" t="s">
        <v>3113</v>
      </c>
      <c r="AA487" s="47" t="s">
        <v>3114</v>
      </c>
      <c r="AB487" s="47" t="s">
        <v>931</v>
      </c>
      <c r="AC487" s="47" t="s">
        <v>3110</v>
      </c>
      <c r="AD487" s="47" t="s">
        <v>3927</v>
      </c>
      <c r="AE487" s="47" t="s">
        <v>937</v>
      </c>
      <c r="AF487" s="47" t="s">
        <v>931</v>
      </c>
      <c r="AG487" s="47" t="s">
        <v>3928</v>
      </c>
      <c r="AH487" s="47" t="s">
        <v>364</v>
      </c>
      <c r="AI487" s="47" t="s">
        <v>931</v>
      </c>
      <c r="AJ487" s="47" t="s">
        <v>365</v>
      </c>
      <c r="AK487" s="47" t="s">
        <v>930</v>
      </c>
      <c r="AL487" s="47" t="s">
        <v>931</v>
      </c>
      <c r="AM487" s="47" t="s">
        <v>931</v>
      </c>
      <c r="AN487" s="37"/>
    </row>
    <row r="488" spans="1:40" hidden="1">
      <c r="A488" s="47" t="s">
        <v>982</v>
      </c>
      <c r="B488" s="47" t="s">
        <v>919</v>
      </c>
      <c r="C488" s="47" t="s">
        <v>3929</v>
      </c>
      <c r="D488" s="47">
        <f t="shared" si="14"/>
        <v>162304</v>
      </c>
      <c r="E488" s="47" t="s">
        <v>336</v>
      </c>
      <c r="F488" s="47" t="s">
        <v>337</v>
      </c>
      <c r="G488" s="47" t="s">
        <v>3930</v>
      </c>
      <c r="H488" s="47" t="s">
        <v>1287</v>
      </c>
      <c r="I488" s="47" t="s">
        <v>3931</v>
      </c>
      <c r="J488" s="47" t="s">
        <v>1024</v>
      </c>
      <c r="K488" s="47" t="s">
        <v>163</v>
      </c>
      <c r="L488" s="47" t="s">
        <v>3250</v>
      </c>
      <c r="M488" s="47" t="s">
        <v>2725</v>
      </c>
      <c r="N488" s="47" t="s">
        <v>946</v>
      </c>
      <c r="O488" s="47" t="s">
        <v>930</v>
      </c>
      <c r="P488" s="47" t="s">
        <v>930</v>
      </c>
      <c r="Q488" s="47"/>
      <c r="R488" s="47"/>
      <c r="S488" s="47"/>
      <c r="T488" s="47" t="s">
        <v>3932</v>
      </c>
      <c r="U488" s="47" t="s">
        <v>3933</v>
      </c>
      <c r="V488" s="47" t="s">
        <v>3934</v>
      </c>
      <c r="W488" s="47" t="s">
        <v>931</v>
      </c>
      <c r="X488" s="47" t="s">
        <v>932</v>
      </c>
      <c r="Y488" s="47" t="s">
        <v>3930</v>
      </c>
      <c r="Z488" s="47" t="s">
        <v>3935</v>
      </c>
      <c r="AA488" s="47" t="s">
        <v>3936</v>
      </c>
      <c r="AB488" s="47" t="s">
        <v>931</v>
      </c>
      <c r="AC488" s="47" t="s">
        <v>3937</v>
      </c>
      <c r="AD488" s="47" t="s">
        <v>3938</v>
      </c>
      <c r="AE488" s="47" t="s">
        <v>937</v>
      </c>
      <c r="AF488" s="47" t="s">
        <v>931</v>
      </c>
      <c r="AG488" s="47" t="s">
        <v>3939</v>
      </c>
      <c r="AH488" s="47" t="s">
        <v>364</v>
      </c>
      <c r="AI488" s="47" t="s">
        <v>931</v>
      </c>
      <c r="AJ488" s="47" t="s">
        <v>365</v>
      </c>
      <c r="AK488" s="47" t="s">
        <v>930</v>
      </c>
      <c r="AL488" s="47" t="s">
        <v>931</v>
      </c>
      <c r="AM488" s="47" t="s">
        <v>931</v>
      </c>
      <c r="AN488" s="37"/>
    </row>
    <row r="489" spans="1:40" hidden="1">
      <c r="A489" s="47" t="s">
        <v>982</v>
      </c>
      <c r="B489" s="47" t="s">
        <v>919</v>
      </c>
      <c r="C489" s="47" t="s">
        <v>3940</v>
      </c>
      <c r="D489" s="47">
        <f t="shared" si="14"/>
        <v>161472</v>
      </c>
      <c r="E489" s="47" t="s">
        <v>527</v>
      </c>
      <c r="F489" s="47" t="s">
        <v>528</v>
      </c>
      <c r="G489" s="47" t="s">
        <v>534</v>
      </c>
      <c r="H489" s="47" t="s">
        <v>1053</v>
      </c>
      <c r="I489" s="47" t="s">
        <v>3941</v>
      </c>
      <c r="J489" s="47" t="s">
        <v>944</v>
      </c>
      <c r="K489" s="47" t="s">
        <v>163</v>
      </c>
      <c r="L489" s="47" t="s">
        <v>1392</v>
      </c>
      <c r="M489" s="47" t="s">
        <v>1269</v>
      </c>
      <c r="N489" s="47" t="s">
        <v>1058</v>
      </c>
      <c r="O489" s="47" t="s">
        <v>930</v>
      </c>
      <c r="P489" s="47" t="s">
        <v>930</v>
      </c>
      <c r="Q489" s="47" t="str">
        <f>LEFT(T489,9)</f>
        <v xml:space="preserve"> Sáng T6:</v>
      </c>
      <c r="R489" s="47" t="s">
        <v>973</v>
      </c>
      <c r="S489" s="47" t="s">
        <v>1140</v>
      </c>
      <c r="T489" s="47" t="s">
        <v>3942</v>
      </c>
      <c r="U489" s="47" t="s">
        <v>3943</v>
      </c>
      <c r="V489" s="47" t="s">
        <v>23</v>
      </c>
      <c r="W489" s="47" t="s">
        <v>931</v>
      </c>
      <c r="X489" s="47" t="s">
        <v>932</v>
      </c>
      <c r="Y489" s="47" t="s">
        <v>534</v>
      </c>
      <c r="Z489" s="47" t="s">
        <v>3944</v>
      </c>
      <c r="AA489" s="47" t="s">
        <v>3945</v>
      </c>
      <c r="AB489" s="47" t="s">
        <v>931</v>
      </c>
      <c r="AC489" s="47" t="s">
        <v>438</v>
      </c>
      <c r="AD489" s="47" t="s">
        <v>3946</v>
      </c>
      <c r="AE489" s="47" t="s">
        <v>937</v>
      </c>
      <c r="AF489" s="47" t="s">
        <v>931</v>
      </c>
      <c r="AG489" s="47" t="s">
        <v>931</v>
      </c>
      <c r="AH489" s="47" t="s">
        <v>364</v>
      </c>
      <c r="AI489" s="47" t="s">
        <v>931</v>
      </c>
      <c r="AJ489" s="47" t="s">
        <v>365</v>
      </c>
      <c r="AK489" s="47" t="s">
        <v>930</v>
      </c>
      <c r="AL489" s="47" t="s">
        <v>931</v>
      </c>
      <c r="AM489" s="47" t="s">
        <v>931</v>
      </c>
      <c r="AN489" s="37"/>
    </row>
    <row r="490" spans="1:40" hidden="1">
      <c r="A490" s="47" t="s">
        <v>982</v>
      </c>
      <c r="B490" s="47" t="s">
        <v>919</v>
      </c>
      <c r="C490" s="47" t="s">
        <v>3947</v>
      </c>
      <c r="D490" s="47">
        <f t="shared" si="14"/>
        <v>161412</v>
      </c>
      <c r="E490" s="47" t="s">
        <v>494</v>
      </c>
      <c r="F490" s="47" t="s">
        <v>495</v>
      </c>
      <c r="G490" s="47" t="s">
        <v>438</v>
      </c>
      <c r="H490" s="47" t="s">
        <v>969</v>
      </c>
      <c r="I490" s="47" t="s">
        <v>3948</v>
      </c>
      <c r="J490" s="47" t="s">
        <v>944</v>
      </c>
      <c r="K490" s="47" t="s">
        <v>163</v>
      </c>
      <c r="L490" s="47" t="s">
        <v>3949</v>
      </c>
      <c r="M490" s="47" t="s">
        <v>2719</v>
      </c>
      <c r="N490" s="47" t="s">
        <v>946</v>
      </c>
      <c r="O490" s="47" t="s">
        <v>930</v>
      </c>
      <c r="P490" s="47" t="s">
        <v>930</v>
      </c>
      <c r="Q490" s="47"/>
      <c r="R490" s="47"/>
      <c r="S490" s="47"/>
      <c r="T490" s="47" t="s">
        <v>3950</v>
      </c>
      <c r="U490" s="47" t="s">
        <v>3951</v>
      </c>
      <c r="V490" s="47" t="s">
        <v>498</v>
      </c>
      <c r="W490" s="47" t="s">
        <v>931</v>
      </c>
      <c r="X490" s="47" t="s">
        <v>932</v>
      </c>
      <c r="Y490" s="47" t="s">
        <v>438</v>
      </c>
      <c r="Z490" s="47" t="s">
        <v>3765</v>
      </c>
      <c r="AA490" s="47" t="s">
        <v>3766</v>
      </c>
      <c r="AB490" s="47" t="s">
        <v>931</v>
      </c>
      <c r="AC490" s="47" t="s">
        <v>437</v>
      </c>
      <c r="AD490" s="47" t="s">
        <v>3952</v>
      </c>
      <c r="AE490" s="47" t="s">
        <v>937</v>
      </c>
      <c r="AF490" s="47" t="s">
        <v>931</v>
      </c>
      <c r="AG490" s="47" t="s">
        <v>931</v>
      </c>
      <c r="AH490" s="47" t="s">
        <v>364</v>
      </c>
      <c r="AI490" s="47" t="s">
        <v>931</v>
      </c>
      <c r="AJ490" s="47" t="s">
        <v>365</v>
      </c>
      <c r="AK490" s="47" t="s">
        <v>930</v>
      </c>
      <c r="AL490" s="47" t="s">
        <v>931</v>
      </c>
      <c r="AM490" s="47" t="s">
        <v>931</v>
      </c>
      <c r="AN490" s="37"/>
    </row>
    <row r="491" spans="1:40" hidden="1">
      <c r="A491" s="47" t="s">
        <v>982</v>
      </c>
      <c r="B491" s="47" t="s">
        <v>919</v>
      </c>
      <c r="C491" s="47" t="s">
        <v>3953</v>
      </c>
      <c r="D491" s="47">
        <f t="shared" si="14"/>
        <v>162310</v>
      </c>
      <c r="E491" s="47" t="s">
        <v>3954</v>
      </c>
      <c r="F491" s="47" t="s">
        <v>3955</v>
      </c>
      <c r="G491" s="47" t="s">
        <v>374</v>
      </c>
      <c r="H491" s="47" t="s">
        <v>924</v>
      </c>
      <c r="I491" s="47" t="s">
        <v>3956</v>
      </c>
      <c r="J491" s="47" t="s">
        <v>1024</v>
      </c>
      <c r="K491" s="47" t="s">
        <v>163</v>
      </c>
      <c r="L491" s="47" t="s">
        <v>3957</v>
      </c>
      <c r="M491" s="47" t="s">
        <v>3377</v>
      </c>
      <c r="N491" s="47" t="s">
        <v>946</v>
      </c>
      <c r="O491" s="47" t="s">
        <v>930</v>
      </c>
      <c r="P491" s="47" t="s">
        <v>930</v>
      </c>
      <c r="Q491" s="47"/>
      <c r="R491" s="47"/>
      <c r="S491" s="47"/>
      <c r="T491" s="47" t="s">
        <v>3958</v>
      </c>
      <c r="U491" s="47" t="s">
        <v>3959</v>
      </c>
      <c r="V491" s="47" t="s">
        <v>3380</v>
      </c>
      <c r="W491" s="47" t="s">
        <v>931</v>
      </c>
      <c r="X491" s="47" t="s">
        <v>995</v>
      </c>
      <c r="Y491" s="47" t="s">
        <v>374</v>
      </c>
      <c r="Z491" s="47" t="s">
        <v>3092</v>
      </c>
      <c r="AA491" s="47" t="s">
        <v>3093</v>
      </c>
      <c r="AB491" s="47" t="s">
        <v>931</v>
      </c>
      <c r="AC491" s="47" t="s">
        <v>3960</v>
      </c>
      <c r="AD491" s="47" t="s">
        <v>3961</v>
      </c>
      <c r="AE491" s="47" t="s">
        <v>3479</v>
      </c>
      <c r="AF491" s="47" t="s">
        <v>931</v>
      </c>
      <c r="AG491" s="47" t="s">
        <v>931</v>
      </c>
      <c r="AH491" s="47" t="s">
        <v>931</v>
      </c>
      <c r="AI491" s="47" t="s">
        <v>931</v>
      </c>
      <c r="AJ491" s="47" t="s">
        <v>931</v>
      </c>
      <c r="AK491" s="47" t="s">
        <v>930</v>
      </c>
      <c r="AL491" s="47" t="s">
        <v>931</v>
      </c>
      <c r="AM491" s="47" t="s">
        <v>931</v>
      </c>
      <c r="AN491" s="37"/>
    </row>
    <row r="492" spans="1:40" hidden="1">
      <c r="A492" s="47" t="s">
        <v>982</v>
      </c>
      <c r="B492" s="47" t="s">
        <v>919</v>
      </c>
      <c r="C492" s="47" t="s">
        <v>3962</v>
      </c>
      <c r="D492" s="47">
        <f t="shared" si="14"/>
        <v>162314</v>
      </c>
      <c r="E492" s="47" t="s">
        <v>314</v>
      </c>
      <c r="F492" s="47" t="s">
        <v>315</v>
      </c>
      <c r="G492" s="47" t="s">
        <v>359</v>
      </c>
      <c r="H492" s="47" t="s">
        <v>1100</v>
      </c>
      <c r="I492" s="47" t="s">
        <v>3884</v>
      </c>
      <c r="J492" s="47" t="s">
        <v>1024</v>
      </c>
      <c r="K492" s="47" t="s">
        <v>163</v>
      </c>
      <c r="L492" s="47" t="s">
        <v>3957</v>
      </c>
      <c r="M492" s="47" t="s">
        <v>3311</v>
      </c>
      <c r="N492" s="47" t="s">
        <v>946</v>
      </c>
      <c r="O492" s="47" t="s">
        <v>930</v>
      </c>
      <c r="P492" s="47" t="s">
        <v>930</v>
      </c>
      <c r="Q492" s="47"/>
      <c r="R492" s="47"/>
      <c r="S492" s="47"/>
      <c r="T492" s="47" t="s">
        <v>3963</v>
      </c>
      <c r="U492" s="47" t="s">
        <v>3964</v>
      </c>
      <c r="V492" s="47" t="s">
        <v>597</v>
      </c>
      <c r="W492" s="47" t="s">
        <v>931</v>
      </c>
      <c r="X492" s="47" t="s">
        <v>995</v>
      </c>
      <c r="Y492" s="47" t="s">
        <v>359</v>
      </c>
      <c r="Z492" s="47" t="s">
        <v>3965</v>
      </c>
      <c r="AA492" s="47" t="s">
        <v>3966</v>
      </c>
      <c r="AB492" s="47" t="s">
        <v>931</v>
      </c>
      <c r="AC492" s="47" t="s">
        <v>359</v>
      </c>
      <c r="AD492" s="47" t="s">
        <v>3887</v>
      </c>
      <c r="AE492" s="47" t="s">
        <v>937</v>
      </c>
      <c r="AF492" s="47" t="s">
        <v>3967</v>
      </c>
      <c r="AG492" s="47" t="s">
        <v>3968</v>
      </c>
      <c r="AH492" s="47" t="s">
        <v>364</v>
      </c>
      <c r="AI492" s="47" t="s">
        <v>931</v>
      </c>
      <c r="AJ492" s="47" t="s">
        <v>365</v>
      </c>
      <c r="AK492" s="47" t="s">
        <v>930</v>
      </c>
      <c r="AL492" s="47" t="s">
        <v>931</v>
      </c>
      <c r="AM492" s="47" t="s">
        <v>931</v>
      </c>
      <c r="AN492" s="37"/>
    </row>
    <row r="493" spans="1:40" hidden="1">
      <c r="A493" s="47" t="s">
        <v>982</v>
      </c>
      <c r="B493" s="47" t="s">
        <v>919</v>
      </c>
      <c r="C493" s="47" t="s">
        <v>3969</v>
      </c>
      <c r="D493" s="47">
        <f t="shared" si="14"/>
        <v>161455</v>
      </c>
      <c r="E493" s="47" t="s">
        <v>212</v>
      </c>
      <c r="F493" s="47" t="s">
        <v>213</v>
      </c>
      <c r="G493" s="47" t="s">
        <v>509</v>
      </c>
      <c r="H493" s="47" t="s">
        <v>1100</v>
      </c>
      <c r="I493" s="47" t="s">
        <v>3970</v>
      </c>
      <c r="J493" s="47" t="s">
        <v>1354</v>
      </c>
      <c r="K493" s="47" t="s">
        <v>163</v>
      </c>
      <c r="L493" s="47" t="s">
        <v>3971</v>
      </c>
      <c r="M493" s="47" t="s">
        <v>2765</v>
      </c>
      <c r="N493" s="47" t="s">
        <v>946</v>
      </c>
      <c r="O493" s="47" t="s">
        <v>930</v>
      </c>
      <c r="P493" s="47" t="s">
        <v>930</v>
      </c>
      <c r="Q493" s="47"/>
      <c r="R493" s="47"/>
      <c r="S493" s="47"/>
      <c r="T493" s="47" t="s">
        <v>3972</v>
      </c>
      <c r="U493" s="47" t="s">
        <v>3973</v>
      </c>
      <c r="V493" s="47" t="s">
        <v>513</v>
      </c>
      <c r="W493" s="47" t="s">
        <v>931</v>
      </c>
      <c r="X493" s="47" t="s">
        <v>995</v>
      </c>
      <c r="Y493" s="47" t="s">
        <v>509</v>
      </c>
      <c r="Z493" s="47" t="s">
        <v>2886</v>
      </c>
      <c r="AA493" s="47" t="s">
        <v>2887</v>
      </c>
      <c r="AB493" s="47" t="s">
        <v>3974</v>
      </c>
      <c r="AC493" s="47" t="s">
        <v>515</v>
      </c>
      <c r="AD493" s="47" t="s">
        <v>3975</v>
      </c>
      <c r="AE493" s="47" t="s">
        <v>937</v>
      </c>
      <c r="AF493" s="47" t="s">
        <v>3976</v>
      </c>
      <c r="AG493" s="47" t="s">
        <v>3977</v>
      </c>
      <c r="AH493" s="47" t="s">
        <v>364</v>
      </c>
      <c r="AI493" s="47" t="s">
        <v>931</v>
      </c>
      <c r="AJ493" s="47" t="s">
        <v>365</v>
      </c>
      <c r="AK493" s="47" t="s">
        <v>930</v>
      </c>
      <c r="AL493" s="47" t="s">
        <v>931</v>
      </c>
      <c r="AM493" s="47" t="s">
        <v>931</v>
      </c>
      <c r="AN493" s="37"/>
    </row>
    <row r="494" spans="1:40" hidden="1">
      <c r="A494" s="47" t="s">
        <v>982</v>
      </c>
      <c r="B494" s="47" t="s">
        <v>919</v>
      </c>
      <c r="C494" s="47" t="s">
        <v>3978</v>
      </c>
      <c r="D494" s="47">
        <f t="shared" si="14"/>
        <v>162301</v>
      </c>
      <c r="E494" s="47" t="s">
        <v>103</v>
      </c>
      <c r="F494" s="47" t="s">
        <v>343</v>
      </c>
      <c r="G494" s="47" t="s">
        <v>923</v>
      </c>
      <c r="H494" s="47" t="s">
        <v>924</v>
      </c>
      <c r="I494" s="47" t="s">
        <v>3209</v>
      </c>
      <c r="J494" s="47" t="s">
        <v>1024</v>
      </c>
      <c r="K494" s="47" t="s">
        <v>163</v>
      </c>
      <c r="L494" s="47" t="s">
        <v>3979</v>
      </c>
      <c r="M494" s="47" t="s">
        <v>3328</v>
      </c>
      <c r="N494" s="47" t="s">
        <v>946</v>
      </c>
      <c r="O494" s="47" t="s">
        <v>930</v>
      </c>
      <c r="P494" s="47" t="s">
        <v>930</v>
      </c>
      <c r="Q494" s="47"/>
      <c r="R494" s="47"/>
      <c r="S494" s="47"/>
      <c r="T494" s="47" t="s">
        <v>3980</v>
      </c>
      <c r="U494" s="47" t="s">
        <v>3981</v>
      </c>
      <c r="V494" s="47" t="s">
        <v>3314</v>
      </c>
      <c r="W494" s="47" t="s">
        <v>931</v>
      </c>
      <c r="X494" s="47" t="s">
        <v>932</v>
      </c>
      <c r="Y494" s="47" t="s">
        <v>923</v>
      </c>
      <c r="Z494" s="47" t="s">
        <v>933</v>
      </c>
      <c r="AA494" s="47" t="s">
        <v>934</v>
      </c>
      <c r="AB494" s="47" t="s">
        <v>3982</v>
      </c>
      <c r="AC494" s="47" t="s">
        <v>373</v>
      </c>
      <c r="AD494" s="47" t="s">
        <v>3215</v>
      </c>
      <c r="AE494" s="47" t="s">
        <v>937</v>
      </c>
      <c r="AF494" s="47" t="s">
        <v>3983</v>
      </c>
      <c r="AG494" s="47" t="s">
        <v>3984</v>
      </c>
      <c r="AH494" s="47" t="s">
        <v>364</v>
      </c>
      <c r="AI494" s="47" t="s">
        <v>931</v>
      </c>
      <c r="AJ494" s="47" t="s">
        <v>365</v>
      </c>
      <c r="AK494" s="47" t="s">
        <v>930</v>
      </c>
      <c r="AL494" s="47" t="s">
        <v>931</v>
      </c>
      <c r="AM494" s="47" t="s">
        <v>931</v>
      </c>
      <c r="AN494" s="37"/>
    </row>
    <row r="495" spans="1:40" hidden="1">
      <c r="A495" s="47" t="s">
        <v>982</v>
      </c>
      <c r="B495" s="47" t="s">
        <v>919</v>
      </c>
      <c r="C495" s="47" t="s">
        <v>3985</v>
      </c>
      <c r="D495" s="47">
        <f t="shared" si="14"/>
        <v>162313</v>
      </c>
      <c r="E495" s="47" t="s">
        <v>330</v>
      </c>
      <c r="F495" s="47" t="s">
        <v>331</v>
      </c>
      <c r="G495" s="47" t="s">
        <v>464</v>
      </c>
      <c r="H495" s="47" t="s">
        <v>924</v>
      </c>
      <c r="I495" s="47" t="s">
        <v>3986</v>
      </c>
      <c r="J495" s="47" t="s">
        <v>1024</v>
      </c>
      <c r="K495" s="47" t="s">
        <v>163</v>
      </c>
      <c r="L495" s="47" t="s">
        <v>2753</v>
      </c>
      <c r="M495" s="47" t="s">
        <v>2753</v>
      </c>
      <c r="N495" s="47" t="s">
        <v>946</v>
      </c>
      <c r="O495" s="47" t="s">
        <v>930</v>
      </c>
      <c r="P495" s="47" t="s">
        <v>930</v>
      </c>
      <c r="Q495" s="47"/>
      <c r="R495" s="47"/>
      <c r="S495" s="47"/>
      <c r="T495" s="47" t="s">
        <v>3987</v>
      </c>
      <c r="U495" s="47" t="s">
        <v>3988</v>
      </c>
      <c r="V495" s="47" t="s">
        <v>3380</v>
      </c>
      <c r="W495" s="47" t="s">
        <v>931</v>
      </c>
      <c r="X495" s="47" t="s">
        <v>995</v>
      </c>
      <c r="Y495" s="47" t="s">
        <v>464</v>
      </c>
      <c r="Z495" s="47" t="s">
        <v>3462</v>
      </c>
      <c r="AA495" s="47" t="s">
        <v>3463</v>
      </c>
      <c r="AB495" s="47" t="s">
        <v>931</v>
      </c>
      <c r="AC495" s="47" t="s">
        <v>37</v>
      </c>
      <c r="AD495" s="47" t="s">
        <v>3989</v>
      </c>
      <c r="AE495" s="47" t="s">
        <v>937</v>
      </c>
      <c r="AF495" s="47" t="s">
        <v>931</v>
      </c>
      <c r="AG495" s="47" t="s">
        <v>3990</v>
      </c>
      <c r="AH495" s="47" t="s">
        <v>364</v>
      </c>
      <c r="AI495" s="47" t="s">
        <v>931</v>
      </c>
      <c r="AJ495" s="47" t="s">
        <v>365</v>
      </c>
      <c r="AK495" s="47" t="s">
        <v>930</v>
      </c>
      <c r="AL495" s="47" t="s">
        <v>931</v>
      </c>
      <c r="AM495" s="47" t="s">
        <v>931</v>
      </c>
      <c r="AN495" s="37"/>
    </row>
    <row r="496" spans="1:40" hidden="1">
      <c r="A496" s="47" t="s">
        <v>982</v>
      </c>
      <c r="B496" s="47" t="s">
        <v>919</v>
      </c>
      <c r="C496" s="47" t="s">
        <v>3991</v>
      </c>
      <c r="D496" s="47">
        <f t="shared" si="14"/>
        <v>162318</v>
      </c>
      <c r="E496" s="47" t="s">
        <v>71</v>
      </c>
      <c r="F496" s="47" t="s">
        <v>326</v>
      </c>
      <c r="G496" s="47" t="s">
        <v>2776</v>
      </c>
      <c r="H496" s="47" t="s">
        <v>924</v>
      </c>
      <c r="I496" s="47" t="s">
        <v>3869</v>
      </c>
      <c r="J496" s="47" t="s">
        <v>1024</v>
      </c>
      <c r="K496" s="47" t="s">
        <v>163</v>
      </c>
      <c r="L496" s="47" t="s">
        <v>3992</v>
      </c>
      <c r="M496" s="47" t="s">
        <v>2711</v>
      </c>
      <c r="N496" s="47" t="s">
        <v>946</v>
      </c>
      <c r="O496" s="47" t="s">
        <v>930</v>
      </c>
      <c r="P496" s="47" t="s">
        <v>930</v>
      </c>
      <c r="Q496" s="47"/>
      <c r="R496" s="47"/>
      <c r="S496" s="47"/>
      <c r="T496" s="47" t="s">
        <v>3993</v>
      </c>
      <c r="U496" s="47" t="s">
        <v>3994</v>
      </c>
      <c r="V496" s="47" t="s">
        <v>3740</v>
      </c>
      <c r="W496" s="47" t="s">
        <v>931</v>
      </c>
      <c r="X496" s="47" t="s">
        <v>995</v>
      </c>
      <c r="Y496" s="47" t="s">
        <v>2776</v>
      </c>
      <c r="Z496" s="47" t="s">
        <v>3995</v>
      </c>
      <c r="AA496" s="47" t="s">
        <v>3996</v>
      </c>
      <c r="AB496" s="47" t="s">
        <v>931</v>
      </c>
      <c r="AC496" s="47" t="s">
        <v>402</v>
      </c>
      <c r="AD496" s="47" t="s">
        <v>3872</v>
      </c>
      <c r="AE496" s="47" t="s">
        <v>937</v>
      </c>
      <c r="AF496" s="47" t="s">
        <v>931</v>
      </c>
      <c r="AG496" s="47" t="s">
        <v>3997</v>
      </c>
      <c r="AH496" s="47" t="s">
        <v>364</v>
      </c>
      <c r="AI496" s="47" t="s">
        <v>931</v>
      </c>
      <c r="AJ496" s="47" t="s">
        <v>365</v>
      </c>
      <c r="AK496" s="47" t="s">
        <v>930</v>
      </c>
      <c r="AL496" s="47" t="s">
        <v>931</v>
      </c>
      <c r="AM496" s="47" t="s">
        <v>931</v>
      </c>
      <c r="AN496" s="37"/>
    </row>
    <row r="497" spans="1:40" hidden="1">
      <c r="A497" s="47" t="s">
        <v>982</v>
      </c>
      <c r="B497" s="47" t="s">
        <v>919</v>
      </c>
      <c r="C497" s="47" t="s">
        <v>3998</v>
      </c>
      <c r="D497" s="47">
        <f t="shared" si="14"/>
        <v>161473</v>
      </c>
      <c r="E497" s="47" t="s">
        <v>527</v>
      </c>
      <c r="F497" s="47" t="s">
        <v>528</v>
      </c>
      <c r="G497" s="47" t="s">
        <v>536</v>
      </c>
      <c r="H497" s="47" t="s">
        <v>1053</v>
      </c>
      <c r="I497" s="47" t="s">
        <v>3999</v>
      </c>
      <c r="J497" s="47" t="s">
        <v>944</v>
      </c>
      <c r="K497" s="47" t="s">
        <v>163</v>
      </c>
      <c r="L497" s="47" t="s">
        <v>1432</v>
      </c>
      <c r="M497" s="47" t="s">
        <v>1269</v>
      </c>
      <c r="N497" s="47" t="s">
        <v>1058</v>
      </c>
      <c r="O497" s="47" t="s">
        <v>930</v>
      </c>
      <c r="P497" s="47" t="s">
        <v>930</v>
      </c>
      <c r="Q497" s="47" t="str">
        <f>LEFT(T497,9)</f>
        <v xml:space="preserve"> Sáng T6:</v>
      </c>
      <c r="R497" s="47" t="s">
        <v>973</v>
      </c>
      <c r="S497" s="47" t="s">
        <v>1140</v>
      </c>
      <c r="T497" s="47" t="s">
        <v>4000</v>
      </c>
      <c r="U497" s="47" t="s">
        <v>3943</v>
      </c>
      <c r="V497" s="47" t="s">
        <v>25</v>
      </c>
      <c r="W497" s="47" t="s">
        <v>931</v>
      </c>
      <c r="X497" s="47" t="s">
        <v>932</v>
      </c>
      <c r="Y497" s="47" t="s">
        <v>536</v>
      </c>
      <c r="Z497" s="47" t="s">
        <v>1314</v>
      </c>
      <c r="AA497" s="47" t="s">
        <v>1315</v>
      </c>
      <c r="AB497" s="47" t="s">
        <v>931</v>
      </c>
      <c r="AC497" s="47" t="s">
        <v>438</v>
      </c>
      <c r="AD497" s="47" t="s">
        <v>4001</v>
      </c>
      <c r="AE497" s="47" t="s">
        <v>937</v>
      </c>
      <c r="AF497" s="47" t="s">
        <v>931</v>
      </c>
      <c r="AG497" s="47" t="s">
        <v>931</v>
      </c>
      <c r="AH497" s="47" t="s">
        <v>364</v>
      </c>
      <c r="AI497" s="47" t="s">
        <v>931</v>
      </c>
      <c r="AJ497" s="47" t="s">
        <v>365</v>
      </c>
      <c r="AK497" s="47" t="s">
        <v>930</v>
      </c>
      <c r="AL497" s="47" t="s">
        <v>931</v>
      </c>
      <c r="AM497" s="47" t="s">
        <v>931</v>
      </c>
      <c r="AN497" s="37"/>
    </row>
    <row r="498" spans="1:40" hidden="1">
      <c r="A498" s="47" t="s">
        <v>982</v>
      </c>
      <c r="B498" s="47" t="s">
        <v>919</v>
      </c>
      <c r="C498" s="47" t="s">
        <v>4002</v>
      </c>
      <c r="D498" s="47">
        <f t="shared" si="14"/>
        <v>162316</v>
      </c>
      <c r="E498" s="47" t="s">
        <v>71</v>
      </c>
      <c r="F498" s="47" t="s">
        <v>326</v>
      </c>
      <c r="G498" s="47" t="s">
        <v>402</v>
      </c>
      <c r="H498" s="47" t="s">
        <v>924</v>
      </c>
      <c r="I498" s="47" t="s">
        <v>3869</v>
      </c>
      <c r="J498" s="47" t="s">
        <v>1024</v>
      </c>
      <c r="K498" s="47" t="s">
        <v>163</v>
      </c>
      <c r="L498" s="47" t="s">
        <v>2711</v>
      </c>
      <c r="M498" s="47" t="s">
        <v>2711</v>
      </c>
      <c r="N498" s="47" t="s">
        <v>946</v>
      </c>
      <c r="O498" s="47" t="s">
        <v>930</v>
      </c>
      <c r="P498" s="47" t="s">
        <v>930</v>
      </c>
      <c r="Q498" s="47"/>
      <c r="R498" s="47"/>
      <c r="S498" s="47"/>
      <c r="T498" s="47" t="s">
        <v>4003</v>
      </c>
      <c r="U498" s="47" t="s">
        <v>4004</v>
      </c>
      <c r="V498" s="47" t="s">
        <v>3298</v>
      </c>
      <c r="W498" s="47" t="s">
        <v>931</v>
      </c>
      <c r="X498" s="47" t="s">
        <v>995</v>
      </c>
      <c r="Y498" s="47" t="s">
        <v>402</v>
      </c>
      <c r="Z498" s="47" t="s">
        <v>3801</v>
      </c>
      <c r="AA498" s="47" t="s">
        <v>3802</v>
      </c>
      <c r="AB498" s="47" t="s">
        <v>838</v>
      </c>
      <c r="AC498" s="47" t="s">
        <v>402</v>
      </c>
      <c r="AD498" s="47" t="s">
        <v>3872</v>
      </c>
      <c r="AE498" s="47" t="s">
        <v>937</v>
      </c>
      <c r="AF498" s="47" t="s">
        <v>4005</v>
      </c>
      <c r="AG498" s="47" t="s">
        <v>4006</v>
      </c>
      <c r="AH498" s="47" t="s">
        <v>364</v>
      </c>
      <c r="AI498" s="47" t="s">
        <v>931</v>
      </c>
      <c r="AJ498" s="47" t="s">
        <v>365</v>
      </c>
      <c r="AK498" s="47" t="s">
        <v>930</v>
      </c>
      <c r="AL498" s="47" t="s">
        <v>931</v>
      </c>
      <c r="AM498" s="47" t="s">
        <v>931</v>
      </c>
      <c r="AN498" s="37"/>
    </row>
    <row r="499" spans="1:40" hidden="1">
      <c r="A499" s="47" t="s">
        <v>982</v>
      </c>
      <c r="B499" s="47" t="s">
        <v>919</v>
      </c>
      <c r="C499" s="47" t="s">
        <v>4007</v>
      </c>
      <c r="D499" s="47">
        <f t="shared" si="14"/>
        <v>161411</v>
      </c>
      <c r="E499" s="47" t="s">
        <v>494</v>
      </c>
      <c r="F499" s="47" t="s">
        <v>495</v>
      </c>
      <c r="G499" s="47" t="s">
        <v>437</v>
      </c>
      <c r="H499" s="47" t="s">
        <v>969</v>
      </c>
      <c r="I499" s="47" t="s">
        <v>3761</v>
      </c>
      <c r="J499" s="47" t="s">
        <v>944</v>
      </c>
      <c r="K499" s="47" t="s">
        <v>163</v>
      </c>
      <c r="L499" s="47" t="s">
        <v>4008</v>
      </c>
      <c r="M499" s="47" t="s">
        <v>2719</v>
      </c>
      <c r="N499" s="47" t="s">
        <v>946</v>
      </c>
      <c r="O499" s="47" t="s">
        <v>930</v>
      </c>
      <c r="P499" s="47" t="s">
        <v>930</v>
      </c>
      <c r="Q499" s="47"/>
      <c r="R499" s="47"/>
      <c r="S499" s="47"/>
      <c r="T499" s="47" t="s">
        <v>4009</v>
      </c>
      <c r="U499" s="47" t="s">
        <v>4010</v>
      </c>
      <c r="V499" s="47" t="s">
        <v>406</v>
      </c>
      <c r="W499" s="47" t="s">
        <v>931</v>
      </c>
      <c r="X499" s="47" t="s">
        <v>932</v>
      </c>
      <c r="Y499" s="47" t="s">
        <v>437</v>
      </c>
      <c r="Z499" s="47" t="s">
        <v>1320</v>
      </c>
      <c r="AA499" s="47" t="s">
        <v>1321</v>
      </c>
      <c r="AB499" s="47" t="s">
        <v>931</v>
      </c>
      <c r="AC499" s="47" t="s">
        <v>437</v>
      </c>
      <c r="AD499" s="47" t="s">
        <v>3767</v>
      </c>
      <c r="AE499" s="47" t="s">
        <v>937</v>
      </c>
      <c r="AF499" s="47" t="s">
        <v>931</v>
      </c>
      <c r="AG499" s="47" t="s">
        <v>4011</v>
      </c>
      <c r="AH499" s="47" t="s">
        <v>364</v>
      </c>
      <c r="AI499" s="47" t="s">
        <v>931</v>
      </c>
      <c r="AJ499" s="47" t="s">
        <v>365</v>
      </c>
      <c r="AK499" s="47" t="s">
        <v>930</v>
      </c>
      <c r="AL499" s="47" t="s">
        <v>931</v>
      </c>
      <c r="AM499" s="47" t="s">
        <v>931</v>
      </c>
      <c r="AN499" s="37"/>
    </row>
    <row r="500" spans="1:40" hidden="1">
      <c r="A500" s="47" t="s">
        <v>982</v>
      </c>
      <c r="B500" s="47" t="s">
        <v>919</v>
      </c>
      <c r="C500" s="47" t="s">
        <v>4012</v>
      </c>
      <c r="D500" s="47">
        <f t="shared" si="14"/>
        <v>161474</v>
      </c>
      <c r="E500" s="47" t="s">
        <v>309</v>
      </c>
      <c r="F500" s="47" t="s">
        <v>310</v>
      </c>
      <c r="G500" s="47" t="s">
        <v>441</v>
      </c>
      <c r="H500" s="47" t="s">
        <v>924</v>
      </c>
      <c r="I500" s="47" t="s">
        <v>4013</v>
      </c>
      <c r="J500" s="47" t="s">
        <v>1354</v>
      </c>
      <c r="K500" s="47" t="s">
        <v>163</v>
      </c>
      <c r="L500" s="47" t="s">
        <v>3791</v>
      </c>
      <c r="M500" s="47" t="s">
        <v>2753</v>
      </c>
      <c r="N500" s="47" t="s">
        <v>1058</v>
      </c>
      <c r="O500" s="47" t="s">
        <v>930</v>
      </c>
      <c r="P500" s="47" t="s">
        <v>930</v>
      </c>
      <c r="Q500" s="47"/>
      <c r="R500" s="47"/>
      <c r="S500" s="47"/>
      <c r="T500" s="47" t="s">
        <v>4014</v>
      </c>
      <c r="U500" s="47" t="s">
        <v>931</v>
      </c>
      <c r="V500" s="47" t="s">
        <v>444</v>
      </c>
      <c r="W500" s="47" t="s">
        <v>931</v>
      </c>
      <c r="X500" s="47" t="s">
        <v>995</v>
      </c>
      <c r="Y500" s="47" t="s">
        <v>441</v>
      </c>
      <c r="Z500" s="47" t="s">
        <v>3027</v>
      </c>
      <c r="AA500" s="47" t="s">
        <v>3028</v>
      </c>
      <c r="AB500" s="47" t="s">
        <v>4015</v>
      </c>
      <c r="AC500" s="47" t="s">
        <v>441</v>
      </c>
      <c r="AD500" s="47" t="s">
        <v>4016</v>
      </c>
      <c r="AE500" s="47" t="s">
        <v>937</v>
      </c>
      <c r="AF500" s="47" t="s">
        <v>931</v>
      </c>
      <c r="AG500" s="47" t="s">
        <v>931</v>
      </c>
      <c r="AH500" s="47" t="s">
        <v>364</v>
      </c>
      <c r="AI500" s="47" t="s">
        <v>931</v>
      </c>
      <c r="AJ500" s="47" t="s">
        <v>365</v>
      </c>
      <c r="AK500" s="47" t="s">
        <v>930</v>
      </c>
      <c r="AL500" s="47" t="s">
        <v>931</v>
      </c>
      <c r="AM500" s="47" t="s">
        <v>931</v>
      </c>
      <c r="AN500" s="37"/>
    </row>
    <row r="501" spans="1:40" hidden="1">
      <c r="A501" s="47" t="s">
        <v>982</v>
      </c>
      <c r="B501" s="47" t="s">
        <v>919</v>
      </c>
      <c r="C501" s="47" t="s">
        <v>4017</v>
      </c>
      <c r="D501" s="47">
        <f t="shared" si="14"/>
        <v>161414</v>
      </c>
      <c r="E501" s="47" t="s">
        <v>499</v>
      </c>
      <c r="F501" s="47" t="s">
        <v>500</v>
      </c>
      <c r="G501" s="47" t="s">
        <v>437</v>
      </c>
      <c r="H501" s="47" t="s">
        <v>1325</v>
      </c>
      <c r="I501" s="47" t="s">
        <v>3948</v>
      </c>
      <c r="J501" s="47" t="s">
        <v>944</v>
      </c>
      <c r="K501" s="47" t="s">
        <v>163</v>
      </c>
      <c r="L501" s="47" t="s">
        <v>4018</v>
      </c>
      <c r="M501" s="47" t="s">
        <v>2719</v>
      </c>
      <c r="N501" s="47" t="s">
        <v>946</v>
      </c>
      <c r="O501" s="47" t="s">
        <v>930</v>
      </c>
      <c r="P501" s="47" t="s">
        <v>930</v>
      </c>
      <c r="Q501" s="47"/>
      <c r="R501" s="47"/>
      <c r="S501" s="47"/>
      <c r="T501" s="47" t="s">
        <v>4019</v>
      </c>
      <c r="U501" s="47" t="s">
        <v>4020</v>
      </c>
      <c r="V501" s="47" t="s">
        <v>406</v>
      </c>
      <c r="W501" s="47" t="s">
        <v>931</v>
      </c>
      <c r="X501" s="47" t="s">
        <v>932</v>
      </c>
      <c r="Y501" s="47" t="s">
        <v>437</v>
      </c>
      <c r="Z501" s="47" t="s">
        <v>1320</v>
      </c>
      <c r="AA501" s="47" t="s">
        <v>1321</v>
      </c>
      <c r="AB501" s="47" t="s">
        <v>931</v>
      </c>
      <c r="AC501" s="47" t="s">
        <v>438</v>
      </c>
      <c r="AD501" s="47" t="s">
        <v>3952</v>
      </c>
      <c r="AE501" s="47" t="s">
        <v>937</v>
      </c>
      <c r="AF501" s="47" t="s">
        <v>931</v>
      </c>
      <c r="AG501" s="47" t="s">
        <v>4021</v>
      </c>
      <c r="AH501" s="47" t="s">
        <v>364</v>
      </c>
      <c r="AI501" s="47" t="s">
        <v>931</v>
      </c>
      <c r="AJ501" s="47" t="s">
        <v>365</v>
      </c>
      <c r="AK501" s="47" t="s">
        <v>930</v>
      </c>
      <c r="AL501" s="47" t="s">
        <v>931</v>
      </c>
      <c r="AM501" s="47" t="s">
        <v>931</v>
      </c>
      <c r="AN501" s="37"/>
    </row>
    <row r="502" spans="1:40" hidden="1">
      <c r="A502" s="47" t="s">
        <v>982</v>
      </c>
      <c r="B502" s="47" t="s">
        <v>919</v>
      </c>
      <c r="C502" s="47" t="s">
        <v>4022</v>
      </c>
      <c r="D502" s="47">
        <f t="shared" si="14"/>
        <v>162302</v>
      </c>
      <c r="E502" s="47" t="s">
        <v>344</v>
      </c>
      <c r="F502" s="47" t="s">
        <v>345</v>
      </c>
      <c r="G502" s="47" t="s">
        <v>4023</v>
      </c>
      <c r="H502" s="47" t="s">
        <v>969</v>
      </c>
      <c r="I502" s="47" t="s">
        <v>4024</v>
      </c>
      <c r="J502" s="47" t="s">
        <v>1024</v>
      </c>
      <c r="K502" s="47" t="s">
        <v>163</v>
      </c>
      <c r="L502" s="47" t="s">
        <v>3784</v>
      </c>
      <c r="M502" s="47" t="s">
        <v>3328</v>
      </c>
      <c r="N502" s="47" t="s">
        <v>946</v>
      </c>
      <c r="O502" s="47" t="s">
        <v>930</v>
      </c>
      <c r="P502" s="47" t="s">
        <v>930</v>
      </c>
      <c r="Q502" s="47"/>
      <c r="R502" s="47"/>
      <c r="S502" s="47"/>
      <c r="T502" s="47" t="s">
        <v>4025</v>
      </c>
      <c r="U502" s="47" t="s">
        <v>4026</v>
      </c>
      <c r="V502" s="47" t="s">
        <v>3495</v>
      </c>
      <c r="W502" s="47" t="s">
        <v>931</v>
      </c>
      <c r="X502" s="47" t="s">
        <v>932</v>
      </c>
      <c r="Y502" s="47" t="s">
        <v>4023</v>
      </c>
      <c r="Z502" s="47" t="s">
        <v>4027</v>
      </c>
      <c r="AA502" s="47" t="s">
        <v>4028</v>
      </c>
      <c r="AB502" s="47" t="s">
        <v>931</v>
      </c>
      <c r="AC502" s="47" t="s">
        <v>990</v>
      </c>
      <c r="AD502" s="47" t="s">
        <v>4029</v>
      </c>
      <c r="AE502" s="47" t="s">
        <v>937</v>
      </c>
      <c r="AF502" s="47" t="s">
        <v>931</v>
      </c>
      <c r="AG502" s="47" t="s">
        <v>4030</v>
      </c>
      <c r="AH502" s="47" t="s">
        <v>364</v>
      </c>
      <c r="AI502" s="47" t="s">
        <v>931</v>
      </c>
      <c r="AJ502" s="47" t="s">
        <v>365</v>
      </c>
      <c r="AK502" s="47" t="s">
        <v>930</v>
      </c>
      <c r="AL502" s="47" t="s">
        <v>931</v>
      </c>
      <c r="AM502" s="47" t="s">
        <v>931</v>
      </c>
      <c r="AN502" s="37"/>
    </row>
    <row r="503" spans="1:40" hidden="1">
      <c r="A503" s="47" t="s">
        <v>982</v>
      </c>
      <c r="B503" s="47" t="s">
        <v>919</v>
      </c>
      <c r="C503" s="47" t="s">
        <v>4031</v>
      </c>
      <c r="D503" s="47">
        <f t="shared" si="14"/>
        <v>161418</v>
      </c>
      <c r="E503" s="47" t="s">
        <v>505</v>
      </c>
      <c r="F503" s="47" t="s">
        <v>506</v>
      </c>
      <c r="G503" s="47" t="s">
        <v>509</v>
      </c>
      <c r="H503" s="47" t="s">
        <v>1053</v>
      </c>
      <c r="I503" s="47" t="s">
        <v>4032</v>
      </c>
      <c r="J503" s="47" t="s">
        <v>944</v>
      </c>
      <c r="K503" s="47" t="s">
        <v>163</v>
      </c>
      <c r="L503" s="47" t="s">
        <v>1056</v>
      </c>
      <c r="M503" s="47" t="s">
        <v>1056</v>
      </c>
      <c r="N503" s="47" t="s">
        <v>1058</v>
      </c>
      <c r="O503" s="47" t="s">
        <v>930</v>
      </c>
      <c r="P503" s="47" t="s">
        <v>930</v>
      </c>
      <c r="Q503" s="47" t="str">
        <f>LEFT(T503,9)</f>
        <v xml:space="preserve"> Sáng T6:</v>
      </c>
      <c r="R503" s="47" t="s">
        <v>973</v>
      </c>
      <c r="S503" s="47" t="s">
        <v>1140</v>
      </c>
      <c r="T503" s="47" t="s">
        <v>4033</v>
      </c>
      <c r="U503" s="47" t="s">
        <v>4034</v>
      </c>
      <c r="V503" s="47" t="s">
        <v>477</v>
      </c>
      <c r="W503" s="47" t="s">
        <v>931</v>
      </c>
      <c r="X503" s="47" t="s">
        <v>995</v>
      </c>
      <c r="Y503" s="47" t="s">
        <v>509</v>
      </c>
      <c r="Z503" s="47" t="s">
        <v>2886</v>
      </c>
      <c r="AA503" s="47" t="s">
        <v>2887</v>
      </c>
      <c r="AB503" s="47" t="s">
        <v>1049</v>
      </c>
      <c r="AC503" s="47" t="s">
        <v>504</v>
      </c>
      <c r="AD503" s="47" t="s">
        <v>4035</v>
      </c>
      <c r="AE503" s="47" t="s">
        <v>937</v>
      </c>
      <c r="AF503" s="47" t="s">
        <v>4036</v>
      </c>
      <c r="AG503" s="47" t="s">
        <v>4037</v>
      </c>
      <c r="AH503" s="47" t="s">
        <v>364</v>
      </c>
      <c r="AI503" s="47" t="s">
        <v>931</v>
      </c>
      <c r="AJ503" s="47" t="s">
        <v>365</v>
      </c>
      <c r="AK503" s="47" t="s">
        <v>930</v>
      </c>
      <c r="AL503" s="47" t="s">
        <v>931</v>
      </c>
      <c r="AM503" s="47" t="s">
        <v>931</v>
      </c>
      <c r="AN503" s="37"/>
    </row>
    <row r="504" spans="1:40" hidden="1">
      <c r="A504" s="47" t="s">
        <v>982</v>
      </c>
      <c r="B504" s="47" t="s">
        <v>919</v>
      </c>
      <c r="C504" s="47" t="s">
        <v>4038</v>
      </c>
      <c r="D504" s="47">
        <f t="shared" si="14"/>
        <v>161416</v>
      </c>
      <c r="E504" s="47" t="s">
        <v>501</v>
      </c>
      <c r="F504" s="47" t="s">
        <v>502</v>
      </c>
      <c r="G504" s="47" t="s">
        <v>37</v>
      </c>
      <c r="H504" s="47" t="s">
        <v>924</v>
      </c>
      <c r="I504" s="47" t="s">
        <v>3902</v>
      </c>
      <c r="J504" s="47" t="s">
        <v>944</v>
      </c>
      <c r="K504" s="47" t="s">
        <v>163</v>
      </c>
      <c r="L504" s="47" t="s">
        <v>4039</v>
      </c>
      <c r="M504" s="47" t="s">
        <v>2719</v>
      </c>
      <c r="N504" s="47" t="s">
        <v>946</v>
      </c>
      <c r="O504" s="47" t="s">
        <v>930</v>
      </c>
      <c r="P504" s="47" t="s">
        <v>930</v>
      </c>
      <c r="Q504" s="47"/>
      <c r="R504" s="47"/>
      <c r="S504" s="47"/>
      <c r="T504" s="47" t="s">
        <v>4040</v>
      </c>
      <c r="U504" s="47" t="s">
        <v>4041</v>
      </c>
      <c r="V504" s="47" t="s">
        <v>446</v>
      </c>
      <c r="W504" s="47" t="s">
        <v>931</v>
      </c>
      <c r="X504" s="47" t="s">
        <v>995</v>
      </c>
      <c r="Y504" s="47" t="s">
        <v>37</v>
      </c>
      <c r="Z504" s="47" t="s">
        <v>3809</v>
      </c>
      <c r="AA504" s="47" t="s">
        <v>3810</v>
      </c>
      <c r="AB504" s="47" t="s">
        <v>931</v>
      </c>
      <c r="AC504" s="47" t="s">
        <v>504</v>
      </c>
      <c r="AD504" s="47" t="s">
        <v>3905</v>
      </c>
      <c r="AE504" s="47" t="s">
        <v>937</v>
      </c>
      <c r="AF504" s="47" t="s">
        <v>931</v>
      </c>
      <c r="AG504" s="47" t="s">
        <v>931</v>
      </c>
      <c r="AH504" s="47" t="s">
        <v>364</v>
      </c>
      <c r="AI504" s="47" t="s">
        <v>931</v>
      </c>
      <c r="AJ504" s="47" t="s">
        <v>365</v>
      </c>
      <c r="AK504" s="47" t="s">
        <v>930</v>
      </c>
      <c r="AL504" s="47" t="s">
        <v>931</v>
      </c>
      <c r="AM504" s="47" t="s">
        <v>931</v>
      </c>
      <c r="AN504" s="37"/>
    </row>
    <row r="505" spans="1:40" hidden="1">
      <c r="A505" s="47" t="s">
        <v>982</v>
      </c>
      <c r="B505" s="47" t="s">
        <v>919</v>
      </c>
      <c r="C505" s="47" t="s">
        <v>4042</v>
      </c>
      <c r="D505" s="47">
        <f t="shared" si="14"/>
        <v>162308</v>
      </c>
      <c r="E505" s="47" t="s">
        <v>92</v>
      </c>
      <c r="F505" s="47" t="s">
        <v>298</v>
      </c>
      <c r="G505" s="47" t="s">
        <v>843</v>
      </c>
      <c r="H505" s="47" t="s">
        <v>1287</v>
      </c>
      <c r="I505" s="47" t="s">
        <v>4043</v>
      </c>
      <c r="J505" s="47" t="s">
        <v>1024</v>
      </c>
      <c r="K505" s="47" t="s">
        <v>163</v>
      </c>
      <c r="L505" s="47" t="s">
        <v>3762</v>
      </c>
      <c r="M505" s="47" t="s">
        <v>4044</v>
      </c>
      <c r="N505" s="47" t="s">
        <v>946</v>
      </c>
      <c r="O505" s="47" t="s">
        <v>930</v>
      </c>
      <c r="P505" s="47" t="s">
        <v>930</v>
      </c>
      <c r="Q505" s="47"/>
      <c r="R505" s="47"/>
      <c r="S505" s="47"/>
      <c r="T505" s="47" t="s">
        <v>4045</v>
      </c>
      <c r="U505" s="47" t="s">
        <v>4046</v>
      </c>
      <c r="V505" s="47" t="s">
        <v>4047</v>
      </c>
      <c r="W505" s="47" t="s">
        <v>931</v>
      </c>
      <c r="X505" s="47" t="s">
        <v>932</v>
      </c>
      <c r="Y505" s="47" t="s">
        <v>843</v>
      </c>
      <c r="Z505" s="47" t="s">
        <v>4048</v>
      </c>
      <c r="AA505" s="47" t="s">
        <v>4049</v>
      </c>
      <c r="AB505" s="47" t="s">
        <v>4050</v>
      </c>
      <c r="AC505" s="47" t="s">
        <v>379</v>
      </c>
      <c r="AD505" s="47" t="s">
        <v>4051</v>
      </c>
      <c r="AE505" s="47" t="s">
        <v>937</v>
      </c>
      <c r="AF505" s="47" t="s">
        <v>931</v>
      </c>
      <c r="AG505" s="47" t="s">
        <v>4052</v>
      </c>
      <c r="AH505" s="47" t="s">
        <v>364</v>
      </c>
      <c r="AI505" s="47" t="s">
        <v>931</v>
      </c>
      <c r="AJ505" s="47" t="s">
        <v>365</v>
      </c>
      <c r="AK505" s="47" t="s">
        <v>930</v>
      </c>
      <c r="AL505" s="47" t="s">
        <v>931</v>
      </c>
      <c r="AM505" s="47" t="s">
        <v>931</v>
      </c>
      <c r="AN505" s="37"/>
    </row>
    <row r="506" spans="1:40" hidden="1">
      <c r="A506" s="47" t="s">
        <v>982</v>
      </c>
      <c r="B506" s="47" t="s">
        <v>919</v>
      </c>
      <c r="C506" s="47" t="s">
        <v>4053</v>
      </c>
      <c r="D506" s="47">
        <f t="shared" si="14"/>
        <v>162306</v>
      </c>
      <c r="E506" s="47" t="s">
        <v>311</v>
      </c>
      <c r="F506" s="47" t="s">
        <v>312</v>
      </c>
      <c r="G506" s="47" t="s">
        <v>3110</v>
      </c>
      <c r="H506" s="47" t="s">
        <v>1287</v>
      </c>
      <c r="I506" s="47" t="s">
        <v>3924</v>
      </c>
      <c r="J506" s="47" t="s">
        <v>1024</v>
      </c>
      <c r="K506" s="47" t="s">
        <v>163</v>
      </c>
      <c r="L506" s="47" t="s">
        <v>1442</v>
      </c>
      <c r="M506" s="47" t="s">
        <v>2725</v>
      </c>
      <c r="N506" s="47" t="s">
        <v>946</v>
      </c>
      <c r="O506" s="47" t="s">
        <v>930</v>
      </c>
      <c r="P506" s="47" t="s">
        <v>930</v>
      </c>
      <c r="Q506" s="47"/>
      <c r="R506" s="47"/>
      <c r="S506" s="47"/>
      <c r="T506" s="47" t="s">
        <v>4054</v>
      </c>
      <c r="U506" s="47" t="s">
        <v>4055</v>
      </c>
      <c r="V506" s="47" t="s">
        <v>3204</v>
      </c>
      <c r="W506" s="47" t="s">
        <v>931</v>
      </c>
      <c r="X506" s="47" t="s">
        <v>932</v>
      </c>
      <c r="Y506" s="47" t="s">
        <v>3110</v>
      </c>
      <c r="Z506" s="47" t="s">
        <v>3113</v>
      </c>
      <c r="AA506" s="47" t="s">
        <v>3114</v>
      </c>
      <c r="AB506" s="47" t="s">
        <v>931</v>
      </c>
      <c r="AC506" s="47" t="s">
        <v>3110</v>
      </c>
      <c r="AD506" s="47" t="s">
        <v>3927</v>
      </c>
      <c r="AE506" s="47" t="s">
        <v>937</v>
      </c>
      <c r="AF506" s="47" t="s">
        <v>931</v>
      </c>
      <c r="AG506" s="47" t="s">
        <v>4056</v>
      </c>
      <c r="AH506" s="47" t="s">
        <v>364</v>
      </c>
      <c r="AI506" s="47" t="s">
        <v>931</v>
      </c>
      <c r="AJ506" s="47" t="s">
        <v>365</v>
      </c>
      <c r="AK506" s="47" t="s">
        <v>930</v>
      </c>
      <c r="AL506" s="47" t="s">
        <v>931</v>
      </c>
      <c r="AM506" s="47" t="s">
        <v>931</v>
      </c>
      <c r="AN506" s="37"/>
    </row>
    <row r="507" spans="1:40" hidden="1">
      <c r="A507" s="47" t="s">
        <v>982</v>
      </c>
      <c r="B507" s="47" t="s">
        <v>919</v>
      </c>
      <c r="C507" s="47" t="s">
        <v>4057</v>
      </c>
      <c r="D507" s="47">
        <f t="shared" si="14"/>
        <v>162303</v>
      </c>
      <c r="E507" s="47" t="s">
        <v>336</v>
      </c>
      <c r="F507" s="47" t="s">
        <v>337</v>
      </c>
      <c r="G507" s="47" t="s">
        <v>479</v>
      </c>
      <c r="H507" s="47" t="s">
        <v>1287</v>
      </c>
      <c r="I507" s="47" t="s">
        <v>3931</v>
      </c>
      <c r="J507" s="47" t="s">
        <v>1024</v>
      </c>
      <c r="K507" s="47" t="s">
        <v>163</v>
      </c>
      <c r="L507" s="47" t="s">
        <v>1432</v>
      </c>
      <c r="M507" s="47" t="s">
        <v>2725</v>
      </c>
      <c r="N507" s="47" t="s">
        <v>946</v>
      </c>
      <c r="O507" s="47" t="s">
        <v>930</v>
      </c>
      <c r="P507" s="47" t="s">
        <v>930</v>
      </c>
      <c r="Q507" s="47"/>
      <c r="R507" s="47"/>
      <c r="S507" s="47"/>
      <c r="T507" s="47" t="s">
        <v>4058</v>
      </c>
      <c r="U507" s="47" t="s">
        <v>4059</v>
      </c>
      <c r="V507" s="47" t="s">
        <v>3204</v>
      </c>
      <c r="W507" s="47" t="s">
        <v>931</v>
      </c>
      <c r="X507" s="47" t="s">
        <v>932</v>
      </c>
      <c r="Y507" s="47" t="s">
        <v>479</v>
      </c>
      <c r="Z507" s="47" t="s">
        <v>1228</v>
      </c>
      <c r="AA507" s="47" t="s">
        <v>1229</v>
      </c>
      <c r="AB507" s="47" t="s">
        <v>931</v>
      </c>
      <c r="AC507" s="47" t="s">
        <v>3937</v>
      </c>
      <c r="AD507" s="47" t="s">
        <v>3938</v>
      </c>
      <c r="AE507" s="47" t="s">
        <v>937</v>
      </c>
      <c r="AF507" s="47" t="s">
        <v>4060</v>
      </c>
      <c r="AG507" s="47" t="s">
        <v>4061</v>
      </c>
      <c r="AH507" s="47" t="s">
        <v>364</v>
      </c>
      <c r="AI507" s="47" t="s">
        <v>931</v>
      </c>
      <c r="AJ507" s="47" t="s">
        <v>365</v>
      </c>
      <c r="AK507" s="47" t="s">
        <v>930</v>
      </c>
      <c r="AL507" s="47" t="s">
        <v>931</v>
      </c>
      <c r="AM507" s="47" t="s">
        <v>931</v>
      </c>
      <c r="AN507" s="37"/>
    </row>
    <row r="508" spans="1:40" hidden="1">
      <c r="A508" s="47" t="s">
        <v>982</v>
      </c>
      <c r="B508" s="47" t="s">
        <v>919</v>
      </c>
      <c r="C508" s="47" t="s">
        <v>4062</v>
      </c>
      <c r="D508" s="47">
        <f t="shared" si="14"/>
        <v>161863</v>
      </c>
      <c r="E508" s="47" t="s">
        <v>284</v>
      </c>
      <c r="F508" s="47" t="s">
        <v>285</v>
      </c>
      <c r="G508" s="47" t="s">
        <v>847</v>
      </c>
      <c r="H508" s="47" t="s">
        <v>924</v>
      </c>
      <c r="I508" s="47" t="s">
        <v>4063</v>
      </c>
      <c r="J508" s="47" t="s">
        <v>944</v>
      </c>
      <c r="K508" s="47" t="s">
        <v>163</v>
      </c>
      <c r="L508" s="47" t="s">
        <v>4064</v>
      </c>
      <c r="M508" s="47" t="s">
        <v>2711</v>
      </c>
      <c r="N508" s="47" t="s">
        <v>946</v>
      </c>
      <c r="O508" s="47" t="s">
        <v>930</v>
      </c>
      <c r="P508" s="47" t="s">
        <v>930</v>
      </c>
      <c r="Q508" s="47"/>
      <c r="R508" s="47"/>
      <c r="S508" s="47"/>
      <c r="T508" s="47" t="s">
        <v>4065</v>
      </c>
      <c r="U508" s="47" t="s">
        <v>4066</v>
      </c>
      <c r="V508" s="47" t="s">
        <v>1238</v>
      </c>
      <c r="W508" s="47" t="s">
        <v>931</v>
      </c>
      <c r="X508" s="47" t="s">
        <v>932</v>
      </c>
      <c r="Y508" s="47" t="s">
        <v>847</v>
      </c>
      <c r="Z508" s="47" t="s">
        <v>3322</v>
      </c>
      <c r="AA508" s="47" t="s">
        <v>3323</v>
      </c>
      <c r="AB508" s="47" t="s">
        <v>4067</v>
      </c>
      <c r="AC508" s="47" t="s">
        <v>373</v>
      </c>
      <c r="AD508" s="47" t="s">
        <v>4068</v>
      </c>
      <c r="AE508" s="47" t="s">
        <v>937</v>
      </c>
      <c r="AF508" s="47" t="s">
        <v>931</v>
      </c>
      <c r="AG508" s="47" t="s">
        <v>4069</v>
      </c>
      <c r="AH508" s="47" t="s">
        <v>364</v>
      </c>
      <c r="AI508" s="47" t="s">
        <v>931</v>
      </c>
      <c r="AJ508" s="47" t="s">
        <v>365</v>
      </c>
      <c r="AK508" s="47" t="s">
        <v>930</v>
      </c>
      <c r="AL508" s="47" t="s">
        <v>931</v>
      </c>
      <c r="AM508" s="47" t="s">
        <v>931</v>
      </c>
      <c r="AN508" s="37"/>
    </row>
    <row r="509" spans="1:40" hidden="1">
      <c r="A509" s="47" t="s">
        <v>982</v>
      </c>
      <c r="B509" s="47" t="s">
        <v>919</v>
      </c>
      <c r="C509" s="47" t="s">
        <v>4070</v>
      </c>
      <c r="D509" s="47">
        <f t="shared" si="14"/>
        <v>161862</v>
      </c>
      <c r="E509" s="47" t="s">
        <v>276</v>
      </c>
      <c r="F509" s="47" t="s">
        <v>277</v>
      </c>
      <c r="G509" s="47" t="s">
        <v>1451</v>
      </c>
      <c r="H509" s="47" t="s">
        <v>4071</v>
      </c>
      <c r="I509" s="47" t="s">
        <v>4072</v>
      </c>
      <c r="J509" s="47" t="s">
        <v>944</v>
      </c>
      <c r="K509" s="47" t="s">
        <v>163</v>
      </c>
      <c r="L509" s="47" t="s">
        <v>2719</v>
      </c>
      <c r="M509" s="47" t="s">
        <v>2961</v>
      </c>
      <c r="N509" s="47" t="s">
        <v>946</v>
      </c>
      <c r="O509" s="47" t="s">
        <v>930</v>
      </c>
      <c r="P509" s="47" t="s">
        <v>930</v>
      </c>
      <c r="Q509" s="47"/>
      <c r="R509" s="47"/>
      <c r="S509" s="47"/>
      <c r="T509" s="47" t="s">
        <v>4073</v>
      </c>
      <c r="U509" s="47" t="s">
        <v>4074</v>
      </c>
      <c r="V509" s="47" t="s">
        <v>4075</v>
      </c>
      <c r="W509" s="47" t="s">
        <v>931</v>
      </c>
      <c r="X509" s="47" t="s">
        <v>932</v>
      </c>
      <c r="Y509" s="47" t="s">
        <v>1451</v>
      </c>
      <c r="Z509" s="47" t="s">
        <v>4076</v>
      </c>
      <c r="AA509" s="47" t="s">
        <v>4077</v>
      </c>
      <c r="AB509" s="47" t="s">
        <v>931</v>
      </c>
      <c r="AC509" s="47" t="s">
        <v>373</v>
      </c>
      <c r="AD509" s="47" t="s">
        <v>4078</v>
      </c>
      <c r="AE509" s="47" t="s">
        <v>937</v>
      </c>
      <c r="AF509" s="47" t="s">
        <v>931</v>
      </c>
      <c r="AG509" s="47" t="s">
        <v>931</v>
      </c>
      <c r="AH509" s="47" t="s">
        <v>364</v>
      </c>
      <c r="AI509" s="47" t="s">
        <v>931</v>
      </c>
      <c r="AJ509" s="47" t="s">
        <v>365</v>
      </c>
      <c r="AK509" s="47" t="s">
        <v>930</v>
      </c>
      <c r="AL509" s="47" t="s">
        <v>931</v>
      </c>
      <c r="AM509" s="47" t="s">
        <v>931</v>
      </c>
      <c r="AN509" s="37"/>
    </row>
    <row r="510" spans="1:40" hidden="1">
      <c r="A510" s="47" t="s">
        <v>982</v>
      </c>
      <c r="B510" s="47" t="s">
        <v>919</v>
      </c>
      <c r="C510" s="47" t="s">
        <v>4079</v>
      </c>
      <c r="D510" s="47">
        <f t="shared" si="14"/>
        <v>162307</v>
      </c>
      <c r="E510" s="47" t="s">
        <v>92</v>
      </c>
      <c r="F510" s="47" t="s">
        <v>298</v>
      </c>
      <c r="G510" s="47" t="s">
        <v>843</v>
      </c>
      <c r="H510" s="47" t="s">
        <v>1287</v>
      </c>
      <c r="I510" s="47" t="s">
        <v>4043</v>
      </c>
      <c r="J510" s="47" t="s">
        <v>1024</v>
      </c>
      <c r="K510" s="47" t="s">
        <v>163</v>
      </c>
      <c r="L510" s="47" t="s">
        <v>3716</v>
      </c>
      <c r="M510" s="47" t="s">
        <v>4044</v>
      </c>
      <c r="N510" s="47" t="s">
        <v>946</v>
      </c>
      <c r="O510" s="47" t="s">
        <v>930</v>
      </c>
      <c r="P510" s="47" t="s">
        <v>930</v>
      </c>
      <c r="Q510" s="47"/>
      <c r="R510" s="47"/>
      <c r="S510" s="47"/>
      <c r="T510" s="47" t="s">
        <v>4080</v>
      </c>
      <c r="U510" s="47" t="s">
        <v>4081</v>
      </c>
      <c r="V510" s="47" t="s">
        <v>3752</v>
      </c>
      <c r="W510" s="47" t="s">
        <v>931</v>
      </c>
      <c r="X510" s="47" t="s">
        <v>932</v>
      </c>
      <c r="Y510" s="47" t="s">
        <v>843</v>
      </c>
      <c r="Z510" s="47" t="s">
        <v>4048</v>
      </c>
      <c r="AA510" s="47" t="s">
        <v>4049</v>
      </c>
      <c r="AB510" s="47" t="s">
        <v>4050</v>
      </c>
      <c r="AC510" s="47" t="s">
        <v>379</v>
      </c>
      <c r="AD510" s="47" t="s">
        <v>4051</v>
      </c>
      <c r="AE510" s="47" t="s">
        <v>937</v>
      </c>
      <c r="AF510" s="47" t="s">
        <v>931</v>
      </c>
      <c r="AG510" s="47" t="s">
        <v>4082</v>
      </c>
      <c r="AH510" s="47" t="s">
        <v>364</v>
      </c>
      <c r="AI510" s="47" t="s">
        <v>931</v>
      </c>
      <c r="AJ510" s="47" t="s">
        <v>365</v>
      </c>
      <c r="AK510" s="47" t="s">
        <v>930</v>
      </c>
      <c r="AL510" s="47" t="s">
        <v>931</v>
      </c>
      <c r="AM510" s="47" t="s">
        <v>931</v>
      </c>
      <c r="AN510" s="37"/>
    </row>
    <row r="511" spans="1:40" hidden="1">
      <c r="A511" s="47" t="s">
        <v>982</v>
      </c>
      <c r="B511" s="47" t="s">
        <v>919</v>
      </c>
      <c r="C511" s="47" t="s">
        <v>4083</v>
      </c>
      <c r="D511" s="47">
        <f t="shared" si="14"/>
        <v>161860</v>
      </c>
      <c r="E511" s="47" t="s">
        <v>4084</v>
      </c>
      <c r="F511" s="47" t="s">
        <v>4085</v>
      </c>
      <c r="G511" s="47" t="s">
        <v>4086</v>
      </c>
      <c r="H511" s="47" t="s">
        <v>969</v>
      </c>
      <c r="I511" s="47" t="s">
        <v>4087</v>
      </c>
      <c r="J511" s="47" t="s">
        <v>944</v>
      </c>
      <c r="K511" s="47" t="s">
        <v>163</v>
      </c>
      <c r="L511" s="47" t="s">
        <v>4088</v>
      </c>
      <c r="M511" s="47" t="s">
        <v>2710</v>
      </c>
      <c r="N511" s="47" t="s">
        <v>946</v>
      </c>
      <c r="O511" s="47" t="s">
        <v>930</v>
      </c>
      <c r="P511" s="47" t="s">
        <v>930</v>
      </c>
      <c r="Q511" s="47"/>
      <c r="R511" s="47"/>
      <c r="S511" s="47"/>
      <c r="T511" s="47" t="s">
        <v>4089</v>
      </c>
      <c r="U511" s="47" t="s">
        <v>4090</v>
      </c>
      <c r="V511" s="47" t="s">
        <v>4091</v>
      </c>
      <c r="W511" s="47" t="s">
        <v>931</v>
      </c>
      <c r="X511" s="47" t="s">
        <v>932</v>
      </c>
      <c r="Y511" s="47" t="s">
        <v>4086</v>
      </c>
      <c r="Z511" s="47" t="s">
        <v>4092</v>
      </c>
      <c r="AA511" s="47" t="s">
        <v>4093</v>
      </c>
      <c r="AB511" s="47" t="s">
        <v>931</v>
      </c>
      <c r="AC511" s="47" t="s">
        <v>387</v>
      </c>
      <c r="AD511" s="47" t="s">
        <v>991</v>
      </c>
      <c r="AE511" s="47" t="s">
        <v>937</v>
      </c>
      <c r="AF511" s="47" t="s">
        <v>931</v>
      </c>
      <c r="AG511" s="47" t="s">
        <v>4094</v>
      </c>
      <c r="AH511" s="47" t="s">
        <v>1067</v>
      </c>
      <c r="AI511" s="47" t="s">
        <v>931</v>
      </c>
      <c r="AJ511" s="47" t="s">
        <v>365</v>
      </c>
      <c r="AK511" s="47" t="s">
        <v>930</v>
      </c>
      <c r="AL511" s="47" t="s">
        <v>931</v>
      </c>
      <c r="AM511" s="47" t="s">
        <v>931</v>
      </c>
      <c r="AN511" s="37"/>
    </row>
    <row r="512" spans="1:40" hidden="1">
      <c r="A512" s="47" t="s">
        <v>982</v>
      </c>
      <c r="B512" s="47" t="s">
        <v>919</v>
      </c>
      <c r="C512" s="47" t="s">
        <v>4095</v>
      </c>
      <c r="D512" s="47">
        <f t="shared" si="14"/>
        <v>161861</v>
      </c>
      <c r="E512" s="47" t="s">
        <v>276</v>
      </c>
      <c r="F512" s="47" t="s">
        <v>277</v>
      </c>
      <c r="G512" s="47" t="s">
        <v>373</v>
      </c>
      <c r="H512" s="47" t="s">
        <v>4071</v>
      </c>
      <c r="I512" s="47" t="s">
        <v>4072</v>
      </c>
      <c r="J512" s="47" t="s">
        <v>944</v>
      </c>
      <c r="K512" s="47" t="s">
        <v>163</v>
      </c>
      <c r="L512" s="47" t="s">
        <v>2959</v>
      </c>
      <c r="M512" s="47" t="s">
        <v>2961</v>
      </c>
      <c r="N512" s="47" t="s">
        <v>946</v>
      </c>
      <c r="O512" s="47" t="s">
        <v>930</v>
      </c>
      <c r="P512" s="47" t="s">
        <v>930</v>
      </c>
      <c r="Q512" s="47"/>
      <c r="R512" s="47"/>
      <c r="S512" s="47"/>
      <c r="T512" s="47" t="s">
        <v>4096</v>
      </c>
      <c r="U512" s="47" t="s">
        <v>4097</v>
      </c>
      <c r="V512" s="47" t="s">
        <v>4075</v>
      </c>
      <c r="W512" s="47" t="s">
        <v>931</v>
      </c>
      <c r="X512" s="47" t="s">
        <v>932</v>
      </c>
      <c r="Y512" s="47" t="s">
        <v>373</v>
      </c>
      <c r="Z512" s="47" t="s">
        <v>3148</v>
      </c>
      <c r="AA512" s="47" t="s">
        <v>3149</v>
      </c>
      <c r="AB512" s="47" t="s">
        <v>4098</v>
      </c>
      <c r="AC512" s="47" t="s">
        <v>373</v>
      </c>
      <c r="AD512" s="47" t="s">
        <v>4078</v>
      </c>
      <c r="AE512" s="47" t="s">
        <v>937</v>
      </c>
      <c r="AF512" s="47" t="s">
        <v>931</v>
      </c>
      <c r="AG512" s="47" t="s">
        <v>4099</v>
      </c>
      <c r="AH512" s="47" t="s">
        <v>364</v>
      </c>
      <c r="AI512" s="47" t="s">
        <v>931</v>
      </c>
      <c r="AJ512" s="47" t="s">
        <v>365</v>
      </c>
      <c r="AK512" s="47" t="s">
        <v>930</v>
      </c>
      <c r="AL512" s="47" t="s">
        <v>931</v>
      </c>
      <c r="AM512" s="47" t="s">
        <v>931</v>
      </c>
      <c r="AN512" s="37"/>
    </row>
    <row r="513" spans="1:40" hidden="1">
      <c r="A513" s="47" t="s">
        <v>982</v>
      </c>
      <c r="B513" s="47" t="s">
        <v>919</v>
      </c>
      <c r="C513" s="47" t="s">
        <v>4100</v>
      </c>
      <c r="D513" s="47">
        <f t="shared" si="14"/>
        <v>161864</v>
      </c>
      <c r="E513" s="47" t="s">
        <v>333</v>
      </c>
      <c r="F513" s="47" t="s">
        <v>334</v>
      </c>
      <c r="G513" s="47" t="s">
        <v>37</v>
      </c>
      <c r="H513" s="47" t="s">
        <v>924</v>
      </c>
      <c r="I513" s="47" t="s">
        <v>4101</v>
      </c>
      <c r="J513" s="47" t="s">
        <v>944</v>
      </c>
      <c r="K513" s="47" t="s">
        <v>163</v>
      </c>
      <c r="L513" s="47" t="s">
        <v>1015</v>
      </c>
      <c r="M513" s="47" t="s">
        <v>1173</v>
      </c>
      <c r="N513" s="47" t="s">
        <v>946</v>
      </c>
      <c r="O513" s="47" t="s">
        <v>930</v>
      </c>
      <c r="P513" s="47" t="s">
        <v>930</v>
      </c>
      <c r="Q513" s="47"/>
      <c r="R513" s="47"/>
      <c r="S513" s="47"/>
      <c r="T513" s="47" t="s">
        <v>4102</v>
      </c>
      <c r="U513" s="47" t="s">
        <v>4103</v>
      </c>
      <c r="V513" s="47" t="s">
        <v>4104</v>
      </c>
      <c r="W513" s="47" t="s">
        <v>931</v>
      </c>
      <c r="X513" s="47" t="s">
        <v>995</v>
      </c>
      <c r="Y513" s="47" t="s">
        <v>37</v>
      </c>
      <c r="Z513" s="47" t="s">
        <v>3809</v>
      </c>
      <c r="AA513" s="47" t="s">
        <v>3810</v>
      </c>
      <c r="AB513" s="47" t="s">
        <v>931</v>
      </c>
      <c r="AC513" s="47" t="s">
        <v>37</v>
      </c>
      <c r="AD513" s="47" t="s">
        <v>4105</v>
      </c>
      <c r="AE513" s="47" t="s">
        <v>937</v>
      </c>
      <c r="AF513" s="47" t="s">
        <v>931</v>
      </c>
      <c r="AG513" s="47" t="s">
        <v>4106</v>
      </c>
      <c r="AH513" s="47" t="s">
        <v>364</v>
      </c>
      <c r="AI513" s="47" t="s">
        <v>931</v>
      </c>
      <c r="AJ513" s="47" t="s">
        <v>365</v>
      </c>
      <c r="AK513" s="47" t="s">
        <v>930</v>
      </c>
      <c r="AL513" s="47" t="s">
        <v>931</v>
      </c>
      <c r="AM513" s="47" t="s">
        <v>931</v>
      </c>
      <c r="AN513" s="37"/>
    </row>
    <row r="514" spans="1:40" hidden="1">
      <c r="A514" s="47" t="s">
        <v>982</v>
      </c>
      <c r="B514" s="47" t="s">
        <v>919</v>
      </c>
      <c r="C514" s="47" t="s">
        <v>4107</v>
      </c>
      <c r="D514" s="47">
        <f t="shared" si="14"/>
        <v>161859</v>
      </c>
      <c r="E514" s="47" t="s">
        <v>4084</v>
      </c>
      <c r="F514" s="47" t="s">
        <v>4085</v>
      </c>
      <c r="G514" s="47" t="s">
        <v>472</v>
      </c>
      <c r="H514" s="47" t="s">
        <v>969</v>
      </c>
      <c r="I514" s="47" t="s">
        <v>4072</v>
      </c>
      <c r="J514" s="47" t="s">
        <v>944</v>
      </c>
      <c r="K514" s="47" t="s">
        <v>163</v>
      </c>
      <c r="L514" s="47" t="s">
        <v>4108</v>
      </c>
      <c r="M514" s="47" t="s">
        <v>2710</v>
      </c>
      <c r="N514" s="47" t="s">
        <v>946</v>
      </c>
      <c r="O514" s="47" t="s">
        <v>930</v>
      </c>
      <c r="P514" s="47" t="s">
        <v>930</v>
      </c>
      <c r="Q514" s="47"/>
      <c r="R514" s="47"/>
      <c r="S514" s="47"/>
      <c r="T514" s="47" t="s">
        <v>4109</v>
      </c>
      <c r="U514" s="47" t="s">
        <v>4110</v>
      </c>
      <c r="V514" s="47" t="s">
        <v>4111</v>
      </c>
      <c r="W514" s="47" t="s">
        <v>931</v>
      </c>
      <c r="X514" s="47" t="s">
        <v>932</v>
      </c>
      <c r="Y514" s="47" t="s">
        <v>472</v>
      </c>
      <c r="Z514" s="47" t="s">
        <v>1018</v>
      </c>
      <c r="AA514" s="47" t="s">
        <v>1019</v>
      </c>
      <c r="AB514" s="47" t="s">
        <v>931</v>
      </c>
      <c r="AC514" s="47" t="s">
        <v>387</v>
      </c>
      <c r="AD514" s="47" t="s">
        <v>4078</v>
      </c>
      <c r="AE514" s="47" t="s">
        <v>937</v>
      </c>
      <c r="AF514" s="47" t="s">
        <v>931</v>
      </c>
      <c r="AG514" s="47" t="s">
        <v>4112</v>
      </c>
      <c r="AH514" s="47" t="s">
        <v>1067</v>
      </c>
      <c r="AI514" s="47" t="s">
        <v>931</v>
      </c>
      <c r="AJ514" s="47" t="s">
        <v>365</v>
      </c>
      <c r="AK514" s="47" t="s">
        <v>930</v>
      </c>
      <c r="AL514" s="47" t="s">
        <v>931</v>
      </c>
      <c r="AM514" s="47" t="s">
        <v>931</v>
      </c>
      <c r="AN514" s="37"/>
    </row>
    <row r="515" spans="1:40" hidden="1">
      <c r="A515" s="47" t="s">
        <v>982</v>
      </c>
      <c r="B515" s="47" t="s">
        <v>919</v>
      </c>
      <c r="C515" s="47" t="s">
        <v>4113</v>
      </c>
      <c r="D515" s="47">
        <f t="shared" ref="D515:D578" si="15">VALUE(C515)</f>
        <v>162309</v>
      </c>
      <c r="E515" s="47" t="s">
        <v>3954</v>
      </c>
      <c r="F515" s="47" t="s">
        <v>3955</v>
      </c>
      <c r="G515" s="47" t="s">
        <v>3960</v>
      </c>
      <c r="H515" s="47" t="s">
        <v>924</v>
      </c>
      <c r="I515" s="47" t="s">
        <v>3956</v>
      </c>
      <c r="J515" s="47" t="s">
        <v>1024</v>
      </c>
      <c r="K515" s="47" t="s">
        <v>163</v>
      </c>
      <c r="L515" s="47" t="s">
        <v>3377</v>
      </c>
      <c r="M515" s="47" t="s">
        <v>3377</v>
      </c>
      <c r="N515" s="47" t="s">
        <v>946</v>
      </c>
      <c r="O515" s="47" t="s">
        <v>930</v>
      </c>
      <c r="P515" s="47" t="s">
        <v>930</v>
      </c>
      <c r="Q515" s="47"/>
      <c r="R515" s="47"/>
      <c r="S515" s="47"/>
      <c r="T515" s="47" t="s">
        <v>4114</v>
      </c>
      <c r="U515" s="47" t="s">
        <v>4115</v>
      </c>
      <c r="V515" s="47" t="s">
        <v>3380</v>
      </c>
      <c r="W515" s="47" t="s">
        <v>931</v>
      </c>
      <c r="X515" s="47" t="s">
        <v>995</v>
      </c>
      <c r="Y515" s="47" t="s">
        <v>3960</v>
      </c>
      <c r="Z515" s="47" t="s">
        <v>4116</v>
      </c>
      <c r="AA515" s="47" t="s">
        <v>4117</v>
      </c>
      <c r="AB515" s="47" t="s">
        <v>931</v>
      </c>
      <c r="AC515" s="47" t="s">
        <v>3960</v>
      </c>
      <c r="AD515" s="47" t="s">
        <v>3961</v>
      </c>
      <c r="AE515" s="47" t="s">
        <v>3479</v>
      </c>
      <c r="AF515" s="47" t="s">
        <v>4118</v>
      </c>
      <c r="AG515" s="47" t="s">
        <v>4119</v>
      </c>
      <c r="AH515" s="47" t="s">
        <v>1067</v>
      </c>
      <c r="AI515" s="47" t="s">
        <v>931</v>
      </c>
      <c r="AJ515" s="47" t="s">
        <v>365</v>
      </c>
      <c r="AK515" s="47" t="s">
        <v>930</v>
      </c>
      <c r="AL515" s="47" t="s">
        <v>931</v>
      </c>
      <c r="AM515" s="47" t="s">
        <v>931</v>
      </c>
      <c r="AN515" s="37"/>
    </row>
    <row r="516" spans="1:40" hidden="1">
      <c r="A516" s="47" t="s">
        <v>982</v>
      </c>
      <c r="B516" s="47" t="s">
        <v>919</v>
      </c>
      <c r="C516" s="47" t="s">
        <v>4120</v>
      </c>
      <c r="D516" s="47">
        <f t="shared" si="15"/>
        <v>161858</v>
      </c>
      <c r="E516" s="47" t="s">
        <v>279</v>
      </c>
      <c r="F516" s="47" t="s">
        <v>280</v>
      </c>
      <c r="G516" s="47" t="s">
        <v>386</v>
      </c>
      <c r="H516" s="47" t="s">
        <v>969</v>
      </c>
      <c r="I516" s="47" t="s">
        <v>4072</v>
      </c>
      <c r="J516" s="47" t="s">
        <v>944</v>
      </c>
      <c r="K516" s="47" t="s">
        <v>163</v>
      </c>
      <c r="L516" s="47" t="s">
        <v>4121</v>
      </c>
      <c r="M516" s="47" t="s">
        <v>2710</v>
      </c>
      <c r="N516" s="47" t="s">
        <v>946</v>
      </c>
      <c r="O516" s="47" t="s">
        <v>930</v>
      </c>
      <c r="P516" s="47" t="s">
        <v>930</v>
      </c>
      <c r="Q516" s="47"/>
      <c r="R516" s="47"/>
      <c r="S516" s="47"/>
      <c r="T516" s="47" t="s">
        <v>4122</v>
      </c>
      <c r="U516" s="47" t="s">
        <v>4123</v>
      </c>
      <c r="V516" s="47" t="s">
        <v>4091</v>
      </c>
      <c r="W516" s="47" t="s">
        <v>931</v>
      </c>
      <c r="X516" s="47" t="s">
        <v>932</v>
      </c>
      <c r="Y516" s="47" t="s">
        <v>386</v>
      </c>
      <c r="Z516" s="47" t="s">
        <v>1047</v>
      </c>
      <c r="AA516" s="47" t="s">
        <v>1048</v>
      </c>
      <c r="AB516" s="47" t="s">
        <v>931</v>
      </c>
      <c r="AC516" s="47" t="s">
        <v>414</v>
      </c>
      <c r="AD516" s="47" t="s">
        <v>4078</v>
      </c>
      <c r="AE516" s="47" t="s">
        <v>937</v>
      </c>
      <c r="AF516" s="47" t="s">
        <v>931</v>
      </c>
      <c r="AG516" s="47" t="s">
        <v>4124</v>
      </c>
      <c r="AH516" s="47" t="s">
        <v>364</v>
      </c>
      <c r="AI516" s="47" t="s">
        <v>931</v>
      </c>
      <c r="AJ516" s="47" t="s">
        <v>365</v>
      </c>
      <c r="AK516" s="47" t="s">
        <v>930</v>
      </c>
      <c r="AL516" s="47" t="s">
        <v>931</v>
      </c>
      <c r="AM516" s="47" t="s">
        <v>931</v>
      </c>
      <c r="AN516" s="37"/>
    </row>
    <row r="517" spans="1:40" hidden="1">
      <c r="A517" s="47" t="s">
        <v>982</v>
      </c>
      <c r="B517" s="47" t="s">
        <v>919</v>
      </c>
      <c r="C517" s="47" t="s">
        <v>4125</v>
      </c>
      <c r="D517" s="47">
        <f t="shared" si="15"/>
        <v>161857</v>
      </c>
      <c r="E517" s="47" t="s">
        <v>279</v>
      </c>
      <c r="F517" s="47" t="s">
        <v>280</v>
      </c>
      <c r="G517" s="47" t="s">
        <v>386</v>
      </c>
      <c r="H517" s="47" t="s">
        <v>969</v>
      </c>
      <c r="I517" s="47" t="s">
        <v>4072</v>
      </c>
      <c r="J517" s="47" t="s">
        <v>944</v>
      </c>
      <c r="K517" s="47" t="s">
        <v>163</v>
      </c>
      <c r="L517" s="47" t="s">
        <v>4126</v>
      </c>
      <c r="M517" s="47" t="s">
        <v>2710</v>
      </c>
      <c r="N517" s="47" t="s">
        <v>946</v>
      </c>
      <c r="O517" s="47" t="s">
        <v>930</v>
      </c>
      <c r="P517" s="47" t="s">
        <v>930</v>
      </c>
      <c r="Q517" s="47"/>
      <c r="R517" s="47"/>
      <c r="S517" s="47"/>
      <c r="T517" s="47" t="s">
        <v>4127</v>
      </c>
      <c r="U517" s="47" t="s">
        <v>4128</v>
      </c>
      <c r="V517" s="47" t="s">
        <v>4111</v>
      </c>
      <c r="W517" s="47" t="s">
        <v>931</v>
      </c>
      <c r="X517" s="47" t="s">
        <v>995</v>
      </c>
      <c r="Y517" s="47" t="s">
        <v>386</v>
      </c>
      <c r="Z517" s="47" t="s">
        <v>1047</v>
      </c>
      <c r="AA517" s="47" t="s">
        <v>1048</v>
      </c>
      <c r="AB517" s="47" t="s">
        <v>931</v>
      </c>
      <c r="AC517" s="47" t="s">
        <v>414</v>
      </c>
      <c r="AD517" s="47" t="s">
        <v>4078</v>
      </c>
      <c r="AE517" s="47" t="s">
        <v>937</v>
      </c>
      <c r="AF517" s="47" t="s">
        <v>931</v>
      </c>
      <c r="AG517" s="47" t="s">
        <v>4124</v>
      </c>
      <c r="AH517" s="47" t="s">
        <v>364</v>
      </c>
      <c r="AI517" s="47" t="s">
        <v>931</v>
      </c>
      <c r="AJ517" s="47" t="s">
        <v>365</v>
      </c>
      <c r="AK517" s="47" t="s">
        <v>930</v>
      </c>
      <c r="AL517" s="47" t="s">
        <v>931</v>
      </c>
      <c r="AM517" s="47" t="s">
        <v>931</v>
      </c>
      <c r="AN517" s="37"/>
    </row>
    <row r="518" spans="1:40" hidden="1">
      <c r="A518" s="47" t="s">
        <v>982</v>
      </c>
      <c r="B518" s="47" t="s">
        <v>919</v>
      </c>
      <c r="C518" s="47" t="s">
        <v>4129</v>
      </c>
      <c r="D518" s="47">
        <f t="shared" si="15"/>
        <v>161855</v>
      </c>
      <c r="E518" s="47" t="s">
        <v>239</v>
      </c>
      <c r="F518" s="47" t="s">
        <v>240</v>
      </c>
      <c r="G518" s="47" t="s">
        <v>875</v>
      </c>
      <c r="H518" s="47" t="s">
        <v>1194</v>
      </c>
      <c r="I518" s="47" t="s">
        <v>4072</v>
      </c>
      <c r="J518" s="47" t="s">
        <v>944</v>
      </c>
      <c r="K518" s="47" t="s">
        <v>163</v>
      </c>
      <c r="L518" s="47" t="s">
        <v>4130</v>
      </c>
      <c r="M518" s="47" t="s">
        <v>2719</v>
      </c>
      <c r="N518" s="47" t="s">
        <v>946</v>
      </c>
      <c r="O518" s="47" t="s">
        <v>930</v>
      </c>
      <c r="P518" s="47" t="s">
        <v>930</v>
      </c>
      <c r="Q518" s="47"/>
      <c r="R518" s="47"/>
      <c r="S518" s="47"/>
      <c r="T518" s="47" t="s">
        <v>4131</v>
      </c>
      <c r="U518" s="47" t="s">
        <v>4132</v>
      </c>
      <c r="V518" s="47" t="s">
        <v>4111</v>
      </c>
      <c r="W518" s="47" t="s">
        <v>931</v>
      </c>
      <c r="X518" s="47" t="s">
        <v>995</v>
      </c>
      <c r="Y518" s="47" t="s">
        <v>875</v>
      </c>
      <c r="Z518" s="47" t="s">
        <v>2949</v>
      </c>
      <c r="AA518" s="47" t="s">
        <v>2950</v>
      </c>
      <c r="AB518" s="47" t="s">
        <v>931</v>
      </c>
      <c r="AC518" s="47" t="s">
        <v>1202</v>
      </c>
      <c r="AD518" s="47" t="s">
        <v>4078</v>
      </c>
      <c r="AE518" s="47" t="s">
        <v>937</v>
      </c>
      <c r="AF518" s="47" t="s">
        <v>931</v>
      </c>
      <c r="AG518" s="47" t="s">
        <v>4133</v>
      </c>
      <c r="AH518" s="47" t="s">
        <v>364</v>
      </c>
      <c r="AI518" s="47" t="s">
        <v>931</v>
      </c>
      <c r="AJ518" s="47" t="s">
        <v>365</v>
      </c>
      <c r="AK518" s="47" t="s">
        <v>930</v>
      </c>
      <c r="AL518" s="47" t="s">
        <v>931</v>
      </c>
      <c r="AM518" s="47" t="s">
        <v>931</v>
      </c>
      <c r="AN518" s="37"/>
    </row>
    <row r="519" spans="1:40" hidden="1">
      <c r="A519" s="47" t="s">
        <v>982</v>
      </c>
      <c r="B519" s="47" t="s">
        <v>919</v>
      </c>
      <c r="C519" s="47" t="s">
        <v>4134</v>
      </c>
      <c r="D519" s="47">
        <f t="shared" si="15"/>
        <v>161856</v>
      </c>
      <c r="E519" s="47" t="s">
        <v>239</v>
      </c>
      <c r="F519" s="47" t="s">
        <v>240</v>
      </c>
      <c r="G519" s="47" t="s">
        <v>1251</v>
      </c>
      <c r="H519" s="47" t="s">
        <v>1194</v>
      </c>
      <c r="I519" s="47" t="s">
        <v>4072</v>
      </c>
      <c r="J519" s="47" t="s">
        <v>944</v>
      </c>
      <c r="K519" s="47" t="s">
        <v>163</v>
      </c>
      <c r="L519" s="47" t="s">
        <v>1506</v>
      </c>
      <c r="M519" s="47" t="s">
        <v>2719</v>
      </c>
      <c r="N519" s="47" t="s">
        <v>946</v>
      </c>
      <c r="O519" s="47" t="s">
        <v>930</v>
      </c>
      <c r="P519" s="47" t="s">
        <v>930</v>
      </c>
      <c r="Q519" s="47"/>
      <c r="R519" s="47"/>
      <c r="S519" s="47"/>
      <c r="T519" s="47" t="s">
        <v>4135</v>
      </c>
      <c r="U519" s="47" t="s">
        <v>4136</v>
      </c>
      <c r="V519" s="47" t="s">
        <v>4111</v>
      </c>
      <c r="W519" s="47" t="s">
        <v>931</v>
      </c>
      <c r="X519" s="47" t="s">
        <v>995</v>
      </c>
      <c r="Y519" s="47" t="s">
        <v>1251</v>
      </c>
      <c r="Z519" s="47" t="s">
        <v>4137</v>
      </c>
      <c r="AA519" s="47" t="s">
        <v>4138</v>
      </c>
      <c r="AB519" s="47" t="s">
        <v>931</v>
      </c>
      <c r="AC519" s="47" t="s">
        <v>1202</v>
      </c>
      <c r="AD519" s="47" t="s">
        <v>4078</v>
      </c>
      <c r="AE519" s="47" t="s">
        <v>937</v>
      </c>
      <c r="AF519" s="47" t="s">
        <v>931</v>
      </c>
      <c r="AG519" s="47" t="s">
        <v>4139</v>
      </c>
      <c r="AH519" s="47" t="s">
        <v>364</v>
      </c>
      <c r="AI519" s="47" t="s">
        <v>931</v>
      </c>
      <c r="AJ519" s="47" t="s">
        <v>365</v>
      </c>
      <c r="AK519" s="47" t="s">
        <v>930</v>
      </c>
      <c r="AL519" s="47" t="s">
        <v>931</v>
      </c>
      <c r="AM519" s="47" t="s">
        <v>931</v>
      </c>
      <c r="AN519" s="37"/>
    </row>
    <row r="520" spans="1:40" hidden="1">
      <c r="A520" s="47" t="s">
        <v>982</v>
      </c>
      <c r="B520" s="47" t="s">
        <v>919</v>
      </c>
      <c r="C520" s="47" t="s">
        <v>4140</v>
      </c>
      <c r="D520" s="47">
        <f t="shared" si="15"/>
        <v>162409</v>
      </c>
      <c r="E520" s="47" t="s">
        <v>216</v>
      </c>
      <c r="F520" s="47" t="s">
        <v>217</v>
      </c>
      <c r="G520" s="47" t="s">
        <v>482</v>
      </c>
      <c r="H520" s="47" t="s">
        <v>924</v>
      </c>
      <c r="I520" s="47" t="s">
        <v>4141</v>
      </c>
      <c r="J520" s="47" t="s">
        <v>1024</v>
      </c>
      <c r="K520" s="47" t="s">
        <v>163</v>
      </c>
      <c r="L520" s="47" t="s">
        <v>4142</v>
      </c>
      <c r="M520" s="47" t="s">
        <v>4143</v>
      </c>
      <c r="N520" s="47" t="s">
        <v>946</v>
      </c>
      <c r="O520" s="47" t="s">
        <v>930</v>
      </c>
      <c r="P520" s="47" t="s">
        <v>930</v>
      </c>
      <c r="Q520" s="47"/>
      <c r="R520" s="47"/>
      <c r="S520" s="47"/>
      <c r="T520" s="47" t="s">
        <v>4144</v>
      </c>
      <c r="U520" s="47" t="s">
        <v>4145</v>
      </c>
      <c r="V520" s="47" t="s">
        <v>3380</v>
      </c>
      <c r="W520" s="47" t="s">
        <v>931</v>
      </c>
      <c r="X520" s="47" t="s">
        <v>932</v>
      </c>
      <c r="Y520" s="47" t="s">
        <v>482</v>
      </c>
      <c r="Z520" s="47" t="s">
        <v>2962</v>
      </c>
      <c r="AA520" s="47" t="s">
        <v>2963</v>
      </c>
      <c r="AB520" s="47" t="s">
        <v>931</v>
      </c>
      <c r="AC520" s="47" t="s">
        <v>438</v>
      </c>
      <c r="AD520" s="47" t="s">
        <v>4146</v>
      </c>
      <c r="AE520" s="47" t="s">
        <v>3479</v>
      </c>
      <c r="AF520" s="47" t="s">
        <v>931</v>
      </c>
      <c r="AG520" s="47" t="s">
        <v>4147</v>
      </c>
      <c r="AH520" s="47" t="s">
        <v>364</v>
      </c>
      <c r="AI520" s="47" t="s">
        <v>931</v>
      </c>
      <c r="AJ520" s="47" t="s">
        <v>365</v>
      </c>
      <c r="AK520" s="47" t="s">
        <v>930</v>
      </c>
      <c r="AL520" s="47" t="s">
        <v>931</v>
      </c>
      <c r="AM520" s="47" t="s">
        <v>931</v>
      </c>
      <c r="AN520" s="37"/>
    </row>
    <row r="521" spans="1:40" hidden="1">
      <c r="A521" s="47" t="s">
        <v>982</v>
      </c>
      <c r="B521" s="47" t="s">
        <v>919</v>
      </c>
      <c r="C521" s="47" t="s">
        <v>4148</v>
      </c>
      <c r="D521" s="47">
        <f t="shared" si="15"/>
        <v>161523</v>
      </c>
      <c r="E521" s="47" t="s">
        <v>261</v>
      </c>
      <c r="F521" s="47" t="s">
        <v>262</v>
      </c>
      <c r="G521" s="47" t="s">
        <v>3058</v>
      </c>
      <c r="H521" s="47" t="s">
        <v>1325</v>
      </c>
      <c r="I521" s="47" t="s">
        <v>4149</v>
      </c>
      <c r="J521" s="47" t="s">
        <v>1505</v>
      </c>
      <c r="K521" s="47" t="s">
        <v>163</v>
      </c>
      <c r="L521" s="47" t="s">
        <v>1056</v>
      </c>
      <c r="M521" s="47" t="s">
        <v>928</v>
      </c>
      <c r="N521" s="47" t="s">
        <v>946</v>
      </c>
      <c r="O521" s="47" t="s">
        <v>930</v>
      </c>
      <c r="P521" s="47" t="s">
        <v>930</v>
      </c>
      <c r="Q521" s="47"/>
      <c r="R521" s="47"/>
      <c r="S521" s="47"/>
      <c r="T521" s="47" t="s">
        <v>4150</v>
      </c>
      <c r="U521" s="47" t="s">
        <v>4151</v>
      </c>
      <c r="V521" s="47" t="s">
        <v>4152</v>
      </c>
      <c r="W521" s="47" t="s">
        <v>931</v>
      </c>
      <c r="X521" s="47" t="s">
        <v>932</v>
      </c>
      <c r="Y521" s="47" t="s">
        <v>3058</v>
      </c>
      <c r="Z521" s="47" t="s">
        <v>3063</v>
      </c>
      <c r="AA521" s="47" t="s">
        <v>3064</v>
      </c>
      <c r="AB521" s="47" t="s">
        <v>931</v>
      </c>
      <c r="AC521" s="47" t="s">
        <v>438</v>
      </c>
      <c r="AD521" s="47" t="s">
        <v>4153</v>
      </c>
      <c r="AE521" s="47" t="s">
        <v>937</v>
      </c>
      <c r="AF521" s="47" t="s">
        <v>931</v>
      </c>
      <c r="AG521" s="47" t="s">
        <v>931</v>
      </c>
      <c r="AH521" s="47" t="s">
        <v>364</v>
      </c>
      <c r="AI521" s="47" t="s">
        <v>931</v>
      </c>
      <c r="AJ521" s="47" t="s">
        <v>365</v>
      </c>
      <c r="AK521" s="47" t="s">
        <v>930</v>
      </c>
      <c r="AL521" s="47" t="s">
        <v>931</v>
      </c>
      <c r="AM521" s="47" t="s">
        <v>931</v>
      </c>
      <c r="AN521" s="37"/>
    </row>
    <row r="522" spans="1:40" hidden="1">
      <c r="A522" s="47" t="s">
        <v>982</v>
      </c>
      <c r="B522" s="47" t="s">
        <v>919</v>
      </c>
      <c r="C522" s="47" t="s">
        <v>4154</v>
      </c>
      <c r="D522" s="47">
        <f t="shared" si="15"/>
        <v>161524</v>
      </c>
      <c r="E522" s="47" t="s">
        <v>254</v>
      </c>
      <c r="F522" s="47" t="s">
        <v>255</v>
      </c>
      <c r="G522" s="47" t="s">
        <v>515</v>
      </c>
      <c r="H522" s="47" t="s">
        <v>969</v>
      </c>
      <c r="I522" s="47" t="s">
        <v>4155</v>
      </c>
      <c r="J522" s="47" t="s">
        <v>1505</v>
      </c>
      <c r="K522" s="47" t="s">
        <v>163</v>
      </c>
      <c r="L522" s="47" t="s">
        <v>4156</v>
      </c>
      <c r="M522" s="47" t="s">
        <v>928</v>
      </c>
      <c r="N522" s="47" t="s">
        <v>946</v>
      </c>
      <c r="O522" s="47" t="s">
        <v>930</v>
      </c>
      <c r="P522" s="47" t="s">
        <v>930</v>
      </c>
      <c r="Q522" s="47"/>
      <c r="R522" s="47"/>
      <c r="S522" s="47"/>
      <c r="T522" s="47" t="s">
        <v>4157</v>
      </c>
      <c r="U522" s="47" t="s">
        <v>4158</v>
      </c>
      <c r="V522" s="47" t="s">
        <v>4159</v>
      </c>
      <c r="W522" s="47" t="s">
        <v>931</v>
      </c>
      <c r="X522" s="47" t="s">
        <v>932</v>
      </c>
      <c r="Y522" s="47" t="s">
        <v>515</v>
      </c>
      <c r="Z522" s="47" t="s">
        <v>3824</v>
      </c>
      <c r="AA522" s="47" t="s">
        <v>3825</v>
      </c>
      <c r="AB522" s="47" t="s">
        <v>931</v>
      </c>
      <c r="AC522" s="47" t="s">
        <v>515</v>
      </c>
      <c r="AD522" s="47" t="s">
        <v>4160</v>
      </c>
      <c r="AE522" s="47" t="s">
        <v>3479</v>
      </c>
      <c r="AF522" s="47" t="s">
        <v>931</v>
      </c>
      <c r="AG522" s="47" t="s">
        <v>4161</v>
      </c>
      <c r="AH522" s="47" t="s">
        <v>364</v>
      </c>
      <c r="AI522" s="47" t="s">
        <v>931</v>
      </c>
      <c r="AJ522" s="47" t="s">
        <v>365</v>
      </c>
      <c r="AK522" s="47" t="s">
        <v>930</v>
      </c>
      <c r="AL522" s="47" t="s">
        <v>931</v>
      </c>
      <c r="AM522" s="47" t="s">
        <v>931</v>
      </c>
      <c r="AN522" s="37"/>
    </row>
    <row r="523" spans="1:40" hidden="1">
      <c r="A523" s="47" t="s">
        <v>982</v>
      </c>
      <c r="B523" s="47" t="s">
        <v>919</v>
      </c>
      <c r="C523" s="47" t="s">
        <v>4162</v>
      </c>
      <c r="D523" s="47">
        <f t="shared" si="15"/>
        <v>161552</v>
      </c>
      <c r="E523" s="47" t="s">
        <v>225</v>
      </c>
      <c r="F523" s="47" t="s">
        <v>226</v>
      </c>
      <c r="G523" s="47" t="s">
        <v>504</v>
      </c>
      <c r="H523" s="47" t="s">
        <v>969</v>
      </c>
      <c r="I523" s="47" t="s">
        <v>4163</v>
      </c>
      <c r="J523" s="47" t="s">
        <v>1505</v>
      </c>
      <c r="K523" s="47" t="s">
        <v>163</v>
      </c>
      <c r="L523" s="47" t="s">
        <v>1506</v>
      </c>
      <c r="M523" s="47" t="s">
        <v>1173</v>
      </c>
      <c r="N523" s="47" t="s">
        <v>946</v>
      </c>
      <c r="O523" s="47" t="s">
        <v>930</v>
      </c>
      <c r="P523" s="47" t="s">
        <v>930</v>
      </c>
      <c r="Q523" s="47"/>
      <c r="R523" s="47"/>
      <c r="S523" s="47"/>
      <c r="T523" s="47" t="s">
        <v>4164</v>
      </c>
      <c r="U523" s="47" t="s">
        <v>4165</v>
      </c>
      <c r="V523" s="47" t="s">
        <v>4166</v>
      </c>
      <c r="W523" s="47" t="s">
        <v>931</v>
      </c>
      <c r="X523" s="47" t="s">
        <v>995</v>
      </c>
      <c r="Y523" s="47" t="s">
        <v>504</v>
      </c>
      <c r="Z523" s="47" t="s">
        <v>3774</v>
      </c>
      <c r="AA523" s="47" t="s">
        <v>3775</v>
      </c>
      <c r="AB523" s="47" t="s">
        <v>931</v>
      </c>
      <c r="AC523" s="47" t="s">
        <v>504</v>
      </c>
      <c r="AD523" s="47" t="s">
        <v>4167</v>
      </c>
      <c r="AE523" s="47" t="s">
        <v>937</v>
      </c>
      <c r="AF523" s="47" t="s">
        <v>931</v>
      </c>
      <c r="AG523" s="47" t="s">
        <v>4168</v>
      </c>
      <c r="AH523" s="47" t="s">
        <v>364</v>
      </c>
      <c r="AI523" s="47" t="s">
        <v>931</v>
      </c>
      <c r="AJ523" s="47" t="s">
        <v>365</v>
      </c>
      <c r="AK523" s="47" t="s">
        <v>930</v>
      </c>
      <c r="AL523" s="47" t="s">
        <v>931</v>
      </c>
      <c r="AM523" s="47" t="s">
        <v>931</v>
      </c>
      <c r="AN523" s="37"/>
    </row>
    <row r="524" spans="1:40" hidden="1">
      <c r="A524" s="47" t="s">
        <v>982</v>
      </c>
      <c r="B524" s="47" t="s">
        <v>919</v>
      </c>
      <c r="C524" s="47" t="s">
        <v>4169</v>
      </c>
      <c r="D524" s="47">
        <f t="shared" si="15"/>
        <v>161522</v>
      </c>
      <c r="E524" s="47" t="s">
        <v>1718</v>
      </c>
      <c r="F524" s="47" t="s">
        <v>1719</v>
      </c>
      <c r="G524" s="47" t="s">
        <v>1160</v>
      </c>
      <c r="H524" s="47" t="s">
        <v>1753</v>
      </c>
      <c r="I524" s="47" t="s">
        <v>4170</v>
      </c>
      <c r="J524" s="47" t="s">
        <v>1505</v>
      </c>
      <c r="K524" s="47" t="s">
        <v>163</v>
      </c>
      <c r="L524" s="47" t="s">
        <v>1057</v>
      </c>
      <c r="M524" s="47" t="s">
        <v>928</v>
      </c>
      <c r="N524" s="47" t="s">
        <v>946</v>
      </c>
      <c r="O524" s="47" t="s">
        <v>930</v>
      </c>
      <c r="P524" s="47" t="s">
        <v>930</v>
      </c>
      <c r="Q524" s="47"/>
      <c r="R524" s="47"/>
      <c r="S524" s="47"/>
      <c r="T524" s="47" t="s">
        <v>4171</v>
      </c>
      <c r="U524" s="47" t="s">
        <v>4172</v>
      </c>
      <c r="V524" s="47" t="s">
        <v>4152</v>
      </c>
      <c r="W524" s="47" t="s">
        <v>931</v>
      </c>
      <c r="X524" s="47" t="s">
        <v>932</v>
      </c>
      <c r="Y524" s="47" t="s">
        <v>1160</v>
      </c>
      <c r="Z524" s="47" t="s">
        <v>1161</v>
      </c>
      <c r="AA524" s="47" t="s">
        <v>1162</v>
      </c>
      <c r="AB524" s="47" t="s">
        <v>4173</v>
      </c>
      <c r="AC524" s="47" t="s">
        <v>451</v>
      </c>
      <c r="AD524" s="47" t="s">
        <v>4174</v>
      </c>
      <c r="AE524" s="47" t="s">
        <v>3479</v>
      </c>
      <c r="AF524" s="47" t="s">
        <v>4175</v>
      </c>
      <c r="AG524" s="47" t="s">
        <v>4176</v>
      </c>
      <c r="AH524" s="47" t="s">
        <v>1067</v>
      </c>
      <c r="AI524" s="47" t="s">
        <v>931</v>
      </c>
      <c r="AJ524" s="47" t="s">
        <v>365</v>
      </c>
      <c r="AK524" s="47" t="s">
        <v>930</v>
      </c>
      <c r="AL524" s="47" t="s">
        <v>931</v>
      </c>
      <c r="AM524" s="47" t="s">
        <v>931</v>
      </c>
      <c r="AN524" s="37"/>
    </row>
    <row r="525" spans="1:40" hidden="1">
      <c r="A525" s="47" t="s">
        <v>982</v>
      </c>
      <c r="B525" s="47" t="s">
        <v>919</v>
      </c>
      <c r="C525" s="47" t="s">
        <v>4177</v>
      </c>
      <c r="D525" s="47">
        <f t="shared" si="15"/>
        <v>161553</v>
      </c>
      <c r="E525" s="47" t="s">
        <v>242</v>
      </c>
      <c r="F525" s="47" t="s">
        <v>243</v>
      </c>
      <c r="G525" s="47" t="s">
        <v>2937</v>
      </c>
      <c r="H525" s="47" t="s">
        <v>924</v>
      </c>
      <c r="I525" s="47" t="s">
        <v>4163</v>
      </c>
      <c r="J525" s="47" t="s">
        <v>1505</v>
      </c>
      <c r="K525" s="47" t="s">
        <v>163</v>
      </c>
      <c r="L525" s="47" t="s">
        <v>1506</v>
      </c>
      <c r="M525" s="47" t="s">
        <v>1173</v>
      </c>
      <c r="N525" s="47" t="s">
        <v>946</v>
      </c>
      <c r="O525" s="47" t="s">
        <v>930</v>
      </c>
      <c r="P525" s="47" t="s">
        <v>930</v>
      </c>
      <c r="Q525" s="47"/>
      <c r="R525" s="47"/>
      <c r="S525" s="47"/>
      <c r="T525" s="47" t="s">
        <v>4178</v>
      </c>
      <c r="U525" s="47" t="s">
        <v>4179</v>
      </c>
      <c r="V525" s="47" t="s">
        <v>3062</v>
      </c>
      <c r="W525" s="47" t="s">
        <v>931</v>
      </c>
      <c r="X525" s="47" t="s">
        <v>932</v>
      </c>
      <c r="Y525" s="47" t="s">
        <v>2937</v>
      </c>
      <c r="Z525" s="47" t="s">
        <v>3411</v>
      </c>
      <c r="AA525" s="47" t="s">
        <v>3412</v>
      </c>
      <c r="AB525" s="47" t="s">
        <v>4180</v>
      </c>
      <c r="AC525" s="47" t="s">
        <v>382</v>
      </c>
      <c r="AD525" s="47" t="s">
        <v>4167</v>
      </c>
      <c r="AE525" s="47" t="s">
        <v>937</v>
      </c>
      <c r="AF525" s="47" t="s">
        <v>931</v>
      </c>
      <c r="AG525" s="47" t="s">
        <v>931</v>
      </c>
      <c r="AH525" s="47" t="s">
        <v>364</v>
      </c>
      <c r="AI525" s="47" t="s">
        <v>931</v>
      </c>
      <c r="AJ525" s="47" t="s">
        <v>365</v>
      </c>
      <c r="AK525" s="47" t="s">
        <v>930</v>
      </c>
      <c r="AL525" s="47" t="s">
        <v>931</v>
      </c>
      <c r="AM525" s="47" t="s">
        <v>931</v>
      </c>
      <c r="AN525" s="37"/>
    </row>
    <row r="526" spans="1:40" hidden="1">
      <c r="A526" s="47" t="s">
        <v>982</v>
      </c>
      <c r="B526" s="47" t="s">
        <v>919</v>
      </c>
      <c r="C526" s="47" t="s">
        <v>4181</v>
      </c>
      <c r="D526" s="47">
        <f t="shared" si="15"/>
        <v>161538</v>
      </c>
      <c r="E526" s="47" t="s">
        <v>216</v>
      </c>
      <c r="F526" s="47" t="s">
        <v>217</v>
      </c>
      <c r="G526" s="47" t="s">
        <v>468</v>
      </c>
      <c r="H526" s="47" t="s">
        <v>924</v>
      </c>
      <c r="I526" s="47" t="s">
        <v>4182</v>
      </c>
      <c r="J526" s="47" t="s">
        <v>1505</v>
      </c>
      <c r="K526" s="47" t="s">
        <v>163</v>
      </c>
      <c r="L526" s="47" t="s">
        <v>1057</v>
      </c>
      <c r="M526" s="47" t="s">
        <v>1056</v>
      </c>
      <c r="N526" s="47" t="s">
        <v>946</v>
      </c>
      <c r="O526" s="47" t="s">
        <v>930</v>
      </c>
      <c r="P526" s="47" t="s">
        <v>930</v>
      </c>
      <c r="Q526" s="47"/>
      <c r="R526" s="47"/>
      <c r="S526" s="47"/>
      <c r="T526" s="47" t="s">
        <v>4183</v>
      </c>
      <c r="U526" s="47" t="s">
        <v>4184</v>
      </c>
      <c r="V526" s="47" t="s">
        <v>4185</v>
      </c>
      <c r="W526" s="47" t="s">
        <v>931</v>
      </c>
      <c r="X526" s="47" t="s">
        <v>932</v>
      </c>
      <c r="Y526" s="47" t="s">
        <v>468</v>
      </c>
      <c r="Z526" s="47" t="s">
        <v>3299</v>
      </c>
      <c r="AA526" s="47" t="s">
        <v>3300</v>
      </c>
      <c r="AB526" s="47" t="s">
        <v>931</v>
      </c>
      <c r="AC526" s="47" t="s">
        <v>438</v>
      </c>
      <c r="AD526" s="47" t="s">
        <v>4186</v>
      </c>
      <c r="AE526" s="47" t="s">
        <v>937</v>
      </c>
      <c r="AF526" s="47" t="s">
        <v>931</v>
      </c>
      <c r="AG526" s="47" t="s">
        <v>931</v>
      </c>
      <c r="AH526" s="47" t="s">
        <v>364</v>
      </c>
      <c r="AI526" s="47" t="s">
        <v>931</v>
      </c>
      <c r="AJ526" s="47" t="s">
        <v>365</v>
      </c>
      <c r="AK526" s="47" t="s">
        <v>930</v>
      </c>
      <c r="AL526" s="47" t="s">
        <v>931</v>
      </c>
      <c r="AM526" s="47" t="s">
        <v>931</v>
      </c>
      <c r="AN526" s="37"/>
    </row>
    <row r="527" spans="1:40" hidden="1">
      <c r="A527" s="47" t="s">
        <v>982</v>
      </c>
      <c r="B527" s="47" t="s">
        <v>919</v>
      </c>
      <c r="C527" s="47" t="s">
        <v>4187</v>
      </c>
      <c r="D527" s="47">
        <f t="shared" si="15"/>
        <v>161587</v>
      </c>
      <c r="E527" s="47" t="s">
        <v>4188</v>
      </c>
      <c r="F527" s="47" t="s">
        <v>4189</v>
      </c>
      <c r="G527" s="47" t="s">
        <v>2776</v>
      </c>
      <c r="H527" s="47" t="s">
        <v>969</v>
      </c>
      <c r="I527" s="47" t="s">
        <v>4190</v>
      </c>
      <c r="J527" s="47" t="s">
        <v>1097</v>
      </c>
      <c r="K527" s="47" t="s">
        <v>163</v>
      </c>
      <c r="L527" s="47" t="s">
        <v>1371</v>
      </c>
      <c r="M527" s="47" t="s">
        <v>1124</v>
      </c>
      <c r="N527" s="47" t="s">
        <v>946</v>
      </c>
      <c r="O527" s="47" t="s">
        <v>930</v>
      </c>
      <c r="P527" s="47" t="s">
        <v>930</v>
      </c>
      <c r="Q527" s="47"/>
      <c r="R527" s="47"/>
      <c r="S527" s="47"/>
      <c r="T527" s="47" t="s">
        <v>4191</v>
      </c>
      <c r="U527" s="47" t="s">
        <v>4192</v>
      </c>
      <c r="V527" s="47" t="s">
        <v>4193</v>
      </c>
      <c r="W527" s="47" t="s">
        <v>931</v>
      </c>
      <c r="X527" s="47" t="s">
        <v>995</v>
      </c>
      <c r="Y527" s="47" t="s">
        <v>2776</v>
      </c>
      <c r="Z527" s="47" t="s">
        <v>3995</v>
      </c>
      <c r="AA527" s="47" t="s">
        <v>3996</v>
      </c>
      <c r="AB527" s="47" t="s">
        <v>931</v>
      </c>
      <c r="AC527" s="47" t="s">
        <v>4194</v>
      </c>
      <c r="AD527" s="47" t="s">
        <v>4195</v>
      </c>
      <c r="AE527" s="47" t="s">
        <v>937</v>
      </c>
      <c r="AF527" s="47" t="s">
        <v>931</v>
      </c>
      <c r="AG527" s="47" t="s">
        <v>4196</v>
      </c>
      <c r="AH527" s="47" t="s">
        <v>1067</v>
      </c>
      <c r="AI527" s="47" t="s">
        <v>931</v>
      </c>
      <c r="AJ527" s="47" t="s">
        <v>365</v>
      </c>
      <c r="AK527" s="47" t="s">
        <v>930</v>
      </c>
      <c r="AL527" s="47" t="s">
        <v>931</v>
      </c>
      <c r="AM527" s="47" t="s">
        <v>931</v>
      </c>
      <c r="AN527" s="37"/>
    </row>
    <row r="528" spans="1:40">
      <c r="A528" s="47" t="s">
        <v>982</v>
      </c>
      <c r="B528" s="47" t="s">
        <v>919</v>
      </c>
      <c r="C528" s="47" t="s">
        <v>4197</v>
      </c>
      <c r="D528" s="47">
        <f t="shared" si="15"/>
        <v>161112</v>
      </c>
      <c r="E528" s="47" t="s">
        <v>190</v>
      </c>
      <c r="F528" s="47" t="s">
        <v>191</v>
      </c>
      <c r="G528" s="47" t="s">
        <v>1251</v>
      </c>
      <c r="H528" s="47" t="s">
        <v>1518</v>
      </c>
      <c r="I528" s="47" t="s">
        <v>4198</v>
      </c>
      <c r="J528" s="47" t="s">
        <v>1090</v>
      </c>
      <c r="K528" s="47" t="s">
        <v>163</v>
      </c>
      <c r="L528" s="47" t="s">
        <v>3327</v>
      </c>
      <c r="M528" s="47" t="s">
        <v>3328</v>
      </c>
      <c r="N528" s="47" t="s">
        <v>946</v>
      </c>
      <c r="O528" s="47" t="s">
        <v>930</v>
      </c>
      <c r="P528" s="47" t="s">
        <v>930</v>
      </c>
      <c r="Q528" s="47"/>
      <c r="R528" s="47"/>
      <c r="S528" s="47"/>
      <c r="T528" s="47" t="s">
        <v>4199</v>
      </c>
      <c r="U528" s="47" t="s">
        <v>4200</v>
      </c>
      <c r="V528" s="47" t="s">
        <v>4201</v>
      </c>
      <c r="W528" s="47" t="s">
        <v>931</v>
      </c>
      <c r="X528" s="47" t="s">
        <v>995</v>
      </c>
      <c r="Y528" s="47" t="s">
        <v>1251</v>
      </c>
      <c r="Z528" s="47" t="s">
        <v>4137</v>
      </c>
      <c r="AA528" s="47" t="s">
        <v>4138</v>
      </c>
      <c r="AB528" s="47" t="s">
        <v>931</v>
      </c>
      <c r="AC528" s="47" t="s">
        <v>447</v>
      </c>
      <c r="AD528" s="47" t="s">
        <v>991</v>
      </c>
      <c r="AE528" s="47" t="s">
        <v>937</v>
      </c>
      <c r="AF528" s="47" t="s">
        <v>931</v>
      </c>
      <c r="AG528" s="47" t="s">
        <v>4202</v>
      </c>
      <c r="AH528" s="47" t="s">
        <v>931</v>
      </c>
      <c r="AI528" s="47" t="s">
        <v>931</v>
      </c>
      <c r="AJ528" s="47" t="s">
        <v>931</v>
      </c>
      <c r="AK528" s="47" t="s">
        <v>930</v>
      </c>
      <c r="AL528" s="47" t="s">
        <v>931</v>
      </c>
      <c r="AM528" s="47" t="s">
        <v>931</v>
      </c>
      <c r="AN528" s="37"/>
    </row>
    <row r="529" spans="1:40" hidden="1">
      <c r="A529" s="47" t="s">
        <v>982</v>
      </c>
      <c r="B529" s="47" t="s">
        <v>919</v>
      </c>
      <c r="C529" s="47" t="s">
        <v>4203</v>
      </c>
      <c r="D529" s="47">
        <f t="shared" si="15"/>
        <v>161591</v>
      </c>
      <c r="E529" s="47" t="s">
        <v>233</v>
      </c>
      <c r="F529" s="47" t="s">
        <v>226</v>
      </c>
      <c r="G529" s="47" t="s">
        <v>504</v>
      </c>
      <c r="H529" s="47" t="s">
        <v>969</v>
      </c>
      <c r="I529" s="47" t="s">
        <v>4190</v>
      </c>
      <c r="J529" s="47" t="s">
        <v>1097</v>
      </c>
      <c r="K529" s="47" t="s">
        <v>163</v>
      </c>
      <c r="L529" s="47" t="s">
        <v>956</v>
      </c>
      <c r="M529" s="47" t="s">
        <v>945</v>
      </c>
      <c r="N529" s="47" t="s">
        <v>946</v>
      </c>
      <c r="O529" s="47" t="s">
        <v>930</v>
      </c>
      <c r="P529" s="47" t="s">
        <v>930</v>
      </c>
      <c r="Q529" s="47"/>
      <c r="R529" s="47"/>
      <c r="S529" s="47"/>
      <c r="T529" s="47" t="s">
        <v>4204</v>
      </c>
      <c r="U529" s="47" t="s">
        <v>4205</v>
      </c>
      <c r="V529" s="47" t="s">
        <v>4206</v>
      </c>
      <c r="W529" s="47" t="s">
        <v>931</v>
      </c>
      <c r="X529" s="47" t="s">
        <v>995</v>
      </c>
      <c r="Y529" s="47" t="s">
        <v>504</v>
      </c>
      <c r="Z529" s="47" t="s">
        <v>3774</v>
      </c>
      <c r="AA529" s="47" t="s">
        <v>3775</v>
      </c>
      <c r="AB529" s="47" t="s">
        <v>931</v>
      </c>
      <c r="AC529" s="47" t="s">
        <v>504</v>
      </c>
      <c r="AD529" s="47" t="s">
        <v>4195</v>
      </c>
      <c r="AE529" s="47" t="s">
        <v>937</v>
      </c>
      <c r="AF529" s="47" t="s">
        <v>931</v>
      </c>
      <c r="AG529" s="47" t="s">
        <v>4207</v>
      </c>
      <c r="AH529" s="47" t="s">
        <v>364</v>
      </c>
      <c r="AI529" s="47" t="s">
        <v>931</v>
      </c>
      <c r="AJ529" s="47" t="s">
        <v>365</v>
      </c>
      <c r="AK529" s="47" t="s">
        <v>930</v>
      </c>
      <c r="AL529" s="47" t="s">
        <v>931</v>
      </c>
      <c r="AM529" s="47" t="s">
        <v>931</v>
      </c>
      <c r="AN529" s="37"/>
    </row>
    <row r="530" spans="1:40" hidden="1">
      <c r="A530" s="47" t="s">
        <v>982</v>
      </c>
      <c r="B530" s="47" t="s">
        <v>919</v>
      </c>
      <c r="C530" s="47" t="s">
        <v>4208</v>
      </c>
      <c r="D530" s="47">
        <f t="shared" si="15"/>
        <v>162410</v>
      </c>
      <c r="E530" s="47" t="s">
        <v>216</v>
      </c>
      <c r="F530" s="47" t="s">
        <v>217</v>
      </c>
      <c r="G530" s="47" t="s">
        <v>536</v>
      </c>
      <c r="H530" s="47" t="s">
        <v>924</v>
      </c>
      <c r="I530" s="47" t="s">
        <v>4209</v>
      </c>
      <c r="J530" s="47" t="s">
        <v>1024</v>
      </c>
      <c r="K530" s="47" t="s">
        <v>163</v>
      </c>
      <c r="L530" s="47" t="s">
        <v>4142</v>
      </c>
      <c r="M530" s="47" t="s">
        <v>4143</v>
      </c>
      <c r="N530" s="47" t="s">
        <v>946</v>
      </c>
      <c r="O530" s="47" t="s">
        <v>930</v>
      </c>
      <c r="P530" s="47" t="s">
        <v>930</v>
      </c>
      <c r="Q530" s="47"/>
      <c r="R530" s="47"/>
      <c r="S530" s="47"/>
      <c r="T530" s="47" t="s">
        <v>4210</v>
      </c>
      <c r="U530" s="47" t="s">
        <v>4211</v>
      </c>
      <c r="V530" s="47" t="s">
        <v>3380</v>
      </c>
      <c r="W530" s="47" t="s">
        <v>931</v>
      </c>
      <c r="X530" s="47" t="s">
        <v>932</v>
      </c>
      <c r="Y530" s="47" t="s">
        <v>536</v>
      </c>
      <c r="Z530" s="47" t="s">
        <v>1314</v>
      </c>
      <c r="AA530" s="47" t="s">
        <v>1315</v>
      </c>
      <c r="AB530" s="47" t="s">
        <v>931</v>
      </c>
      <c r="AC530" s="47" t="s">
        <v>438</v>
      </c>
      <c r="AD530" s="47" t="s">
        <v>4212</v>
      </c>
      <c r="AE530" s="47" t="s">
        <v>937</v>
      </c>
      <c r="AF530" s="47" t="s">
        <v>931</v>
      </c>
      <c r="AG530" s="47" t="s">
        <v>931</v>
      </c>
      <c r="AH530" s="47" t="s">
        <v>364</v>
      </c>
      <c r="AI530" s="47" t="s">
        <v>931</v>
      </c>
      <c r="AJ530" s="47" t="s">
        <v>365</v>
      </c>
      <c r="AK530" s="47" t="s">
        <v>930</v>
      </c>
      <c r="AL530" s="47" t="s">
        <v>931</v>
      </c>
      <c r="AM530" s="47" t="s">
        <v>931</v>
      </c>
      <c r="AN530" s="37"/>
    </row>
    <row r="531" spans="1:40" hidden="1">
      <c r="A531" s="47" t="s">
        <v>982</v>
      </c>
      <c r="B531" s="47" t="s">
        <v>919</v>
      </c>
      <c r="C531" s="47" t="s">
        <v>4213</v>
      </c>
      <c r="D531" s="47">
        <f t="shared" si="15"/>
        <v>161113</v>
      </c>
      <c r="E531" s="47" t="s">
        <v>223</v>
      </c>
      <c r="F531" s="47" t="s">
        <v>217</v>
      </c>
      <c r="G531" s="47" t="s">
        <v>3058</v>
      </c>
      <c r="H531" s="47" t="s">
        <v>924</v>
      </c>
      <c r="I531" s="47" t="s">
        <v>4214</v>
      </c>
      <c r="J531" s="47" t="s">
        <v>1090</v>
      </c>
      <c r="K531" s="47" t="s">
        <v>163</v>
      </c>
      <c r="L531" s="47" t="s">
        <v>1057</v>
      </c>
      <c r="M531" s="47" t="s">
        <v>928</v>
      </c>
      <c r="N531" s="47" t="s">
        <v>946</v>
      </c>
      <c r="O531" s="47" t="s">
        <v>930</v>
      </c>
      <c r="P531" s="47" t="s">
        <v>930</v>
      </c>
      <c r="Q531" s="47"/>
      <c r="R531" s="47"/>
      <c r="S531" s="47"/>
      <c r="T531" s="47" t="s">
        <v>4215</v>
      </c>
      <c r="U531" s="47" t="s">
        <v>4216</v>
      </c>
      <c r="V531" s="47" t="s">
        <v>4217</v>
      </c>
      <c r="W531" s="47" t="s">
        <v>931</v>
      </c>
      <c r="X531" s="47" t="s">
        <v>932</v>
      </c>
      <c r="Y531" s="47" t="s">
        <v>3058</v>
      </c>
      <c r="Z531" s="47" t="s">
        <v>3063</v>
      </c>
      <c r="AA531" s="47" t="s">
        <v>3064</v>
      </c>
      <c r="AB531" s="47" t="s">
        <v>931</v>
      </c>
      <c r="AC531" s="47" t="s">
        <v>438</v>
      </c>
      <c r="AD531" s="47" t="s">
        <v>4218</v>
      </c>
      <c r="AE531" s="47" t="s">
        <v>937</v>
      </c>
      <c r="AF531" s="47" t="s">
        <v>931</v>
      </c>
      <c r="AG531" s="47" t="s">
        <v>931</v>
      </c>
      <c r="AH531" s="47" t="s">
        <v>364</v>
      </c>
      <c r="AI531" s="47" t="s">
        <v>931</v>
      </c>
      <c r="AJ531" s="47" t="s">
        <v>365</v>
      </c>
      <c r="AK531" s="47" t="s">
        <v>930</v>
      </c>
      <c r="AL531" s="47" t="s">
        <v>931</v>
      </c>
      <c r="AM531" s="47" t="s">
        <v>931</v>
      </c>
      <c r="AN531" s="37"/>
    </row>
    <row r="532" spans="1:40" hidden="1">
      <c r="A532" s="47" t="s">
        <v>982</v>
      </c>
      <c r="B532" s="47" t="s">
        <v>919</v>
      </c>
      <c r="C532" s="47" t="s">
        <v>4219</v>
      </c>
      <c r="D532" s="47">
        <f t="shared" si="15"/>
        <v>161500</v>
      </c>
      <c r="E532" s="47" t="s">
        <v>289</v>
      </c>
      <c r="F532" s="47" t="s">
        <v>290</v>
      </c>
      <c r="G532" s="47" t="s">
        <v>447</v>
      </c>
      <c r="H532" s="47" t="s">
        <v>1194</v>
      </c>
      <c r="I532" s="47" t="s">
        <v>4220</v>
      </c>
      <c r="J532" s="47" t="s">
        <v>1505</v>
      </c>
      <c r="K532" s="47" t="s">
        <v>163</v>
      </c>
      <c r="L532" s="47" t="s">
        <v>1289</v>
      </c>
      <c r="M532" s="47" t="s">
        <v>928</v>
      </c>
      <c r="N532" s="47" t="s">
        <v>946</v>
      </c>
      <c r="O532" s="47" t="s">
        <v>930</v>
      </c>
      <c r="P532" s="47" t="s">
        <v>930</v>
      </c>
      <c r="Q532" s="47" t="str">
        <f>LEFT(T532,9)</f>
        <v xml:space="preserve"> Sáng T6:</v>
      </c>
      <c r="R532" s="47" t="s">
        <v>973</v>
      </c>
      <c r="S532" s="47" t="s">
        <v>1140</v>
      </c>
      <c r="T532" s="47" t="s">
        <v>4221</v>
      </c>
      <c r="U532" s="47" t="s">
        <v>4222</v>
      </c>
      <c r="V532" s="47" t="s">
        <v>631</v>
      </c>
      <c r="W532" s="47" t="s">
        <v>931</v>
      </c>
      <c r="X532" s="47" t="s">
        <v>995</v>
      </c>
      <c r="Y532" s="47" t="s">
        <v>447</v>
      </c>
      <c r="Z532" s="47" t="s">
        <v>4223</v>
      </c>
      <c r="AA532" s="47" t="s">
        <v>4224</v>
      </c>
      <c r="AB532" s="47" t="s">
        <v>931</v>
      </c>
      <c r="AC532" s="47" t="s">
        <v>447</v>
      </c>
      <c r="AD532" s="47" t="s">
        <v>4225</v>
      </c>
      <c r="AE532" s="47" t="s">
        <v>937</v>
      </c>
      <c r="AF532" s="47" t="s">
        <v>931</v>
      </c>
      <c r="AG532" s="47" t="s">
        <v>931</v>
      </c>
      <c r="AH532" s="47" t="s">
        <v>364</v>
      </c>
      <c r="AI532" s="47" t="s">
        <v>931</v>
      </c>
      <c r="AJ532" s="47" t="s">
        <v>365</v>
      </c>
      <c r="AK532" s="47" t="s">
        <v>930</v>
      </c>
      <c r="AL532" s="47" t="s">
        <v>931</v>
      </c>
      <c r="AM532" s="47" t="s">
        <v>931</v>
      </c>
      <c r="AN532" s="37"/>
    </row>
    <row r="533" spans="1:40" hidden="1">
      <c r="A533" s="47" t="s">
        <v>982</v>
      </c>
      <c r="B533" s="47" t="s">
        <v>919</v>
      </c>
      <c r="C533" s="47" t="s">
        <v>4226</v>
      </c>
      <c r="D533" s="47">
        <f t="shared" si="15"/>
        <v>161501</v>
      </c>
      <c r="E533" s="47" t="s">
        <v>303</v>
      </c>
      <c r="F533" s="47" t="s">
        <v>304</v>
      </c>
      <c r="G533" s="47" t="s">
        <v>420</v>
      </c>
      <c r="H533" s="47" t="s">
        <v>1287</v>
      </c>
      <c r="I533" s="47" t="s">
        <v>4220</v>
      </c>
      <c r="J533" s="47" t="s">
        <v>1505</v>
      </c>
      <c r="K533" s="47" t="s">
        <v>163</v>
      </c>
      <c r="L533" s="47" t="s">
        <v>1056</v>
      </c>
      <c r="M533" s="47" t="s">
        <v>928</v>
      </c>
      <c r="N533" s="47" t="s">
        <v>946</v>
      </c>
      <c r="O533" s="47" t="s">
        <v>930</v>
      </c>
      <c r="P533" s="47" t="s">
        <v>930</v>
      </c>
      <c r="Q533" s="47"/>
      <c r="R533" s="47"/>
      <c r="S533" s="47"/>
      <c r="T533" s="47" t="s">
        <v>4227</v>
      </c>
      <c r="U533" s="47" t="s">
        <v>4228</v>
      </c>
      <c r="V533" s="47" t="s">
        <v>4159</v>
      </c>
      <c r="W533" s="47" t="s">
        <v>931</v>
      </c>
      <c r="X533" s="47" t="s">
        <v>932</v>
      </c>
      <c r="Y533" s="47" t="s">
        <v>420</v>
      </c>
      <c r="Z533" s="47" t="s">
        <v>2934</v>
      </c>
      <c r="AA533" s="47" t="s">
        <v>2935</v>
      </c>
      <c r="AB533" s="47" t="s">
        <v>931</v>
      </c>
      <c r="AC533" s="47" t="s">
        <v>2937</v>
      </c>
      <c r="AD533" s="47" t="s">
        <v>4225</v>
      </c>
      <c r="AE533" s="47" t="s">
        <v>937</v>
      </c>
      <c r="AF533" s="47" t="s">
        <v>931</v>
      </c>
      <c r="AG533" s="47" t="s">
        <v>931</v>
      </c>
      <c r="AH533" s="47" t="s">
        <v>364</v>
      </c>
      <c r="AI533" s="47" t="s">
        <v>931</v>
      </c>
      <c r="AJ533" s="47" t="s">
        <v>365</v>
      </c>
      <c r="AK533" s="47" t="s">
        <v>930</v>
      </c>
      <c r="AL533" s="47" t="s">
        <v>931</v>
      </c>
      <c r="AM533" s="47" t="s">
        <v>931</v>
      </c>
      <c r="AN533" s="37"/>
    </row>
    <row r="534" spans="1:40" hidden="1">
      <c r="A534" s="47" t="s">
        <v>982</v>
      </c>
      <c r="B534" s="47" t="s">
        <v>919</v>
      </c>
      <c r="C534" s="47" t="s">
        <v>4229</v>
      </c>
      <c r="D534" s="47">
        <f t="shared" si="15"/>
        <v>161502</v>
      </c>
      <c r="E534" s="47" t="s">
        <v>317</v>
      </c>
      <c r="F534" s="47" t="s">
        <v>318</v>
      </c>
      <c r="G534" s="47" t="s">
        <v>391</v>
      </c>
      <c r="H534" s="47" t="s">
        <v>924</v>
      </c>
      <c r="I534" s="47" t="s">
        <v>4230</v>
      </c>
      <c r="J534" s="47" t="s">
        <v>1505</v>
      </c>
      <c r="K534" s="47" t="s">
        <v>163</v>
      </c>
      <c r="L534" s="47" t="s">
        <v>4156</v>
      </c>
      <c r="M534" s="47" t="s">
        <v>928</v>
      </c>
      <c r="N534" s="47" t="s">
        <v>946</v>
      </c>
      <c r="O534" s="47" t="s">
        <v>930</v>
      </c>
      <c r="P534" s="47" t="s">
        <v>930</v>
      </c>
      <c r="Q534" s="47"/>
      <c r="R534" s="47"/>
      <c r="S534" s="47"/>
      <c r="T534" s="47" t="s">
        <v>4231</v>
      </c>
      <c r="U534" s="47" t="s">
        <v>4232</v>
      </c>
      <c r="V534" s="47" t="s">
        <v>4152</v>
      </c>
      <c r="W534" s="47" t="s">
        <v>931</v>
      </c>
      <c r="X534" s="47" t="s">
        <v>932</v>
      </c>
      <c r="Y534" s="47" t="s">
        <v>391</v>
      </c>
      <c r="Z534" s="47" t="s">
        <v>3130</v>
      </c>
      <c r="AA534" s="47" t="s">
        <v>3131</v>
      </c>
      <c r="AB534" s="47" t="s">
        <v>931</v>
      </c>
      <c r="AC534" s="47" t="s">
        <v>373</v>
      </c>
      <c r="AD534" s="47" t="s">
        <v>4233</v>
      </c>
      <c r="AE534" s="47" t="s">
        <v>937</v>
      </c>
      <c r="AF534" s="47" t="s">
        <v>931</v>
      </c>
      <c r="AG534" s="47" t="s">
        <v>4234</v>
      </c>
      <c r="AH534" s="47" t="s">
        <v>364</v>
      </c>
      <c r="AI534" s="47" t="s">
        <v>931</v>
      </c>
      <c r="AJ534" s="47" t="s">
        <v>365</v>
      </c>
      <c r="AK534" s="47" t="s">
        <v>930</v>
      </c>
      <c r="AL534" s="47" t="s">
        <v>931</v>
      </c>
      <c r="AM534" s="47" t="s">
        <v>931</v>
      </c>
      <c r="AN534" s="37"/>
    </row>
    <row r="535" spans="1:40" hidden="1">
      <c r="A535" s="47" t="s">
        <v>982</v>
      </c>
      <c r="B535" s="47" t="s">
        <v>919</v>
      </c>
      <c r="C535" s="47" t="s">
        <v>4235</v>
      </c>
      <c r="D535" s="47">
        <f t="shared" si="15"/>
        <v>161505</v>
      </c>
      <c r="E535" s="47" t="s">
        <v>344</v>
      </c>
      <c r="F535" s="47" t="s">
        <v>345</v>
      </c>
      <c r="G535" s="47" t="s">
        <v>451</v>
      </c>
      <c r="H535" s="47" t="s">
        <v>969</v>
      </c>
      <c r="I535" s="47" t="s">
        <v>4230</v>
      </c>
      <c r="J535" s="47" t="s">
        <v>1505</v>
      </c>
      <c r="K535" s="47" t="s">
        <v>163</v>
      </c>
      <c r="L535" s="47" t="s">
        <v>1056</v>
      </c>
      <c r="M535" s="47" t="s">
        <v>928</v>
      </c>
      <c r="N535" s="47" t="s">
        <v>946</v>
      </c>
      <c r="O535" s="47" t="s">
        <v>930</v>
      </c>
      <c r="P535" s="47" t="s">
        <v>930</v>
      </c>
      <c r="Q535" s="47"/>
      <c r="R535" s="47"/>
      <c r="S535" s="47"/>
      <c r="T535" s="47" t="s">
        <v>4236</v>
      </c>
      <c r="U535" s="47" t="s">
        <v>4237</v>
      </c>
      <c r="V535" s="47" t="s">
        <v>4159</v>
      </c>
      <c r="W535" s="47" t="s">
        <v>931</v>
      </c>
      <c r="X535" s="47" t="s">
        <v>932</v>
      </c>
      <c r="Y535" s="47" t="s">
        <v>451</v>
      </c>
      <c r="Z535" s="47" t="s">
        <v>1215</v>
      </c>
      <c r="AA535" s="47" t="s">
        <v>1216</v>
      </c>
      <c r="AB535" s="47" t="s">
        <v>931</v>
      </c>
      <c r="AC535" s="47" t="s">
        <v>990</v>
      </c>
      <c r="AD535" s="47" t="s">
        <v>4233</v>
      </c>
      <c r="AE535" s="47" t="s">
        <v>937</v>
      </c>
      <c r="AF535" s="47" t="s">
        <v>931</v>
      </c>
      <c r="AG535" s="47" t="s">
        <v>4238</v>
      </c>
      <c r="AH535" s="47" t="s">
        <v>364</v>
      </c>
      <c r="AI535" s="47" t="s">
        <v>931</v>
      </c>
      <c r="AJ535" s="47" t="s">
        <v>365</v>
      </c>
      <c r="AK535" s="47" t="s">
        <v>930</v>
      </c>
      <c r="AL535" s="47" t="s">
        <v>931</v>
      </c>
      <c r="AM535" s="47" t="s">
        <v>931</v>
      </c>
      <c r="AN535" s="37"/>
    </row>
    <row r="536" spans="1:40">
      <c r="A536" s="47" t="s">
        <v>982</v>
      </c>
      <c r="B536" s="47" t="s">
        <v>919</v>
      </c>
      <c r="C536" s="47" t="s">
        <v>4239</v>
      </c>
      <c r="D536" s="47">
        <f t="shared" si="15"/>
        <v>162080</v>
      </c>
      <c r="E536" s="47" t="s">
        <v>42</v>
      </c>
      <c r="F536" s="47" t="s">
        <v>191</v>
      </c>
      <c r="G536" s="47" t="s">
        <v>1193</v>
      </c>
      <c r="H536" s="47" t="s">
        <v>2412</v>
      </c>
      <c r="I536" s="47" t="s">
        <v>4240</v>
      </c>
      <c r="J536" s="47" t="s">
        <v>1024</v>
      </c>
      <c r="K536" s="47" t="s">
        <v>163</v>
      </c>
      <c r="L536" s="47" t="s">
        <v>4241</v>
      </c>
      <c r="M536" s="47" t="s">
        <v>4242</v>
      </c>
      <c r="N536" s="47" t="s">
        <v>946</v>
      </c>
      <c r="O536" s="47" t="s">
        <v>930</v>
      </c>
      <c r="P536" s="47" t="s">
        <v>930</v>
      </c>
      <c r="Q536" s="47"/>
      <c r="R536" s="47"/>
      <c r="S536" s="47"/>
      <c r="T536" s="47" t="s">
        <v>4243</v>
      </c>
      <c r="U536" s="47" t="s">
        <v>4244</v>
      </c>
      <c r="V536" s="47" t="s">
        <v>3086</v>
      </c>
      <c r="W536" s="47" t="s">
        <v>931</v>
      </c>
      <c r="X536" s="47" t="s">
        <v>995</v>
      </c>
      <c r="Y536" s="47" t="s">
        <v>1193</v>
      </c>
      <c r="Z536" s="47" t="s">
        <v>1200</v>
      </c>
      <c r="AA536" s="47" t="s">
        <v>1201</v>
      </c>
      <c r="AB536" s="47" t="s">
        <v>931</v>
      </c>
      <c r="AC536" s="47" t="s">
        <v>402</v>
      </c>
      <c r="AD536" s="47" t="s">
        <v>4245</v>
      </c>
      <c r="AE536" s="47" t="s">
        <v>937</v>
      </c>
      <c r="AF536" s="47" t="s">
        <v>931</v>
      </c>
      <c r="AG536" s="47" t="s">
        <v>931</v>
      </c>
      <c r="AH536" s="47" t="s">
        <v>931</v>
      </c>
      <c r="AI536" s="47" t="s">
        <v>931</v>
      </c>
      <c r="AJ536" s="47" t="s">
        <v>931</v>
      </c>
      <c r="AK536" s="47" t="s">
        <v>930</v>
      </c>
      <c r="AL536" s="47" t="s">
        <v>931</v>
      </c>
      <c r="AM536" s="47" t="s">
        <v>931</v>
      </c>
      <c r="AN536" s="37"/>
    </row>
    <row r="537" spans="1:40">
      <c r="A537" s="47" t="s">
        <v>982</v>
      </c>
      <c r="B537" s="47" t="s">
        <v>919</v>
      </c>
      <c r="C537" s="47" t="s">
        <v>4246</v>
      </c>
      <c r="D537" s="47">
        <f t="shared" si="15"/>
        <v>162081</v>
      </c>
      <c r="E537" s="47" t="s">
        <v>42</v>
      </c>
      <c r="F537" s="47" t="s">
        <v>191</v>
      </c>
      <c r="G537" s="47" t="s">
        <v>3176</v>
      </c>
      <c r="H537" s="47" t="s">
        <v>2412</v>
      </c>
      <c r="I537" s="47" t="s">
        <v>4240</v>
      </c>
      <c r="J537" s="47" t="s">
        <v>1024</v>
      </c>
      <c r="K537" s="47" t="s">
        <v>163</v>
      </c>
      <c r="L537" s="47" t="s">
        <v>3784</v>
      </c>
      <c r="M537" s="47" t="s">
        <v>4242</v>
      </c>
      <c r="N537" s="47" t="s">
        <v>946</v>
      </c>
      <c r="O537" s="47" t="s">
        <v>930</v>
      </c>
      <c r="P537" s="47" t="s">
        <v>930</v>
      </c>
      <c r="Q537" s="47"/>
      <c r="R537" s="47"/>
      <c r="S537" s="47"/>
      <c r="T537" s="47" t="s">
        <v>4247</v>
      </c>
      <c r="U537" s="47" t="s">
        <v>4248</v>
      </c>
      <c r="V537" s="47" t="s">
        <v>3086</v>
      </c>
      <c r="W537" s="47" t="s">
        <v>931</v>
      </c>
      <c r="X537" s="47" t="s">
        <v>995</v>
      </c>
      <c r="Y537" s="47" t="s">
        <v>3176</v>
      </c>
      <c r="Z537" s="47" t="s">
        <v>3181</v>
      </c>
      <c r="AA537" s="47" t="s">
        <v>3182</v>
      </c>
      <c r="AB537" s="47" t="s">
        <v>931</v>
      </c>
      <c r="AC537" s="47" t="s">
        <v>402</v>
      </c>
      <c r="AD537" s="47" t="s">
        <v>4245</v>
      </c>
      <c r="AE537" s="47" t="s">
        <v>937</v>
      </c>
      <c r="AF537" s="47" t="s">
        <v>931</v>
      </c>
      <c r="AG537" s="47" t="s">
        <v>931</v>
      </c>
      <c r="AH537" s="47" t="s">
        <v>931</v>
      </c>
      <c r="AI537" s="47" t="s">
        <v>931</v>
      </c>
      <c r="AJ537" s="47" t="s">
        <v>931</v>
      </c>
      <c r="AK537" s="47" t="s">
        <v>930</v>
      </c>
      <c r="AL537" s="47" t="s">
        <v>931</v>
      </c>
      <c r="AM537" s="47" t="s">
        <v>931</v>
      </c>
      <c r="AN537" s="37"/>
    </row>
    <row r="538" spans="1:40" hidden="1">
      <c r="A538" s="47" t="s">
        <v>982</v>
      </c>
      <c r="B538" s="47" t="s">
        <v>919</v>
      </c>
      <c r="C538" s="47" t="s">
        <v>4249</v>
      </c>
      <c r="D538" s="47">
        <f t="shared" si="15"/>
        <v>162061</v>
      </c>
      <c r="E538" s="47" t="s">
        <v>247</v>
      </c>
      <c r="F538" s="47" t="s">
        <v>248</v>
      </c>
      <c r="G538" s="47" t="s">
        <v>382</v>
      </c>
      <c r="H538" s="47" t="s">
        <v>1753</v>
      </c>
      <c r="I538" s="47" t="s">
        <v>4250</v>
      </c>
      <c r="J538" s="47" t="s">
        <v>944</v>
      </c>
      <c r="K538" s="47" t="s">
        <v>163</v>
      </c>
      <c r="L538" s="47" t="s">
        <v>2248</v>
      </c>
      <c r="M538" s="47" t="s">
        <v>2248</v>
      </c>
      <c r="N538" s="47" t="s">
        <v>946</v>
      </c>
      <c r="O538" s="47" t="s">
        <v>930</v>
      </c>
      <c r="P538" s="47" t="s">
        <v>930</v>
      </c>
      <c r="Q538" s="47"/>
      <c r="R538" s="47"/>
      <c r="S538" s="47"/>
      <c r="T538" s="47" t="s">
        <v>4251</v>
      </c>
      <c r="U538" s="47" t="s">
        <v>4252</v>
      </c>
      <c r="V538" s="47" t="s">
        <v>1238</v>
      </c>
      <c r="W538" s="47" t="s">
        <v>931</v>
      </c>
      <c r="X538" s="47" t="s">
        <v>932</v>
      </c>
      <c r="Y538" s="47" t="s">
        <v>382</v>
      </c>
      <c r="Z538" s="47" t="s">
        <v>4253</v>
      </c>
      <c r="AA538" s="47" t="s">
        <v>4254</v>
      </c>
      <c r="AB538" s="47" t="s">
        <v>931</v>
      </c>
      <c r="AC538" s="47" t="s">
        <v>382</v>
      </c>
      <c r="AD538" s="47" t="s">
        <v>4255</v>
      </c>
      <c r="AE538" s="47" t="s">
        <v>937</v>
      </c>
      <c r="AF538" s="47" t="s">
        <v>931</v>
      </c>
      <c r="AG538" s="47" t="s">
        <v>931</v>
      </c>
      <c r="AH538" s="47" t="s">
        <v>364</v>
      </c>
      <c r="AI538" s="47" t="s">
        <v>931</v>
      </c>
      <c r="AJ538" s="47" t="s">
        <v>365</v>
      </c>
      <c r="AK538" s="47" t="s">
        <v>930</v>
      </c>
      <c r="AL538" s="47" t="s">
        <v>931</v>
      </c>
      <c r="AM538" s="47" t="s">
        <v>931</v>
      </c>
      <c r="AN538" s="37"/>
    </row>
    <row r="539" spans="1:40" hidden="1">
      <c r="A539" s="47" t="s">
        <v>982</v>
      </c>
      <c r="B539" s="47" t="s">
        <v>919</v>
      </c>
      <c r="C539" s="47" t="s">
        <v>4256</v>
      </c>
      <c r="D539" s="47">
        <f t="shared" si="15"/>
        <v>162060</v>
      </c>
      <c r="E539" s="47" t="s">
        <v>247</v>
      </c>
      <c r="F539" s="47" t="s">
        <v>248</v>
      </c>
      <c r="G539" s="47" t="s">
        <v>2937</v>
      </c>
      <c r="H539" s="47" t="s">
        <v>1753</v>
      </c>
      <c r="I539" s="47" t="s">
        <v>4257</v>
      </c>
      <c r="J539" s="47" t="s">
        <v>944</v>
      </c>
      <c r="K539" s="47" t="s">
        <v>163</v>
      </c>
      <c r="L539" s="47" t="s">
        <v>2248</v>
      </c>
      <c r="M539" s="47" t="s">
        <v>2248</v>
      </c>
      <c r="N539" s="47" t="s">
        <v>946</v>
      </c>
      <c r="O539" s="47" t="s">
        <v>930</v>
      </c>
      <c r="P539" s="47" t="s">
        <v>930</v>
      </c>
      <c r="Q539" s="47"/>
      <c r="R539" s="47"/>
      <c r="S539" s="47"/>
      <c r="T539" s="47" t="s">
        <v>4258</v>
      </c>
      <c r="U539" s="47" t="s">
        <v>4259</v>
      </c>
      <c r="V539" s="47" t="s">
        <v>1238</v>
      </c>
      <c r="W539" s="47" t="s">
        <v>931</v>
      </c>
      <c r="X539" s="47" t="s">
        <v>932</v>
      </c>
      <c r="Y539" s="47" t="s">
        <v>2937</v>
      </c>
      <c r="Z539" s="47" t="s">
        <v>3411</v>
      </c>
      <c r="AA539" s="47" t="s">
        <v>3412</v>
      </c>
      <c r="AB539" s="47" t="s">
        <v>4260</v>
      </c>
      <c r="AC539" s="47" t="s">
        <v>382</v>
      </c>
      <c r="AD539" s="47" t="s">
        <v>4261</v>
      </c>
      <c r="AE539" s="47" t="s">
        <v>937</v>
      </c>
      <c r="AF539" s="47" t="s">
        <v>931</v>
      </c>
      <c r="AG539" s="47" t="s">
        <v>931</v>
      </c>
      <c r="AH539" s="47" t="s">
        <v>364</v>
      </c>
      <c r="AI539" s="47" t="s">
        <v>931</v>
      </c>
      <c r="AJ539" s="47" t="s">
        <v>365</v>
      </c>
      <c r="AK539" s="47" t="s">
        <v>930</v>
      </c>
      <c r="AL539" s="47" t="s">
        <v>931</v>
      </c>
      <c r="AM539" s="47" t="s">
        <v>931</v>
      </c>
      <c r="AN539" s="37"/>
    </row>
    <row r="540" spans="1:40" hidden="1">
      <c r="A540" s="47" t="s">
        <v>982</v>
      </c>
      <c r="B540" s="47" t="s">
        <v>919</v>
      </c>
      <c r="C540" s="47" t="s">
        <v>4262</v>
      </c>
      <c r="D540" s="47">
        <f t="shared" si="15"/>
        <v>161503</v>
      </c>
      <c r="E540" s="47" t="s">
        <v>321</v>
      </c>
      <c r="F540" s="47" t="s">
        <v>322</v>
      </c>
      <c r="G540" s="47" t="s">
        <v>470</v>
      </c>
      <c r="H540" s="47" t="s">
        <v>969</v>
      </c>
      <c r="I540" s="47" t="s">
        <v>4263</v>
      </c>
      <c r="J540" s="47" t="s">
        <v>1505</v>
      </c>
      <c r="K540" s="47" t="s">
        <v>163</v>
      </c>
      <c r="L540" s="47" t="s">
        <v>1014</v>
      </c>
      <c r="M540" s="47" t="s">
        <v>928</v>
      </c>
      <c r="N540" s="47" t="s">
        <v>3157</v>
      </c>
      <c r="O540" s="47" t="s">
        <v>930</v>
      </c>
      <c r="P540" s="47" t="s">
        <v>930</v>
      </c>
      <c r="Q540" s="47"/>
      <c r="R540" s="47"/>
      <c r="S540" s="47"/>
      <c r="T540" s="47" t="s">
        <v>4264</v>
      </c>
      <c r="U540" s="47" t="s">
        <v>4265</v>
      </c>
      <c r="V540" s="47" t="s">
        <v>4159</v>
      </c>
      <c r="W540" s="47" t="s">
        <v>931</v>
      </c>
      <c r="X540" s="47" t="s">
        <v>932</v>
      </c>
      <c r="Y540" s="47" t="s">
        <v>470</v>
      </c>
      <c r="Z540" s="47" t="s">
        <v>3315</v>
      </c>
      <c r="AA540" s="47" t="s">
        <v>3316</v>
      </c>
      <c r="AB540" s="47" t="s">
        <v>931</v>
      </c>
      <c r="AC540" s="47" t="s">
        <v>437</v>
      </c>
      <c r="AD540" s="47" t="s">
        <v>991</v>
      </c>
      <c r="AE540" s="47" t="s">
        <v>937</v>
      </c>
      <c r="AF540" s="47" t="s">
        <v>931</v>
      </c>
      <c r="AG540" s="47" t="s">
        <v>4266</v>
      </c>
      <c r="AH540" s="47" t="s">
        <v>364</v>
      </c>
      <c r="AI540" s="47" t="s">
        <v>931</v>
      </c>
      <c r="AJ540" s="47" t="s">
        <v>365</v>
      </c>
      <c r="AK540" s="47" t="s">
        <v>930</v>
      </c>
      <c r="AL540" s="47" t="s">
        <v>931</v>
      </c>
      <c r="AM540" s="47" t="s">
        <v>931</v>
      </c>
      <c r="AN540" s="37"/>
    </row>
    <row r="541" spans="1:40" hidden="1">
      <c r="A541" s="47" t="s">
        <v>982</v>
      </c>
      <c r="B541" s="47" t="s">
        <v>919</v>
      </c>
      <c r="C541" s="47" t="s">
        <v>4267</v>
      </c>
      <c r="D541" s="47">
        <f t="shared" si="15"/>
        <v>161504</v>
      </c>
      <c r="E541" s="47" t="s">
        <v>71</v>
      </c>
      <c r="F541" s="47" t="s">
        <v>326</v>
      </c>
      <c r="G541" s="47" t="s">
        <v>370</v>
      </c>
      <c r="H541" s="47" t="s">
        <v>924</v>
      </c>
      <c r="I541" s="47" t="s">
        <v>4220</v>
      </c>
      <c r="J541" s="47" t="s">
        <v>1505</v>
      </c>
      <c r="K541" s="47" t="s">
        <v>163</v>
      </c>
      <c r="L541" s="47" t="s">
        <v>1014</v>
      </c>
      <c r="M541" s="47" t="s">
        <v>1014</v>
      </c>
      <c r="N541" s="47" t="s">
        <v>946</v>
      </c>
      <c r="O541" s="47" t="s">
        <v>930</v>
      </c>
      <c r="P541" s="47" t="s">
        <v>930</v>
      </c>
      <c r="Q541" s="47"/>
      <c r="R541" s="47"/>
      <c r="S541" s="47"/>
      <c r="T541" s="47" t="s">
        <v>4268</v>
      </c>
      <c r="U541" s="47" t="s">
        <v>4269</v>
      </c>
      <c r="V541" s="47" t="s">
        <v>4159</v>
      </c>
      <c r="W541" s="47" t="s">
        <v>931</v>
      </c>
      <c r="X541" s="47" t="s">
        <v>995</v>
      </c>
      <c r="Y541" s="47" t="s">
        <v>370</v>
      </c>
      <c r="Z541" s="47" t="s">
        <v>3511</v>
      </c>
      <c r="AA541" s="47" t="s">
        <v>3512</v>
      </c>
      <c r="AB541" s="47" t="s">
        <v>838</v>
      </c>
      <c r="AC541" s="47" t="s">
        <v>402</v>
      </c>
      <c r="AD541" s="47" t="s">
        <v>4225</v>
      </c>
      <c r="AE541" s="47" t="s">
        <v>937</v>
      </c>
      <c r="AF541" s="47" t="s">
        <v>931</v>
      </c>
      <c r="AG541" s="47" t="s">
        <v>931</v>
      </c>
      <c r="AH541" s="47" t="s">
        <v>364</v>
      </c>
      <c r="AI541" s="47" t="s">
        <v>931</v>
      </c>
      <c r="AJ541" s="47" t="s">
        <v>365</v>
      </c>
      <c r="AK541" s="47" t="s">
        <v>930</v>
      </c>
      <c r="AL541" s="47" t="s">
        <v>931</v>
      </c>
      <c r="AM541" s="47" t="s">
        <v>931</v>
      </c>
      <c r="AN541" s="37"/>
    </row>
    <row r="542" spans="1:40" hidden="1">
      <c r="A542" s="47" t="s">
        <v>982</v>
      </c>
      <c r="B542" s="47" t="s">
        <v>919</v>
      </c>
      <c r="C542" s="47" t="s">
        <v>4270</v>
      </c>
      <c r="D542" s="47">
        <f t="shared" si="15"/>
        <v>162062</v>
      </c>
      <c r="E542" s="47" t="s">
        <v>230</v>
      </c>
      <c r="F542" s="47" t="s">
        <v>226</v>
      </c>
      <c r="G542" s="47" t="s">
        <v>509</v>
      </c>
      <c r="H542" s="47" t="s">
        <v>969</v>
      </c>
      <c r="I542" s="47" t="s">
        <v>4257</v>
      </c>
      <c r="J542" s="47" t="s">
        <v>944</v>
      </c>
      <c r="K542" s="47" t="s">
        <v>163</v>
      </c>
      <c r="L542" s="47" t="s">
        <v>4064</v>
      </c>
      <c r="M542" s="47" t="s">
        <v>4271</v>
      </c>
      <c r="N542" s="47" t="s">
        <v>946</v>
      </c>
      <c r="O542" s="47" t="s">
        <v>930</v>
      </c>
      <c r="P542" s="47" t="s">
        <v>930</v>
      </c>
      <c r="Q542" s="47"/>
      <c r="R542" s="47"/>
      <c r="S542" s="47"/>
      <c r="T542" s="47" t="s">
        <v>4272</v>
      </c>
      <c r="U542" s="47" t="s">
        <v>4273</v>
      </c>
      <c r="V542" s="47" t="s">
        <v>4274</v>
      </c>
      <c r="W542" s="47" t="s">
        <v>931</v>
      </c>
      <c r="X542" s="47" t="s">
        <v>995</v>
      </c>
      <c r="Y542" s="47" t="s">
        <v>509</v>
      </c>
      <c r="Z542" s="47" t="s">
        <v>2886</v>
      </c>
      <c r="AA542" s="47" t="s">
        <v>2887</v>
      </c>
      <c r="AB542" s="47" t="s">
        <v>931</v>
      </c>
      <c r="AC542" s="47" t="s">
        <v>504</v>
      </c>
      <c r="AD542" s="47" t="s">
        <v>4261</v>
      </c>
      <c r="AE542" s="47" t="s">
        <v>937</v>
      </c>
      <c r="AF542" s="47" t="s">
        <v>4275</v>
      </c>
      <c r="AG542" s="47" t="s">
        <v>4276</v>
      </c>
      <c r="AH542" s="47" t="s">
        <v>364</v>
      </c>
      <c r="AI542" s="47" t="s">
        <v>931</v>
      </c>
      <c r="AJ542" s="47" t="s">
        <v>365</v>
      </c>
      <c r="AK542" s="47" t="s">
        <v>930</v>
      </c>
      <c r="AL542" s="47" t="s">
        <v>931</v>
      </c>
      <c r="AM542" s="47" t="s">
        <v>931</v>
      </c>
      <c r="AN542" s="37"/>
    </row>
    <row r="543" spans="1:40" hidden="1">
      <c r="A543" s="47" t="s">
        <v>982</v>
      </c>
      <c r="B543" s="47" t="s">
        <v>919</v>
      </c>
      <c r="C543" s="47" t="s">
        <v>4277</v>
      </c>
      <c r="D543" s="47">
        <f t="shared" si="15"/>
        <v>162065</v>
      </c>
      <c r="E543" s="47" t="s">
        <v>258</v>
      </c>
      <c r="F543" s="47" t="s">
        <v>259</v>
      </c>
      <c r="G543" s="47" t="s">
        <v>4278</v>
      </c>
      <c r="H543" s="47" t="s">
        <v>969</v>
      </c>
      <c r="I543" s="47" t="s">
        <v>4279</v>
      </c>
      <c r="J543" s="47" t="s">
        <v>944</v>
      </c>
      <c r="K543" s="47" t="s">
        <v>163</v>
      </c>
      <c r="L543" s="47" t="s">
        <v>3646</v>
      </c>
      <c r="M543" s="47" t="s">
        <v>2710</v>
      </c>
      <c r="N543" s="47" t="s">
        <v>946</v>
      </c>
      <c r="O543" s="47" t="s">
        <v>930</v>
      </c>
      <c r="P543" s="47" t="s">
        <v>930</v>
      </c>
      <c r="Q543" s="47"/>
      <c r="R543" s="47"/>
      <c r="S543" s="47"/>
      <c r="T543" s="47" t="s">
        <v>4280</v>
      </c>
      <c r="U543" s="47" t="s">
        <v>4281</v>
      </c>
      <c r="V543" s="47" t="s">
        <v>1238</v>
      </c>
      <c r="W543" s="47" t="s">
        <v>931</v>
      </c>
      <c r="X543" s="47" t="s">
        <v>932</v>
      </c>
      <c r="Y543" s="47" t="s">
        <v>4278</v>
      </c>
      <c r="Z543" s="47" t="s">
        <v>4282</v>
      </c>
      <c r="AA543" s="47" t="s">
        <v>4283</v>
      </c>
      <c r="AB543" s="47" t="s">
        <v>4284</v>
      </c>
      <c r="AC543" s="47" t="s">
        <v>515</v>
      </c>
      <c r="AD543" s="47" t="s">
        <v>4285</v>
      </c>
      <c r="AE543" s="47" t="s">
        <v>937</v>
      </c>
      <c r="AF543" s="47" t="s">
        <v>931</v>
      </c>
      <c r="AG543" s="47" t="s">
        <v>931</v>
      </c>
      <c r="AH543" s="47" t="s">
        <v>364</v>
      </c>
      <c r="AI543" s="47" t="s">
        <v>931</v>
      </c>
      <c r="AJ543" s="47" t="s">
        <v>365</v>
      </c>
      <c r="AK543" s="47" t="s">
        <v>930</v>
      </c>
      <c r="AL543" s="47" t="s">
        <v>931</v>
      </c>
      <c r="AM543" s="47" t="s">
        <v>931</v>
      </c>
      <c r="AN543" s="37"/>
    </row>
    <row r="544" spans="1:40" hidden="1">
      <c r="A544" s="47" t="s">
        <v>982</v>
      </c>
      <c r="B544" s="47" t="s">
        <v>919</v>
      </c>
      <c r="C544" s="47" t="s">
        <v>4286</v>
      </c>
      <c r="D544" s="47">
        <f t="shared" si="15"/>
        <v>162064</v>
      </c>
      <c r="E544" s="47" t="s">
        <v>258</v>
      </c>
      <c r="F544" s="47" t="s">
        <v>259</v>
      </c>
      <c r="G544" s="47" t="s">
        <v>3040</v>
      </c>
      <c r="H544" s="47" t="s">
        <v>969</v>
      </c>
      <c r="I544" s="47" t="s">
        <v>4279</v>
      </c>
      <c r="J544" s="47" t="s">
        <v>944</v>
      </c>
      <c r="K544" s="47" t="s">
        <v>163</v>
      </c>
      <c r="L544" s="47" t="s">
        <v>2248</v>
      </c>
      <c r="M544" s="47" t="s">
        <v>2710</v>
      </c>
      <c r="N544" s="47" t="s">
        <v>946</v>
      </c>
      <c r="O544" s="47" t="s">
        <v>930</v>
      </c>
      <c r="P544" s="47" t="s">
        <v>930</v>
      </c>
      <c r="Q544" s="47"/>
      <c r="R544" s="47"/>
      <c r="S544" s="47"/>
      <c r="T544" s="47" t="s">
        <v>4287</v>
      </c>
      <c r="U544" s="47" t="s">
        <v>4288</v>
      </c>
      <c r="V544" s="47" t="s">
        <v>428</v>
      </c>
      <c r="W544" s="47" t="s">
        <v>931</v>
      </c>
      <c r="X544" s="47" t="s">
        <v>932</v>
      </c>
      <c r="Y544" s="47" t="s">
        <v>3040</v>
      </c>
      <c r="Z544" s="47" t="s">
        <v>3046</v>
      </c>
      <c r="AA544" s="47" t="s">
        <v>3047</v>
      </c>
      <c r="AB544" s="47" t="s">
        <v>4289</v>
      </c>
      <c r="AC544" s="47" t="s">
        <v>515</v>
      </c>
      <c r="AD544" s="47" t="s">
        <v>4285</v>
      </c>
      <c r="AE544" s="47" t="s">
        <v>937</v>
      </c>
      <c r="AF544" s="47" t="s">
        <v>931</v>
      </c>
      <c r="AG544" s="47" t="s">
        <v>931</v>
      </c>
      <c r="AH544" s="47" t="s">
        <v>364</v>
      </c>
      <c r="AI544" s="47" t="s">
        <v>931</v>
      </c>
      <c r="AJ544" s="47" t="s">
        <v>365</v>
      </c>
      <c r="AK544" s="47" t="s">
        <v>930</v>
      </c>
      <c r="AL544" s="47" t="s">
        <v>931</v>
      </c>
      <c r="AM544" s="47" t="s">
        <v>931</v>
      </c>
      <c r="AN544" s="37"/>
    </row>
    <row r="545" spans="1:40" hidden="1">
      <c r="A545" s="47" t="s">
        <v>982</v>
      </c>
      <c r="B545" s="47" t="s">
        <v>919</v>
      </c>
      <c r="C545" s="47" t="s">
        <v>4290</v>
      </c>
      <c r="D545" s="47">
        <f t="shared" si="15"/>
        <v>162063</v>
      </c>
      <c r="E545" s="47" t="s">
        <v>230</v>
      </c>
      <c r="F545" s="47" t="s">
        <v>226</v>
      </c>
      <c r="G545" s="47" t="s">
        <v>447</v>
      </c>
      <c r="H545" s="47" t="s">
        <v>969</v>
      </c>
      <c r="I545" s="47" t="s">
        <v>4250</v>
      </c>
      <c r="J545" s="47" t="s">
        <v>944</v>
      </c>
      <c r="K545" s="47" t="s">
        <v>163</v>
      </c>
      <c r="L545" s="47" t="s">
        <v>4126</v>
      </c>
      <c r="M545" s="47" t="s">
        <v>4271</v>
      </c>
      <c r="N545" s="47" t="s">
        <v>946</v>
      </c>
      <c r="O545" s="47" t="s">
        <v>930</v>
      </c>
      <c r="P545" s="47" t="s">
        <v>930</v>
      </c>
      <c r="Q545" s="47"/>
      <c r="R545" s="47"/>
      <c r="S545" s="47"/>
      <c r="T545" s="47" t="s">
        <v>4291</v>
      </c>
      <c r="U545" s="47" t="s">
        <v>4292</v>
      </c>
      <c r="V545" s="47" t="s">
        <v>1238</v>
      </c>
      <c r="W545" s="47" t="s">
        <v>931</v>
      </c>
      <c r="X545" s="47" t="s">
        <v>995</v>
      </c>
      <c r="Y545" s="47" t="s">
        <v>447</v>
      </c>
      <c r="Z545" s="47" t="s">
        <v>4223</v>
      </c>
      <c r="AA545" s="47" t="s">
        <v>4224</v>
      </c>
      <c r="AB545" s="47" t="s">
        <v>931</v>
      </c>
      <c r="AC545" s="47" t="s">
        <v>504</v>
      </c>
      <c r="AD545" s="47" t="s">
        <v>4255</v>
      </c>
      <c r="AE545" s="47" t="s">
        <v>937</v>
      </c>
      <c r="AF545" s="47" t="s">
        <v>931</v>
      </c>
      <c r="AG545" s="47" t="s">
        <v>931</v>
      </c>
      <c r="AH545" s="47" t="s">
        <v>364</v>
      </c>
      <c r="AI545" s="47" t="s">
        <v>931</v>
      </c>
      <c r="AJ545" s="47" t="s">
        <v>365</v>
      </c>
      <c r="AK545" s="47" t="s">
        <v>930</v>
      </c>
      <c r="AL545" s="47" t="s">
        <v>931</v>
      </c>
      <c r="AM545" s="47" t="s">
        <v>931</v>
      </c>
      <c r="AN545" s="37"/>
    </row>
    <row r="546" spans="1:40" hidden="1">
      <c r="A546" s="47" t="s">
        <v>982</v>
      </c>
      <c r="B546" s="47" t="s">
        <v>919</v>
      </c>
      <c r="C546" s="47" t="s">
        <v>4293</v>
      </c>
      <c r="D546" s="47">
        <f t="shared" si="15"/>
        <v>162059</v>
      </c>
      <c r="E546" s="47" t="s">
        <v>632</v>
      </c>
      <c r="F546" s="47" t="s">
        <v>633</v>
      </c>
      <c r="G546" s="47" t="s">
        <v>4294</v>
      </c>
      <c r="H546" s="47" t="s">
        <v>1287</v>
      </c>
      <c r="I546" s="47" t="s">
        <v>4295</v>
      </c>
      <c r="J546" s="47" t="s">
        <v>944</v>
      </c>
      <c r="K546" s="47" t="s">
        <v>163</v>
      </c>
      <c r="L546" s="47" t="s">
        <v>3140</v>
      </c>
      <c r="M546" s="47" t="s">
        <v>1004</v>
      </c>
      <c r="N546" s="47" t="s">
        <v>946</v>
      </c>
      <c r="O546" s="47" t="s">
        <v>930</v>
      </c>
      <c r="P546" s="47" t="s">
        <v>930</v>
      </c>
      <c r="Q546" s="47"/>
      <c r="R546" s="47"/>
      <c r="S546" s="47"/>
      <c r="T546" s="47" t="s">
        <v>4296</v>
      </c>
      <c r="U546" s="47" t="s">
        <v>4297</v>
      </c>
      <c r="V546" s="47" t="s">
        <v>4298</v>
      </c>
      <c r="W546" s="47" t="s">
        <v>931</v>
      </c>
      <c r="X546" s="47" t="s">
        <v>982</v>
      </c>
      <c r="Y546" s="47" t="s">
        <v>4294</v>
      </c>
      <c r="Z546" s="47" t="s">
        <v>4299</v>
      </c>
      <c r="AA546" s="47" t="s">
        <v>4300</v>
      </c>
      <c r="AB546" s="47" t="s">
        <v>931</v>
      </c>
      <c r="AC546" s="47" t="s">
        <v>2882</v>
      </c>
      <c r="AD546" s="47" t="s">
        <v>4301</v>
      </c>
      <c r="AE546" s="47" t="s">
        <v>937</v>
      </c>
      <c r="AF546" s="47" t="s">
        <v>931</v>
      </c>
      <c r="AG546" s="47" t="s">
        <v>4302</v>
      </c>
      <c r="AH546" s="47" t="s">
        <v>1067</v>
      </c>
      <c r="AI546" s="47" t="s">
        <v>931</v>
      </c>
      <c r="AJ546" s="47" t="s">
        <v>365</v>
      </c>
      <c r="AK546" s="47" t="s">
        <v>930</v>
      </c>
      <c r="AL546" s="47" t="s">
        <v>931</v>
      </c>
      <c r="AM546" s="47" t="s">
        <v>931</v>
      </c>
      <c r="AN546" s="37"/>
    </row>
    <row r="547" spans="1:40" hidden="1">
      <c r="A547" s="47" t="s">
        <v>982</v>
      </c>
      <c r="B547" s="47" t="s">
        <v>919</v>
      </c>
      <c r="C547" s="47" t="s">
        <v>4303</v>
      </c>
      <c r="D547" s="47">
        <f t="shared" si="15"/>
        <v>162558</v>
      </c>
      <c r="E547" s="47" t="s">
        <v>4304</v>
      </c>
      <c r="F547" s="47" t="s">
        <v>432</v>
      </c>
      <c r="G547" s="47" t="s">
        <v>3176</v>
      </c>
      <c r="H547" s="47" t="s">
        <v>924</v>
      </c>
      <c r="I547" s="47" t="s">
        <v>4305</v>
      </c>
      <c r="J547" s="47" t="s">
        <v>1172</v>
      </c>
      <c r="K547" s="47" t="s">
        <v>163</v>
      </c>
      <c r="L547" s="47" t="s">
        <v>1197</v>
      </c>
      <c r="M547" s="47" t="s">
        <v>2725</v>
      </c>
      <c r="N547" s="47" t="s">
        <v>946</v>
      </c>
      <c r="O547" s="47" t="s">
        <v>930</v>
      </c>
      <c r="P547" s="47" t="s">
        <v>930</v>
      </c>
      <c r="Q547" s="47"/>
      <c r="R547" s="47"/>
      <c r="S547" s="47"/>
      <c r="T547" s="47" t="s">
        <v>4306</v>
      </c>
      <c r="U547" s="47" t="s">
        <v>4307</v>
      </c>
      <c r="V547" s="47" t="s">
        <v>3212</v>
      </c>
      <c r="W547" s="47" t="s">
        <v>931</v>
      </c>
      <c r="X547" s="47" t="s">
        <v>995</v>
      </c>
      <c r="Y547" s="47" t="s">
        <v>3176</v>
      </c>
      <c r="Z547" s="47" t="s">
        <v>3181</v>
      </c>
      <c r="AA547" s="47" t="s">
        <v>3182</v>
      </c>
      <c r="AB547" s="47" t="s">
        <v>4308</v>
      </c>
      <c r="AC547" s="47" t="s">
        <v>865</v>
      </c>
      <c r="AD547" s="47" t="s">
        <v>4309</v>
      </c>
      <c r="AE547" s="47" t="s">
        <v>937</v>
      </c>
      <c r="AF547" s="47" t="s">
        <v>931</v>
      </c>
      <c r="AG547" s="47" t="s">
        <v>931</v>
      </c>
      <c r="AH547" s="47" t="s">
        <v>931</v>
      </c>
      <c r="AI547" s="47" t="s">
        <v>931</v>
      </c>
      <c r="AJ547" s="47" t="s">
        <v>931</v>
      </c>
      <c r="AK547" s="47" t="s">
        <v>930</v>
      </c>
      <c r="AL547" s="47" t="s">
        <v>931</v>
      </c>
      <c r="AM547" s="47" t="s">
        <v>931</v>
      </c>
      <c r="AN547" s="37"/>
    </row>
    <row r="548" spans="1:40" hidden="1">
      <c r="A548" s="47" t="s">
        <v>982</v>
      </c>
      <c r="B548" s="47" t="s">
        <v>919</v>
      </c>
      <c r="C548" s="47" t="s">
        <v>4310</v>
      </c>
      <c r="D548" s="47">
        <f t="shared" si="15"/>
        <v>161621</v>
      </c>
      <c r="E548" s="47" t="s">
        <v>94</v>
      </c>
      <c r="F548" s="47" t="s">
        <v>301</v>
      </c>
      <c r="G548" s="47" t="s">
        <v>1154</v>
      </c>
      <c r="H548" s="47" t="s">
        <v>1287</v>
      </c>
      <c r="I548" s="47" t="s">
        <v>4311</v>
      </c>
      <c r="J548" s="47" t="s">
        <v>1354</v>
      </c>
      <c r="K548" s="47" t="s">
        <v>163</v>
      </c>
      <c r="L548" s="47" t="s">
        <v>2961</v>
      </c>
      <c r="M548" s="47" t="s">
        <v>2710</v>
      </c>
      <c r="N548" s="47" t="s">
        <v>946</v>
      </c>
      <c r="O548" s="47" t="s">
        <v>930</v>
      </c>
      <c r="P548" s="47" t="s">
        <v>930</v>
      </c>
      <c r="Q548" s="47"/>
      <c r="R548" s="47"/>
      <c r="S548" s="47"/>
      <c r="T548" s="47" t="s">
        <v>4312</v>
      </c>
      <c r="U548" s="47" t="s">
        <v>4313</v>
      </c>
      <c r="V548" s="47" t="s">
        <v>3026</v>
      </c>
      <c r="W548" s="47" t="s">
        <v>931</v>
      </c>
      <c r="X548" s="47" t="s">
        <v>932</v>
      </c>
      <c r="Y548" s="47" t="s">
        <v>1154</v>
      </c>
      <c r="Z548" s="47" t="s">
        <v>1155</v>
      </c>
      <c r="AA548" s="47" t="s">
        <v>1156</v>
      </c>
      <c r="AB548" s="47" t="s">
        <v>931</v>
      </c>
      <c r="AC548" s="47" t="s">
        <v>409</v>
      </c>
      <c r="AD548" s="47" t="s">
        <v>4314</v>
      </c>
      <c r="AE548" s="47" t="s">
        <v>937</v>
      </c>
      <c r="AF548" s="47" t="s">
        <v>4315</v>
      </c>
      <c r="AG548" s="47" t="s">
        <v>4316</v>
      </c>
      <c r="AH548" s="47" t="s">
        <v>364</v>
      </c>
      <c r="AI548" s="47" t="s">
        <v>931</v>
      </c>
      <c r="AJ548" s="47" t="s">
        <v>365</v>
      </c>
      <c r="AK548" s="47" t="s">
        <v>930</v>
      </c>
      <c r="AL548" s="47" t="s">
        <v>931</v>
      </c>
      <c r="AM548" s="47" t="s">
        <v>931</v>
      </c>
      <c r="AN548" s="37"/>
    </row>
    <row r="549" spans="1:40" hidden="1">
      <c r="A549" s="47" t="s">
        <v>982</v>
      </c>
      <c r="B549" s="47" t="s">
        <v>919</v>
      </c>
      <c r="C549" s="47" t="s">
        <v>4317</v>
      </c>
      <c r="D549" s="47">
        <f t="shared" si="15"/>
        <v>161629</v>
      </c>
      <c r="E549" s="47" t="s">
        <v>632</v>
      </c>
      <c r="F549" s="47" t="s">
        <v>633</v>
      </c>
      <c r="G549" s="47" t="s">
        <v>4318</v>
      </c>
      <c r="H549" s="47" t="s">
        <v>1287</v>
      </c>
      <c r="I549" s="47" t="s">
        <v>4319</v>
      </c>
      <c r="J549" s="47" t="s">
        <v>1354</v>
      </c>
      <c r="K549" s="47" t="s">
        <v>163</v>
      </c>
      <c r="L549" s="47" t="s">
        <v>1432</v>
      </c>
      <c r="M549" s="47" t="s">
        <v>1004</v>
      </c>
      <c r="N549" s="47" t="s">
        <v>946</v>
      </c>
      <c r="O549" s="47" t="s">
        <v>930</v>
      </c>
      <c r="P549" s="47" t="s">
        <v>930</v>
      </c>
      <c r="Q549" s="47"/>
      <c r="R549" s="47"/>
      <c r="S549" s="47"/>
      <c r="T549" s="47" t="s">
        <v>4320</v>
      </c>
      <c r="U549" s="47" t="s">
        <v>4321</v>
      </c>
      <c r="V549" s="47" t="s">
        <v>4104</v>
      </c>
      <c r="W549" s="47" t="s">
        <v>931</v>
      </c>
      <c r="X549" s="47" t="s">
        <v>982</v>
      </c>
      <c r="Y549" s="47" t="s">
        <v>4318</v>
      </c>
      <c r="Z549" s="47" t="s">
        <v>4322</v>
      </c>
      <c r="AA549" s="47" t="s">
        <v>4323</v>
      </c>
      <c r="AB549" s="47" t="s">
        <v>931</v>
      </c>
      <c r="AC549" s="47" t="s">
        <v>2882</v>
      </c>
      <c r="AD549" s="47" t="s">
        <v>4324</v>
      </c>
      <c r="AE549" s="47" t="s">
        <v>937</v>
      </c>
      <c r="AF549" s="47" t="s">
        <v>931</v>
      </c>
      <c r="AG549" s="47" t="s">
        <v>931</v>
      </c>
      <c r="AH549" s="47" t="s">
        <v>1067</v>
      </c>
      <c r="AI549" s="47" t="s">
        <v>931</v>
      </c>
      <c r="AJ549" s="47" t="s">
        <v>365</v>
      </c>
      <c r="AK549" s="47" t="s">
        <v>930</v>
      </c>
      <c r="AL549" s="47" t="s">
        <v>931</v>
      </c>
      <c r="AM549" s="47" t="s">
        <v>931</v>
      </c>
      <c r="AN549" s="37"/>
    </row>
    <row r="550" spans="1:40" hidden="1">
      <c r="A550" s="47" t="s">
        <v>982</v>
      </c>
      <c r="B550" s="47" t="s">
        <v>919</v>
      </c>
      <c r="C550" s="47" t="s">
        <v>4325</v>
      </c>
      <c r="D550" s="47">
        <f t="shared" si="15"/>
        <v>161626</v>
      </c>
      <c r="E550" s="47" t="s">
        <v>266</v>
      </c>
      <c r="F550" s="47" t="s">
        <v>267</v>
      </c>
      <c r="G550" s="47" t="s">
        <v>409</v>
      </c>
      <c r="H550" s="47" t="s">
        <v>1287</v>
      </c>
      <c r="I550" s="47" t="s">
        <v>4326</v>
      </c>
      <c r="J550" s="47" t="s">
        <v>1354</v>
      </c>
      <c r="K550" s="47" t="s">
        <v>163</v>
      </c>
      <c r="L550" s="47" t="s">
        <v>928</v>
      </c>
      <c r="M550" s="47" t="s">
        <v>4327</v>
      </c>
      <c r="N550" s="47" t="s">
        <v>946</v>
      </c>
      <c r="O550" s="47" t="s">
        <v>930</v>
      </c>
      <c r="P550" s="47" t="s">
        <v>930</v>
      </c>
      <c r="Q550" s="47"/>
      <c r="R550" s="47"/>
      <c r="S550" s="47"/>
      <c r="T550" s="47" t="s">
        <v>4328</v>
      </c>
      <c r="U550" s="47" t="s">
        <v>4329</v>
      </c>
      <c r="V550" s="47" t="s">
        <v>4185</v>
      </c>
      <c r="W550" s="47" t="s">
        <v>931</v>
      </c>
      <c r="X550" s="47" t="s">
        <v>932</v>
      </c>
      <c r="Y550" s="47" t="s">
        <v>409</v>
      </c>
      <c r="Z550" s="47" t="s">
        <v>4330</v>
      </c>
      <c r="AA550" s="47" t="s">
        <v>4331</v>
      </c>
      <c r="AB550" s="47" t="s">
        <v>931</v>
      </c>
      <c r="AC550" s="47" t="s">
        <v>409</v>
      </c>
      <c r="AD550" s="47" t="s">
        <v>4332</v>
      </c>
      <c r="AE550" s="47" t="s">
        <v>3479</v>
      </c>
      <c r="AF550" s="47" t="s">
        <v>931</v>
      </c>
      <c r="AG550" s="47" t="s">
        <v>931</v>
      </c>
      <c r="AH550" s="47" t="s">
        <v>364</v>
      </c>
      <c r="AI550" s="47" t="s">
        <v>931</v>
      </c>
      <c r="AJ550" s="47" t="s">
        <v>365</v>
      </c>
      <c r="AK550" s="47" t="s">
        <v>930</v>
      </c>
      <c r="AL550" s="47" t="s">
        <v>931</v>
      </c>
      <c r="AM550" s="47" t="s">
        <v>931</v>
      </c>
      <c r="AN550" s="37"/>
    </row>
    <row r="551" spans="1:40" hidden="1">
      <c r="A551" s="47" t="s">
        <v>982</v>
      </c>
      <c r="B551" s="47" t="s">
        <v>919</v>
      </c>
      <c r="C551" s="47" t="s">
        <v>4333</v>
      </c>
      <c r="D551" s="47">
        <f t="shared" si="15"/>
        <v>161620</v>
      </c>
      <c r="E551" s="47" t="s">
        <v>303</v>
      </c>
      <c r="F551" s="47" t="s">
        <v>304</v>
      </c>
      <c r="G551" s="47" t="s">
        <v>2937</v>
      </c>
      <c r="H551" s="47" t="s">
        <v>1287</v>
      </c>
      <c r="I551" s="47" t="s">
        <v>4334</v>
      </c>
      <c r="J551" s="47" t="s">
        <v>1354</v>
      </c>
      <c r="K551" s="47" t="s">
        <v>163</v>
      </c>
      <c r="L551" s="47" t="s">
        <v>4335</v>
      </c>
      <c r="M551" s="47" t="s">
        <v>1173</v>
      </c>
      <c r="N551" s="47" t="s">
        <v>946</v>
      </c>
      <c r="O551" s="47" t="s">
        <v>930</v>
      </c>
      <c r="P551" s="47" t="s">
        <v>930</v>
      </c>
      <c r="Q551" s="47"/>
      <c r="R551" s="47"/>
      <c r="S551" s="47"/>
      <c r="T551" s="47" t="s">
        <v>4336</v>
      </c>
      <c r="U551" s="47" t="s">
        <v>4337</v>
      </c>
      <c r="V551" s="47" t="s">
        <v>4338</v>
      </c>
      <c r="W551" s="47" t="s">
        <v>931</v>
      </c>
      <c r="X551" s="47" t="s">
        <v>932</v>
      </c>
      <c r="Y551" s="47" t="s">
        <v>2937</v>
      </c>
      <c r="Z551" s="47" t="s">
        <v>3411</v>
      </c>
      <c r="AA551" s="47" t="s">
        <v>3412</v>
      </c>
      <c r="AB551" s="47" t="s">
        <v>4339</v>
      </c>
      <c r="AC551" s="47" t="s">
        <v>2937</v>
      </c>
      <c r="AD551" s="47" t="s">
        <v>4340</v>
      </c>
      <c r="AE551" s="47" t="s">
        <v>937</v>
      </c>
      <c r="AF551" s="47" t="s">
        <v>931</v>
      </c>
      <c r="AG551" s="47" t="s">
        <v>931</v>
      </c>
      <c r="AH551" s="47" t="s">
        <v>364</v>
      </c>
      <c r="AI551" s="47" t="s">
        <v>931</v>
      </c>
      <c r="AJ551" s="47" t="s">
        <v>365</v>
      </c>
      <c r="AK551" s="47" t="s">
        <v>930</v>
      </c>
      <c r="AL551" s="47" t="s">
        <v>931</v>
      </c>
      <c r="AM551" s="47" t="s">
        <v>931</v>
      </c>
      <c r="AN551" s="37"/>
    </row>
    <row r="552" spans="1:40" hidden="1">
      <c r="A552" s="47" t="s">
        <v>982</v>
      </c>
      <c r="B552" s="47" t="s">
        <v>919</v>
      </c>
      <c r="C552" s="47" t="s">
        <v>4341</v>
      </c>
      <c r="D552" s="47">
        <f t="shared" si="15"/>
        <v>161624</v>
      </c>
      <c r="E552" s="47" t="s">
        <v>330</v>
      </c>
      <c r="F552" s="47" t="s">
        <v>331</v>
      </c>
      <c r="G552" s="47" t="s">
        <v>464</v>
      </c>
      <c r="H552" s="47" t="s">
        <v>924</v>
      </c>
      <c r="I552" s="47" t="s">
        <v>4342</v>
      </c>
      <c r="J552" s="47" t="s">
        <v>1354</v>
      </c>
      <c r="K552" s="47" t="s">
        <v>163</v>
      </c>
      <c r="L552" s="47" t="s">
        <v>4335</v>
      </c>
      <c r="M552" s="47" t="s">
        <v>1173</v>
      </c>
      <c r="N552" s="47" t="s">
        <v>946</v>
      </c>
      <c r="O552" s="47" t="s">
        <v>930</v>
      </c>
      <c r="P552" s="47" t="s">
        <v>930</v>
      </c>
      <c r="Q552" s="47"/>
      <c r="R552" s="47"/>
      <c r="S552" s="47"/>
      <c r="T552" s="47" t="s">
        <v>4343</v>
      </c>
      <c r="U552" s="47" t="s">
        <v>4344</v>
      </c>
      <c r="V552" s="47" t="s">
        <v>4338</v>
      </c>
      <c r="W552" s="47" t="s">
        <v>931</v>
      </c>
      <c r="X552" s="47" t="s">
        <v>995</v>
      </c>
      <c r="Y552" s="47" t="s">
        <v>464</v>
      </c>
      <c r="Z552" s="47" t="s">
        <v>3462</v>
      </c>
      <c r="AA552" s="47" t="s">
        <v>3463</v>
      </c>
      <c r="AB552" s="47" t="s">
        <v>931</v>
      </c>
      <c r="AC552" s="47" t="s">
        <v>37</v>
      </c>
      <c r="AD552" s="47" t="s">
        <v>4345</v>
      </c>
      <c r="AE552" s="47" t="s">
        <v>937</v>
      </c>
      <c r="AF552" s="47" t="s">
        <v>931</v>
      </c>
      <c r="AG552" s="47" t="s">
        <v>4346</v>
      </c>
      <c r="AH552" s="47" t="s">
        <v>364</v>
      </c>
      <c r="AI552" s="47" t="s">
        <v>931</v>
      </c>
      <c r="AJ552" s="47" t="s">
        <v>365</v>
      </c>
      <c r="AK552" s="47" t="s">
        <v>930</v>
      </c>
      <c r="AL552" s="47" t="s">
        <v>931</v>
      </c>
      <c r="AM552" s="47" t="s">
        <v>931</v>
      </c>
      <c r="AN552" s="37"/>
    </row>
    <row r="553" spans="1:40" hidden="1">
      <c r="A553" s="47" t="s">
        <v>982</v>
      </c>
      <c r="B553" s="47" t="s">
        <v>919</v>
      </c>
      <c r="C553" s="47" t="s">
        <v>4347</v>
      </c>
      <c r="D553" s="47">
        <f t="shared" si="15"/>
        <v>161622</v>
      </c>
      <c r="E553" s="47" t="s">
        <v>2928</v>
      </c>
      <c r="F553" s="47" t="s">
        <v>2929</v>
      </c>
      <c r="G553" s="47" t="s">
        <v>418</v>
      </c>
      <c r="H553" s="47" t="s">
        <v>924</v>
      </c>
      <c r="I553" s="47" t="s">
        <v>4334</v>
      </c>
      <c r="J553" s="47" t="s">
        <v>1354</v>
      </c>
      <c r="K553" s="47" t="s">
        <v>163</v>
      </c>
      <c r="L553" s="47" t="s">
        <v>1282</v>
      </c>
      <c r="M553" s="47" t="s">
        <v>1173</v>
      </c>
      <c r="N553" s="47" t="s">
        <v>946</v>
      </c>
      <c r="O553" s="47" t="s">
        <v>930</v>
      </c>
      <c r="P553" s="47" t="s">
        <v>930</v>
      </c>
      <c r="Q553" s="47"/>
      <c r="R553" s="47"/>
      <c r="S553" s="47"/>
      <c r="T553" s="47" t="s">
        <v>4348</v>
      </c>
      <c r="U553" s="47" t="s">
        <v>4349</v>
      </c>
      <c r="V553" s="47" t="s">
        <v>4338</v>
      </c>
      <c r="W553" s="47" t="s">
        <v>931</v>
      </c>
      <c r="X553" s="47" t="s">
        <v>932</v>
      </c>
      <c r="Y553" s="47" t="s">
        <v>418</v>
      </c>
      <c r="Z553" s="47" t="s">
        <v>3535</v>
      </c>
      <c r="AA553" s="47" t="s">
        <v>3536</v>
      </c>
      <c r="AB553" s="47" t="s">
        <v>3426</v>
      </c>
      <c r="AC553" s="47" t="s">
        <v>1328</v>
      </c>
      <c r="AD553" s="47" t="s">
        <v>4340</v>
      </c>
      <c r="AE553" s="47" t="s">
        <v>937</v>
      </c>
      <c r="AF553" s="47" t="s">
        <v>931</v>
      </c>
      <c r="AG553" s="47" t="s">
        <v>4350</v>
      </c>
      <c r="AH553" s="47" t="s">
        <v>1067</v>
      </c>
      <c r="AI553" s="47" t="s">
        <v>931</v>
      </c>
      <c r="AJ553" s="47" t="s">
        <v>365</v>
      </c>
      <c r="AK553" s="47" t="s">
        <v>930</v>
      </c>
      <c r="AL553" s="47" t="s">
        <v>931</v>
      </c>
      <c r="AM553" s="47" t="s">
        <v>931</v>
      </c>
      <c r="AN553" s="37"/>
    </row>
    <row r="554" spans="1:40" hidden="1">
      <c r="A554" s="47" t="s">
        <v>982</v>
      </c>
      <c r="B554" s="47" t="s">
        <v>919</v>
      </c>
      <c r="C554" s="47" t="s">
        <v>4351</v>
      </c>
      <c r="D554" s="47">
        <f t="shared" si="15"/>
        <v>161623</v>
      </c>
      <c r="E554" s="47" t="s">
        <v>92</v>
      </c>
      <c r="F554" s="47" t="s">
        <v>298</v>
      </c>
      <c r="G554" s="47" t="s">
        <v>382</v>
      </c>
      <c r="H554" s="47" t="s">
        <v>1287</v>
      </c>
      <c r="I554" s="47" t="s">
        <v>4342</v>
      </c>
      <c r="J554" s="47" t="s">
        <v>1354</v>
      </c>
      <c r="K554" s="47" t="s">
        <v>163</v>
      </c>
      <c r="L554" s="47" t="s">
        <v>1432</v>
      </c>
      <c r="M554" s="47" t="s">
        <v>1173</v>
      </c>
      <c r="N554" s="47" t="s">
        <v>946</v>
      </c>
      <c r="O554" s="47" t="s">
        <v>930</v>
      </c>
      <c r="P554" s="47" t="s">
        <v>930</v>
      </c>
      <c r="Q554" s="47"/>
      <c r="R554" s="47"/>
      <c r="S554" s="47"/>
      <c r="T554" s="47" t="s">
        <v>4352</v>
      </c>
      <c r="U554" s="47" t="s">
        <v>4353</v>
      </c>
      <c r="V554" s="47" t="s">
        <v>4338</v>
      </c>
      <c r="W554" s="47" t="s">
        <v>931</v>
      </c>
      <c r="X554" s="47" t="s">
        <v>932</v>
      </c>
      <c r="Y554" s="47" t="s">
        <v>382</v>
      </c>
      <c r="Z554" s="47" t="s">
        <v>4253</v>
      </c>
      <c r="AA554" s="47" t="s">
        <v>4254</v>
      </c>
      <c r="AB554" s="47" t="s">
        <v>931</v>
      </c>
      <c r="AC554" s="47" t="s">
        <v>379</v>
      </c>
      <c r="AD554" s="47" t="s">
        <v>4345</v>
      </c>
      <c r="AE554" s="47" t="s">
        <v>937</v>
      </c>
      <c r="AF554" s="47" t="s">
        <v>931</v>
      </c>
      <c r="AG554" s="47" t="s">
        <v>4354</v>
      </c>
      <c r="AH554" s="47" t="s">
        <v>364</v>
      </c>
      <c r="AI554" s="47" t="s">
        <v>931</v>
      </c>
      <c r="AJ554" s="47" t="s">
        <v>365</v>
      </c>
      <c r="AK554" s="47" t="s">
        <v>930</v>
      </c>
      <c r="AL554" s="47" t="s">
        <v>931</v>
      </c>
      <c r="AM554" s="47" t="s">
        <v>931</v>
      </c>
      <c r="AN554" s="37"/>
    </row>
    <row r="555" spans="1:40" hidden="1">
      <c r="A555" s="47" t="s">
        <v>982</v>
      </c>
      <c r="B555" s="47" t="s">
        <v>919</v>
      </c>
      <c r="C555" s="47" t="s">
        <v>4355</v>
      </c>
      <c r="D555" s="47">
        <f t="shared" si="15"/>
        <v>161619</v>
      </c>
      <c r="E555" s="47" t="s">
        <v>4356</v>
      </c>
      <c r="F555" s="47" t="s">
        <v>4357</v>
      </c>
      <c r="G555" s="47" t="s">
        <v>4358</v>
      </c>
      <c r="H555" s="47" t="s">
        <v>969</v>
      </c>
      <c r="I555" s="47" t="s">
        <v>4359</v>
      </c>
      <c r="J555" s="47" t="s">
        <v>1354</v>
      </c>
      <c r="K555" s="47" t="s">
        <v>163</v>
      </c>
      <c r="L555" s="47" t="s">
        <v>1289</v>
      </c>
      <c r="M555" s="47" t="s">
        <v>1102</v>
      </c>
      <c r="N555" s="47" t="s">
        <v>946</v>
      </c>
      <c r="O555" s="47" t="s">
        <v>930</v>
      </c>
      <c r="P555" s="47" t="s">
        <v>930</v>
      </c>
      <c r="Q555" s="47"/>
      <c r="R555" s="47"/>
      <c r="S555" s="47"/>
      <c r="T555" s="47" t="s">
        <v>4360</v>
      </c>
      <c r="U555" s="47" t="s">
        <v>4361</v>
      </c>
      <c r="V555" s="47" t="s">
        <v>4362</v>
      </c>
      <c r="W555" s="47" t="s">
        <v>931</v>
      </c>
      <c r="X555" s="47" t="s">
        <v>932</v>
      </c>
      <c r="Y555" s="47" t="s">
        <v>4358</v>
      </c>
      <c r="Z555" s="47" t="s">
        <v>4363</v>
      </c>
      <c r="AA555" s="47" t="s">
        <v>931</v>
      </c>
      <c r="AB555" s="47" t="s">
        <v>931</v>
      </c>
      <c r="AC555" s="47" t="s">
        <v>931</v>
      </c>
      <c r="AD555" s="47" t="s">
        <v>4364</v>
      </c>
      <c r="AE555" s="47" t="s">
        <v>937</v>
      </c>
      <c r="AF555" s="47" t="s">
        <v>931</v>
      </c>
      <c r="AG555" s="47" t="s">
        <v>931</v>
      </c>
      <c r="AH555" s="47" t="s">
        <v>931</v>
      </c>
      <c r="AI555" s="47" t="s">
        <v>931</v>
      </c>
      <c r="AJ555" s="47" t="s">
        <v>931</v>
      </c>
      <c r="AK555" s="47" t="s">
        <v>930</v>
      </c>
      <c r="AL555" s="47" t="s">
        <v>931</v>
      </c>
      <c r="AM555" s="47" t="s">
        <v>931</v>
      </c>
      <c r="AN555" s="37"/>
    </row>
    <row r="556" spans="1:40" hidden="1">
      <c r="A556" s="47" t="s">
        <v>982</v>
      </c>
      <c r="B556" s="47" t="s">
        <v>919</v>
      </c>
      <c r="C556" s="47" t="s">
        <v>4365</v>
      </c>
      <c r="D556" s="47">
        <f t="shared" si="15"/>
        <v>161270</v>
      </c>
      <c r="E556" s="47" t="s">
        <v>383</v>
      </c>
      <c r="F556" s="47" t="s">
        <v>384</v>
      </c>
      <c r="G556" s="47" t="s">
        <v>391</v>
      </c>
      <c r="H556" s="47" t="s">
        <v>1287</v>
      </c>
      <c r="I556" s="47" t="s">
        <v>4366</v>
      </c>
      <c r="J556" s="47" t="s">
        <v>1055</v>
      </c>
      <c r="K556" s="47" t="s">
        <v>163</v>
      </c>
      <c r="L556" s="47" t="s">
        <v>1056</v>
      </c>
      <c r="M556" s="47" t="s">
        <v>1056</v>
      </c>
      <c r="N556" s="47" t="s">
        <v>1058</v>
      </c>
      <c r="O556" s="47" t="s">
        <v>930</v>
      </c>
      <c r="P556" s="47" t="s">
        <v>930</v>
      </c>
      <c r="Q556" s="47" t="str">
        <f>LEFT(T556,9)</f>
        <v xml:space="preserve"> Sáng T2:</v>
      </c>
      <c r="R556" s="47" t="s">
        <v>973</v>
      </c>
      <c r="S556" s="47" t="s">
        <v>1103</v>
      </c>
      <c r="T556" s="47" t="s">
        <v>4367</v>
      </c>
      <c r="U556" s="47" t="s">
        <v>4368</v>
      </c>
      <c r="V556" s="47" t="s">
        <v>26</v>
      </c>
      <c r="W556" s="47" t="s">
        <v>931</v>
      </c>
      <c r="X556" s="47" t="s">
        <v>932</v>
      </c>
      <c r="Y556" s="47" t="s">
        <v>391</v>
      </c>
      <c r="Z556" s="47" t="s">
        <v>3130</v>
      </c>
      <c r="AA556" s="47" t="s">
        <v>3131</v>
      </c>
      <c r="AB556" s="47" t="s">
        <v>931</v>
      </c>
      <c r="AC556" s="47" t="s">
        <v>387</v>
      </c>
      <c r="AD556" s="47" t="s">
        <v>4369</v>
      </c>
      <c r="AE556" s="47" t="s">
        <v>1292</v>
      </c>
      <c r="AF556" s="47" t="s">
        <v>931</v>
      </c>
      <c r="AG556" s="47" t="s">
        <v>4370</v>
      </c>
      <c r="AH556" s="47" t="s">
        <v>364</v>
      </c>
      <c r="AI556" s="47" t="s">
        <v>931</v>
      </c>
      <c r="AJ556" s="47" t="s">
        <v>365</v>
      </c>
      <c r="AK556" s="47" t="s">
        <v>930</v>
      </c>
      <c r="AL556" s="47" t="s">
        <v>931</v>
      </c>
      <c r="AM556" s="47" t="s">
        <v>931</v>
      </c>
      <c r="AN556" s="37"/>
    </row>
    <row r="557" spans="1:40" hidden="1">
      <c r="A557" s="47" t="s">
        <v>982</v>
      </c>
      <c r="B557" s="47" t="s">
        <v>919</v>
      </c>
      <c r="C557" s="47" t="s">
        <v>4371</v>
      </c>
      <c r="D557" s="47">
        <f t="shared" si="15"/>
        <v>161262</v>
      </c>
      <c r="E557" s="47" t="s">
        <v>555</v>
      </c>
      <c r="F557" s="47" t="s">
        <v>556</v>
      </c>
      <c r="G557" s="47" t="s">
        <v>1251</v>
      </c>
      <c r="H557" s="47" t="s">
        <v>1053</v>
      </c>
      <c r="I557" s="47" t="s">
        <v>4372</v>
      </c>
      <c r="J557" s="47" t="s">
        <v>1055</v>
      </c>
      <c r="K557" s="47" t="s">
        <v>163</v>
      </c>
      <c r="L557" s="47" t="s">
        <v>1056</v>
      </c>
      <c r="M557" s="47" t="s">
        <v>1056</v>
      </c>
      <c r="N557" s="47" t="s">
        <v>1058</v>
      </c>
      <c r="O557" s="47" t="s">
        <v>930</v>
      </c>
      <c r="P557" s="47" t="s">
        <v>930</v>
      </c>
      <c r="Q557" s="47" t="str">
        <f>LEFT(T557,9)</f>
        <v xml:space="preserve"> Sáng T4:</v>
      </c>
      <c r="R557" s="47" t="s">
        <v>973</v>
      </c>
      <c r="S557" s="47" t="s">
        <v>1059</v>
      </c>
      <c r="T557" s="47" t="s">
        <v>4373</v>
      </c>
      <c r="U557" s="47" t="s">
        <v>4374</v>
      </c>
      <c r="V557" s="47" t="s">
        <v>23</v>
      </c>
      <c r="W557" s="47" t="s">
        <v>931</v>
      </c>
      <c r="X557" s="47" t="s">
        <v>995</v>
      </c>
      <c r="Y557" s="47" t="s">
        <v>1251</v>
      </c>
      <c r="Z557" s="47" t="s">
        <v>4137</v>
      </c>
      <c r="AA557" s="47" t="s">
        <v>4138</v>
      </c>
      <c r="AB557" s="47" t="s">
        <v>931</v>
      </c>
      <c r="AC557" s="47" t="s">
        <v>476</v>
      </c>
      <c r="AD557" s="47" t="s">
        <v>4375</v>
      </c>
      <c r="AE557" s="47" t="s">
        <v>937</v>
      </c>
      <c r="AF557" s="47" t="s">
        <v>931</v>
      </c>
      <c r="AG557" s="47" t="s">
        <v>4376</v>
      </c>
      <c r="AH557" s="47" t="s">
        <v>998</v>
      </c>
      <c r="AI557" s="47" t="s">
        <v>931</v>
      </c>
      <c r="AJ557" s="47" t="s">
        <v>365</v>
      </c>
      <c r="AK557" s="47" t="s">
        <v>930</v>
      </c>
      <c r="AL557" s="47" t="s">
        <v>931</v>
      </c>
      <c r="AM557" s="47" t="s">
        <v>931</v>
      </c>
      <c r="AN557" s="37"/>
    </row>
    <row r="558" spans="1:40" hidden="1">
      <c r="A558" s="47" t="s">
        <v>982</v>
      </c>
      <c r="B558" s="47" t="s">
        <v>919</v>
      </c>
      <c r="C558" s="47" t="s">
        <v>4377</v>
      </c>
      <c r="D558" s="47">
        <f t="shared" si="15"/>
        <v>161268</v>
      </c>
      <c r="E558" s="47" t="s">
        <v>383</v>
      </c>
      <c r="F558" s="47" t="s">
        <v>384</v>
      </c>
      <c r="G558" s="47" t="s">
        <v>386</v>
      </c>
      <c r="H558" s="47" t="s">
        <v>1287</v>
      </c>
      <c r="I558" s="47" t="s">
        <v>4378</v>
      </c>
      <c r="J558" s="47" t="s">
        <v>1055</v>
      </c>
      <c r="K558" s="47" t="s">
        <v>163</v>
      </c>
      <c r="L558" s="47" t="s">
        <v>1056</v>
      </c>
      <c r="M558" s="47" t="s">
        <v>1056</v>
      </c>
      <c r="N558" s="47" t="s">
        <v>1058</v>
      </c>
      <c r="O558" s="47" t="s">
        <v>930</v>
      </c>
      <c r="P558" s="47" t="s">
        <v>930</v>
      </c>
      <c r="Q558" s="47" t="str">
        <f>LEFT(T558,9)</f>
        <v xml:space="preserve"> Chiều T2</v>
      </c>
      <c r="R558" s="47" t="s">
        <v>973</v>
      </c>
      <c r="S558" s="47" t="s">
        <v>1103</v>
      </c>
      <c r="T558" s="47" t="s">
        <v>4379</v>
      </c>
      <c r="U558" s="47" t="s">
        <v>4380</v>
      </c>
      <c r="V558" s="47" t="s">
        <v>26</v>
      </c>
      <c r="W558" s="47" t="s">
        <v>931</v>
      </c>
      <c r="X558" s="47" t="s">
        <v>932</v>
      </c>
      <c r="Y558" s="47" t="s">
        <v>386</v>
      </c>
      <c r="Z558" s="47" t="s">
        <v>1047</v>
      </c>
      <c r="AA558" s="47" t="s">
        <v>1048</v>
      </c>
      <c r="AB558" s="47" t="s">
        <v>4381</v>
      </c>
      <c r="AC558" s="47" t="s">
        <v>387</v>
      </c>
      <c r="AD558" s="47" t="s">
        <v>4382</v>
      </c>
      <c r="AE558" s="47" t="s">
        <v>1292</v>
      </c>
      <c r="AF558" s="47" t="s">
        <v>931</v>
      </c>
      <c r="AG558" s="47" t="s">
        <v>4383</v>
      </c>
      <c r="AH558" s="47" t="s">
        <v>364</v>
      </c>
      <c r="AI558" s="47" t="s">
        <v>931</v>
      </c>
      <c r="AJ558" s="47" t="s">
        <v>365</v>
      </c>
      <c r="AK558" s="47" t="s">
        <v>930</v>
      </c>
      <c r="AL558" s="47" t="s">
        <v>931</v>
      </c>
      <c r="AM558" s="47" t="s">
        <v>931</v>
      </c>
      <c r="AN558" s="37"/>
    </row>
    <row r="559" spans="1:40" hidden="1">
      <c r="A559" s="47" t="s">
        <v>982</v>
      </c>
      <c r="B559" s="47" t="s">
        <v>919</v>
      </c>
      <c r="C559" s="47" t="s">
        <v>4384</v>
      </c>
      <c r="D559" s="47">
        <f t="shared" si="15"/>
        <v>161255</v>
      </c>
      <c r="E559" s="47" t="s">
        <v>92</v>
      </c>
      <c r="F559" s="47" t="s">
        <v>298</v>
      </c>
      <c r="G559" s="47" t="s">
        <v>377</v>
      </c>
      <c r="H559" s="47" t="s">
        <v>1287</v>
      </c>
      <c r="I559" s="47" t="s">
        <v>4385</v>
      </c>
      <c r="J559" s="47" t="s">
        <v>1055</v>
      </c>
      <c r="K559" s="47" t="s">
        <v>163</v>
      </c>
      <c r="L559" s="47" t="s">
        <v>3553</v>
      </c>
      <c r="M559" s="47" t="s">
        <v>2753</v>
      </c>
      <c r="N559" s="47" t="s">
        <v>946</v>
      </c>
      <c r="O559" s="47" t="s">
        <v>930</v>
      </c>
      <c r="P559" s="47" t="s">
        <v>930</v>
      </c>
      <c r="Q559" s="47"/>
      <c r="R559" s="47"/>
      <c r="S559" s="47"/>
      <c r="T559" s="47" t="s">
        <v>4386</v>
      </c>
      <c r="U559" s="47" t="s">
        <v>4387</v>
      </c>
      <c r="V559" s="47" t="s">
        <v>378</v>
      </c>
      <c r="W559" s="47" t="s">
        <v>931</v>
      </c>
      <c r="X559" s="47" t="s">
        <v>932</v>
      </c>
      <c r="Y559" s="47" t="s">
        <v>377</v>
      </c>
      <c r="Z559" s="47" t="s">
        <v>4388</v>
      </c>
      <c r="AA559" s="47" t="s">
        <v>4389</v>
      </c>
      <c r="AB559" s="47" t="s">
        <v>931</v>
      </c>
      <c r="AC559" s="47" t="s">
        <v>379</v>
      </c>
      <c r="AD559" s="47" t="s">
        <v>4390</v>
      </c>
      <c r="AE559" s="47" t="s">
        <v>937</v>
      </c>
      <c r="AF559" s="47" t="s">
        <v>931</v>
      </c>
      <c r="AG559" s="47" t="s">
        <v>4391</v>
      </c>
      <c r="AH559" s="47" t="s">
        <v>364</v>
      </c>
      <c r="AI559" s="47" t="s">
        <v>931</v>
      </c>
      <c r="AJ559" s="47" t="s">
        <v>365</v>
      </c>
      <c r="AK559" s="47" t="s">
        <v>930</v>
      </c>
      <c r="AL559" s="47" t="s">
        <v>931</v>
      </c>
      <c r="AM559" s="47" t="s">
        <v>931</v>
      </c>
      <c r="AN559" s="37"/>
    </row>
    <row r="560" spans="1:40" hidden="1">
      <c r="A560" s="47" t="s">
        <v>982</v>
      </c>
      <c r="B560" s="47" t="s">
        <v>919</v>
      </c>
      <c r="C560" s="47" t="s">
        <v>4392</v>
      </c>
      <c r="D560" s="47">
        <f t="shared" si="15"/>
        <v>161272</v>
      </c>
      <c r="E560" s="47" t="s">
        <v>383</v>
      </c>
      <c r="F560" s="47" t="s">
        <v>384</v>
      </c>
      <c r="G560" s="47" t="s">
        <v>389</v>
      </c>
      <c r="H560" s="47" t="s">
        <v>1287</v>
      </c>
      <c r="I560" s="47" t="s">
        <v>4393</v>
      </c>
      <c r="J560" s="47" t="s">
        <v>1055</v>
      </c>
      <c r="K560" s="47" t="s">
        <v>163</v>
      </c>
      <c r="L560" s="47" t="s">
        <v>1056</v>
      </c>
      <c r="M560" s="47" t="s">
        <v>1056</v>
      </c>
      <c r="N560" s="47" t="s">
        <v>1058</v>
      </c>
      <c r="O560" s="47" t="s">
        <v>930</v>
      </c>
      <c r="P560" s="47" t="s">
        <v>930</v>
      </c>
      <c r="Q560" s="47" t="str">
        <f>LEFT(T560,9)</f>
        <v xml:space="preserve"> Sáng T5:</v>
      </c>
      <c r="R560" s="47" t="s">
        <v>973</v>
      </c>
      <c r="S560" s="47" t="s">
        <v>1027</v>
      </c>
      <c r="T560" s="47" t="s">
        <v>4394</v>
      </c>
      <c r="U560" s="47" t="s">
        <v>4395</v>
      </c>
      <c r="V560" s="47" t="s">
        <v>27</v>
      </c>
      <c r="W560" s="47" t="s">
        <v>931</v>
      </c>
      <c r="X560" s="47" t="s">
        <v>932</v>
      </c>
      <c r="Y560" s="47" t="s">
        <v>389</v>
      </c>
      <c r="Z560" s="47" t="s">
        <v>3356</v>
      </c>
      <c r="AA560" s="47" t="s">
        <v>3357</v>
      </c>
      <c r="AB560" s="47" t="s">
        <v>4396</v>
      </c>
      <c r="AC560" s="47" t="s">
        <v>387</v>
      </c>
      <c r="AD560" s="47" t="s">
        <v>4397</v>
      </c>
      <c r="AE560" s="47" t="s">
        <v>937</v>
      </c>
      <c r="AF560" s="47" t="s">
        <v>931</v>
      </c>
      <c r="AG560" s="47" t="s">
        <v>931</v>
      </c>
      <c r="AH560" s="47" t="s">
        <v>364</v>
      </c>
      <c r="AI560" s="47" t="s">
        <v>931</v>
      </c>
      <c r="AJ560" s="47" t="s">
        <v>365</v>
      </c>
      <c r="AK560" s="47" t="s">
        <v>930</v>
      </c>
      <c r="AL560" s="47" t="s">
        <v>931</v>
      </c>
      <c r="AM560" s="47" t="s">
        <v>931</v>
      </c>
      <c r="AN560" s="37"/>
    </row>
    <row r="561" spans="1:40" hidden="1">
      <c r="A561" s="47" t="s">
        <v>982</v>
      </c>
      <c r="B561" s="47" t="s">
        <v>919</v>
      </c>
      <c r="C561" s="47" t="s">
        <v>4398</v>
      </c>
      <c r="D561" s="47">
        <f t="shared" si="15"/>
        <v>161251</v>
      </c>
      <c r="E561" s="47" t="s">
        <v>330</v>
      </c>
      <c r="F561" s="47" t="s">
        <v>331</v>
      </c>
      <c r="G561" s="47" t="s">
        <v>368</v>
      </c>
      <c r="H561" s="47" t="s">
        <v>924</v>
      </c>
      <c r="I561" s="47" t="s">
        <v>4399</v>
      </c>
      <c r="J561" s="47" t="s">
        <v>1055</v>
      </c>
      <c r="K561" s="47" t="s">
        <v>163</v>
      </c>
      <c r="L561" s="47" t="s">
        <v>4400</v>
      </c>
      <c r="M561" s="47" t="s">
        <v>3328</v>
      </c>
      <c r="N561" s="47" t="s">
        <v>946</v>
      </c>
      <c r="O561" s="47" t="s">
        <v>930</v>
      </c>
      <c r="P561" s="47" t="s">
        <v>930</v>
      </c>
      <c r="Q561" s="47"/>
      <c r="R561" s="47"/>
      <c r="S561" s="47"/>
      <c r="T561" s="47" t="s">
        <v>4401</v>
      </c>
      <c r="U561" s="47" t="s">
        <v>4402</v>
      </c>
      <c r="V561" s="47" t="s">
        <v>363</v>
      </c>
      <c r="W561" s="47" t="s">
        <v>931</v>
      </c>
      <c r="X561" s="47" t="s">
        <v>995</v>
      </c>
      <c r="Y561" s="47" t="s">
        <v>368</v>
      </c>
      <c r="Z561" s="47" t="s">
        <v>2243</v>
      </c>
      <c r="AA561" s="47" t="s">
        <v>2244</v>
      </c>
      <c r="AB561" s="47" t="s">
        <v>931</v>
      </c>
      <c r="AC561" s="47" t="s">
        <v>37</v>
      </c>
      <c r="AD561" s="47" t="s">
        <v>4403</v>
      </c>
      <c r="AE561" s="47" t="s">
        <v>937</v>
      </c>
      <c r="AF561" s="47" t="s">
        <v>931</v>
      </c>
      <c r="AG561" s="47" t="s">
        <v>4404</v>
      </c>
      <c r="AH561" s="47" t="s">
        <v>364</v>
      </c>
      <c r="AI561" s="47" t="s">
        <v>931</v>
      </c>
      <c r="AJ561" s="47" t="s">
        <v>365</v>
      </c>
      <c r="AK561" s="47" t="s">
        <v>930</v>
      </c>
      <c r="AL561" s="47" t="s">
        <v>931</v>
      </c>
      <c r="AM561" s="47" t="s">
        <v>931</v>
      </c>
      <c r="AN561" s="37"/>
    </row>
    <row r="562" spans="1:40" hidden="1">
      <c r="A562" s="47" t="s">
        <v>982</v>
      </c>
      <c r="B562" s="47" t="s">
        <v>919</v>
      </c>
      <c r="C562" s="47" t="s">
        <v>4405</v>
      </c>
      <c r="D562" s="47">
        <f t="shared" si="15"/>
        <v>161250</v>
      </c>
      <c r="E562" s="47" t="s">
        <v>314</v>
      </c>
      <c r="F562" s="47" t="s">
        <v>315</v>
      </c>
      <c r="G562" s="47" t="s">
        <v>359</v>
      </c>
      <c r="H562" s="47" t="s">
        <v>1100</v>
      </c>
      <c r="I562" s="47" t="s">
        <v>4406</v>
      </c>
      <c r="J562" s="47" t="s">
        <v>1055</v>
      </c>
      <c r="K562" s="47" t="s">
        <v>163</v>
      </c>
      <c r="L562" s="47" t="s">
        <v>4407</v>
      </c>
      <c r="M562" s="47" t="s">
        <v>2753</v>
      </c>
      <c r="N562" s="47" t="s">
        <v>946</v>
      </c>
      <c r="O562" s="47" t="s">
        <v>930</v>
      </c>
      <c r="P562" s="47" t="s">
        <v>930</v>
      </c>
      <c r="Q562" s="47"/>
      <c r="R562" s="47"/>
      <c r="S562" s="47"/>
      <c r="T562" s="47" t="s">
        <v>4408</v>
      </c>
      <c r="U562" s="47" t="s">
        <v>4409</v>
      </c>
      <c r="V562" s="47" t="s">
        <v>363</v>
      </c>
      <c r="W562" s="47" t="s">
        <v>931</v>
      </c>
      <c r="X562" s="47" t="s">
        <v>995</v>
      </c>
      <c r="Y562" s="47" t="s">
        <v>359</v>
      </c>
      <c r="Z562" s="47" t="s">
        <v>3965</v>
      </c>
      <c r="AA562" s="47" t="s">
        <v>3966</v>
      </c>
      <c r="AB562" s="47" t="s">
        <v>931</v>
      </c>
      <c r="AC562" s="47" t="s">
        <v>359</v>
      </c>
      <c r="AD562" s="47" t="s">
        <v>4410</v>
      </c>
      <c r="AE562" s="47" t="s">
        <v>937</v>
      </c>
      <c r="AF562" s="47" t="s">
        <v>4411</v>
      </c>
      <c r="AG562" s="47" t="s">
        <v>4412</v>
      </c>
      <c r="AH562" s="47" t="s">
        <v>364</v>
      </c>
      <c r="AI562" s="47" t="s">
        <v>931</v>
      </c>
      <c r="AJ562" s="47" t="s">
        <v>365</v>
      </c>
      <c r="AK562" s="47" t="s">
        <v>930</v>
      </c>
      <c r="AL562" s="47" t="s">
        <v>931</v>
      </c>
      <c r="AM562" s="47" t="s">
        <v>931</v>
      </c>
      <c r="AN562" s="37"/>
    </row>
    <row r="563" spans="1:40" hidden="1">
      <c r="A563" s="47" t="s">
        <v>982</v>
      </c>
      <c r="B563" s="47" t="s">
        <v>919</v>
      </c>
      <c r="C563" s="47" t="s">
        <v>4413</v>
      </c>
      <c r="D563" s="47">
        <f t="shared" si="15"/>
        <v>161263</v>
      </c>
      <c r="E563" s="47" t="s">
        <v>555</v>
      </c>
      <c r="F563" s="47" t="s">
        <v>556</v>
      </c>
      <c r="G563" s="47" t="s">
        <v>435</v>
      </c>
      <c r="H563" s="47" t="s">
        <v>1053</v>
      </c>
      <c r="I563" s="47" t="s">
        <v>4414</v>
      </c>
      <c r="J563" s="47" t="s">
        <v>1055</v>
      </c>
      <c r="K563" s="47" t="s">
        <v>163</v>
      </c>
      <c r="L563" s="47" t="s">
        <v>1432</v>
      </c>
      <c r="M563" s="47" t="s">
        <v>1056</v>
      </c>
      <c r="N563" s="47" t="s">
        <v>1058</v>
      </c>
      <c r="O563" s="47" t="s">
        <v>930</v>
      </c>
      <c r="P563" s="47" t="s">
        <v>930</v>
      </c>
      <c r="Q563" s="47" t="str">
        <f>LEFT(T563,9)</f>
        <v xml:space="preserve"> Sáng T2:</v>
      </c>
      <c r="R563" s="47" t="s">
        <v>973</v>
      </c>
      <c r="S563" s="47" t="s">
        <v>1103</v>
      </c>
      <c r="T563" s="47" t="s">
        <v>4415</v>
      </c>
      <c r="U563" s="47" t="s">
        <v>4416</v>
      </c>
      <c r="V563" s="47" t="s">
        <v>483</v>
      </c>
      <c r="W563" s="47" t="s">
        <v>931</v>
      </c>
      <c r="X563" s="47" t="s">
        <v>995</v>
      </c>
      <c r="Y563" s="47" t="s">
        <v>435</v>
      </c>
      <c r="Z563" s="47" t="s">
        <v>4417</v>
      </c>
      <c r="AA563" s="47" t="s">
        <v>4418</v>
      </c>
      <c r="AB563" s="47" t="s">
        <v>931</v>
      </c>
      <c r="AC563" s="47" t="s">
        <v>476</v>
      </c>
      <c r="AD563" s="47" t="s">
        <v>4419</v>
      </c>
      <c r="AE563" s="47" t="s">
        <v>937</v>
      </c>
      <c r="AF563" s="47" t="s">
        <v>931</v>
      </c>
      <c r="AG563" s="47" t="s">
        <v>931</v>
      </c>
      <c r="AH563" s="47" t="s">
        <v>931</v>
      </c>
      <c r="AI563" s="47" t="s">
        <v>931</v>
      </c>
      <c r="AJ563" s="47" t="s">
        <v>931</v>
      </c>
      <c r="AK563" s="47" t="s">
        <v>930</v>
      </c>
      <c r="AL563" s="47" t="s">
        <v>931</v>
      </c>
      <c r="AM563" s="47" t="s">
        <v>931</v>
      </c>
      <c r="AN563" s="37"/>
    </row>
    <row r="564" spans="1:40" hidden="1">
      <c r="A564" s="47" t="s">
        <v>982</v>
      </c>
      <c r="B564" s="47" t="s">
        <v>919</v>
      </c>
      <c r="C564" s="47" t="s">
        <v>4420</v>
      </c>
      <c r="D564" s="47">
        <f t="shared" si="15"/>
        <v>161273</v>
      </c>
      <c r="E564" s="47" t="s">
        <v>383</v>
      </c>
      <c r="F564" s="47" t="s">
        <v>384</v>
      </c>
      <c r="G564" s="47" t="s">
        <v>391</v>
      </c>
      <c r="H564" s="47" t="s">
        <v>1287</v>
      </c>
      <c r="I564" s="47" t="s">
        <v>4421</v>
      </c>
      <c r="J564" s="47" t="s">
        <v>1055</v>
      </c>
      <c r="K564" s="47" t="s">
        <v>163</v>
      </c>
      <c r="L564" s="47" t="s">
        <v>1289</v>
      </c>
      <c r="M564" s="47" t="s">
        <v>1056</v>
      </c>
      <c r="N564" s="47" t="s">
        <v>1058</v>
      </c>
      <c r="O564" s="47" t="s">
        <v>930</v>
      </c>
      <c r="P564" s="47" t="s">
        <v>930</v>
      </c>
      <c r="Q564" s="47" t="str">
        <f>LEFT(T564,9)</f>
        <v xml:space="preserve"> Sáng T2:</v>
      </c>
      <c r="R564" s="47" t="s">
        <v>973</v>
      </c>
      <c r="S564" s="47" t="s">
        <v>1103</v>
      </c>
      <c r="T564" s="47" t="s">
        <v>4422</v>
      </c>
      <c r="U564" s="47" t="s">
        <v>4423</v>
      </c>
      <c r="V564" s="47" t="s">
        <v>477</v>
      </c>
      <c r="W564" s="47" t="s">
        <v>931</v>
      </c>
      <c r="X564" s="47" t="s">
        <v>932</v>
      </c>
      <c r="Y564" s="47" t="s">
        <v>391</v>
      </c>
      <c r="Z564" s="47" t="s">
        <v>3130</v>
      </c>
      <c r="AA564" s="47" t="s">
        <v>3131</v>
      </c>
      <c r="AB564" s="47" t="s">
        <v>931</v>
      </c>
      <c r="AC564" s="47" t="s">
        <v>387</v>
      </c>
      <c r="AD564" s="47" t="s">
        <v>4424</v>
      </c>
      <c r="AE564" s="47" t="s">
        <v>1292</v>
      </c>
      <c r="AF564" s="47" t="s">
        <v>931</v>
      </c>
      <c r="AG564" s="47" t="s">
        <v>4425</v>
      </c>
      <c r="AH564" s="47" t="s">
        <v>364</v>
      </c>
      <c r="AI564" s="47" t="s">
        <v>931</v>
      </c>
      <c r="AJ564" s="47" t="s">
        <v>365</v>
      </c>
      <c r="AK564" s="47" t="s">
        <v>930</v>
      </c>
      <c r="AL564" s="47" t="s">
        <v>931</v>
      </c>
      <c r="AM564" s="47" t="s">
        <v>931</v>
      </c>
      <c r="AN564" s="37"/>
    </row>
    <row r="565" spans="1:40" hidden="1">
      <c r="A565" s="47" t="s">
        <v>982</v>
      </c>
      <c r="B565" s="47" t="s">
        <v>919</v>
      </c>
      <c r="C565" s="47" t="s">
        <v>4426</v>
      </c>
      <c r="D565" s="47">
        <f t="shared" si="15"/>
        <v>161256</v>
      </c>
      <c r="E565" s="47" t="s">
        <v>92</v>
      </c>
      <c r="F565" s="47" t="s">
        <v>298</v>
      </c>
      <c r="G565" s="47" t="s">
        <v>377</v>
      </c>
      <c r="H565" s="47" t="s">
        <v>1287</v>
      </c>
      <c r="I565" s="47" t="s">
        <v>4427</v>
      </c>
      <c r="J565" s="47" t="s">
        <v>1055</v>
      </c>
      <c r="K565" s="47" t="s">
        <v>163</v>
      </c>
      <c r="L565" s="47" t="s">
        <v>4428</v>
      </c>
      <c r="M565" s="47" t="s">
        <v>2753</v>
      </c>
      <c r="N565" s="47" t="s">
        <v>946</v>
      </c>
      <c r="O565" s="47" t="s">
        <v>930</v>
      </c>
      <c r="P565" s="47" t="s">
        <v>930</v>
      </c>
      <c r="Q565" s="47"/>
      <c r="R565" s="47"/>
      <c r="S565" s="47"/>
      <c r="T565" s="47" t="s">
        <v>4429</v>
      </c>
      <c r="U565" s="47" t="s">
        <v>4430</v>
      </c>
      <c r="V565" s="47" t="s">
        <v>378</v>
      </c>
      <c r="W565" s="47" t="s">
        <v>931</v>
      </c>
      <c r="X565" s="47" t="s">
        <v>932</v>
      </c>
      <c r="Y565" s="47" t="s">
        <v>377</v>
      </c>
      <c r="Z565" s="47" t="s">
        <v>4388</v>
      </c>
      <c r="AA565" s="47" t="s">
        <v>4389</v>
      </c>
      <c r="AB565" s="47" t="s">
        <v>931</v>
      </c>
      <c r="AC565" s="47" t="s">
        <v>379</v>
      </c>
      <c r="AD565" s="47" t="s">
        <v>4431</v>
      </c>
      <c r="AE565" s="47" t="s">
        <v>937</v>
      </c>
      <c r="AF565" s="47" t="s">
        <v>931</v>
      </c>
      <c r="AG565" s="47" t="s">
        <v>4432</v>
      </c>
      <c r="AH565" s="47" t="s">
        <v>364</v>
      </c>
      <c r="AI565" s="47" t="s">
        <v>931</v>
      </c>
      <c r="AJ565" s="47" t="s">
        <v>365</v>
      </c>
      <c r="AK565" s="47" t="s">
        <v>930</v>
      </c>
      <c r="AL565" s="47" t="s">
        <v>931</v>
      </c>
      <c r="AM565" s="47" t="s">
        <v>931</v>
      </c>
      <c r="AN565" s="37"/>
    </row>
    <row r="566" spans="1:40" hidden="1">
      <c r="A566" s="47" t="s">
        <v>982</v>
      </c>
      <c r="B566" s="47" t="s">
        <v>919</v>
      </c>
      <c r="C566" s="47" t="s">
        <v>4433</v>
      </c>
      <c r="D566" s="47">
        <f t="shared" si="15"/>
        <v>161265</v>
      </c>
      <c r="E566" s="47" t="s">
        <v>555</v>
      </c>
      <c r="F566" s="47" t="s">
        <v>556</v>
      </c>
      <c r="G566" s="47" t="s">
        <v>448</v>
      </c>
      <c r="H566" s="47" t="s">
        <v>1053</v>
      </c>
      <c r="I566" s="47" t="s">
        <v>4434</v>
      </c>
      <c r="J566" s="47" t="s">
        <v>1055</v>
      </c>
      <c r="K566" s="47" t="s">
        <v>163</v>
      </c>
      <c r="L566" s="47" t="s">
        <v>1056</v>
      </c>
      <c r="M566" s="47" t="s">
        <v>1056</v>
      </c>
      <c r="N566" s="47" t="s">
        <v>1058</v>
      </c>
      <c r="O566" s="47" t="s">
        <v>930</v>
      </c>
      <c r="P566" s="47" t="s">
        <v>930</v>
      </c>
      <c r="Q566" s="47" t="str">
        <f>LEFT(T566,9)</f>
        <v xml:space="preserve"> Sáng T4:</v>
      </c>
      <c r="R566" s="47" t="s">
        <v>973</v>
      </c>
      <c r="S566" s="47" t="s">
        <v>1059</v>
      </c>
      <c r="T566" s="47" t="s">
        <v>4435</v>
      </c>
      <c r="U566" s="47" t="s">
        <v>4436</v>
      </c>
      <c r="V566" s="47" t="s">
        <v>483</v>
      </c>
      <c r="W566" s="47" t="s">
        <v>931</v>
      </c>
      <c r="X566" s="47" t="s">
        <v>995</v>
      </c>
      <c r="Y566" s="47" t="s">
        <v>448</v>
      </c>
      <c r="Z566" s="47" t="s">
        <v>4437</v>
      </c>
      <c r="AA566" s="47" t="s">
        <v>4438</v>
      </c>
      <c r="AB566" s="47" t="s">
        <v>931</v>
      </c>
      <c r="AC566" s="47" t="s">
        <v>476</v>
      </c>
      <c r="AD566" s="47" t="s">
        <v>4439</v>
      </c>
      <c r="AE566" s="47" t="s">
        <v>937</v>
      </c>
      <c r="AF566" s="47" t="s">
        <v>931</v>
      </c>
      <c r="AG566" s="47" t="s">
        <v>4440</v>
      </c>
      <c r="AH566" s="47" t="s">
        <v>998</v>
      </c>
      <c r="AI566" s="47" t="s">
        <v>931</v>
      </c>
      <c r="AJ566" s="47" t="s">
        <v>931</v>
      </c>
      <c r="AK566" s="47" t="s">
        <v>930</v>
      </c>
      <c r="AL566" s="47" t="s">
        <v>931</v>
      </c>
      <c r="AM566" s="47" t="s">
        <v>931</v>
      </c>
      <c r="AN566" s="37"/>
    </row>
    <row r="567" spans="1:40" hidden="1">
      <c r="A567" s="47" t="s">
        <v>982</v>
      </c>
      <c r="B567" s="47" t="s">
        <v>919</v>
      </c>
      <c r="C567" s="47" t="s">
        <v>4441</v>
      </c>
      <c r="D567" s="47">
        <f t="shared" si="15"/>
        <v>161254</v>
      </c>
      <c r="E567" s="47" t="s">
        <v>272</v>
      </c>
      <c r="F567" s="47" t="s">
        <v>273</v>
      </c>
      <c r="G567" s="47" t="s">
        <v>374</v>
      </c>
      <c r="H567" s="47" t="s">
        <v>969</v>
      </c>
      <c r="I567" s="47" t="s">
        <v>4442</v>
      </c>
      <c r="J567" s="47" t="s">
        <v>1055</v>
      </c>
      <c r="K567" s="47" t="s">
        <v>163</v>
      </c>
      <c r="L567" s="47" t="s">
        <v>3376</v>
      </c>
      <c r="M567" s="47" t="s">
        <v>2753</v>
      </c>
      <c r="N567" s="47" t="s">
        <v>946</v>
      </c>
      <c r="O567" s="47" t="s">
        <v>930</v>
      </c>
      <c r="P567" s="47" t="s">
        <v>930</v>
      </c>
      <c r="Q567" s="47"/>
      <c r="R567" s="47"/>
      <c r="S567" s="47"/>
      <c r="T567" s="47" t="s">
        <v>4443</v>
      </c>
      <c r="U567" s="47" t="s">
        <v>4444</v>
      </c>
      <c r="V567" s="47" t="s">
        <v>363</v>
      </c>
      <c r="W567" s="47" t="s">
        <v>931</v>
      </c>
      <c r="X567" s="47" t="s">
        <v>995</v>
      </c>
      <c r="Y567" s="47" t="s">
        <v>374</v>
      </c>
      <c r="Z567" s="47" t="s">
        <v>3092</v>
      </c>
      <c r="AA567" s="47" t="s">
        <v>3093</v>
      </c>
      <c r="AB567" s="47" t="s">
        <v>4445</v>
      </c>
      <c r="AC567" s="47" t="s">
        <v>373</v>
      </c>
      <c r="AD567" s="47" t="s">
        <v>4446</v>
      </c>
      <c r="AE567" s="47" t="s">
        <v>937</v>
      </c>
      <c r="AF567" s="47" t="s">
        <v>931</v>
      </c>
      <c r="AG567" s="47" t="s">
        <v>931</v>
      </c>
      <c r="AH567" s="47" t="s">
        <v>364</v>
      </c>
      <c r="AI567" s="47" t="s">
        <v>931</v>
      </c>
      <c r="AJ567" s="47" t="s">
        <v>365</v>
      </c>
      <c r="AK567" s="47" t="s">
        <v>930</v>
      </c>
      <c r="AL567" s="47" t="s">
        <v>931</v>
      </c>
      <c r="AM567" s="47" t="s">
        <v>931</v>
      </c>
      <c r="AN567" s="37"/>
    </row>
    <row r="568" spans="1:40" hidden="1">
      <c r="A568" s="47" t="s">
        <v>982</v>
      </c>
      <c r="B568" s="47" t="s">
        <v>919</v>
      </c>
      <c r="C568" s="47" t="s">
        <v>4447</v>
      </c>
      <c r="D568" s="47">
        <f t="shared" si="15"/>
        <v>161267</v>
      </c>
      <c r="E568" s="47" t="s">
        <v>383</v>
      </c>
      <c r="F568" s="47" t="s">
        <v>384</v>
      </c>
      <c r="G568" s="47" t="s">
        <v>389</v>
      </c>
      <c r="H568" s="47" t="s">
        <v>1287</v>
      </c>
      <c r="I568" s="47" t="s">
        <v>4448</v>
      </c>
      <c r="J568" s="47" t="s">
        <v>1055</v>
      </c>
      <c r="K568" s="47" t="s">
        <v>163</v>
      </c>
      <c r="L568" s="47" t="s">
        <v>3502</v>
      </c>
      <c r="M568" s="47" t="s">
        <v>3502</v>
      </c>
      <c r="N568" s="47" t="s">
        <v>3157</v>
      </c>
      <c r="O568" s="47" t="s">
        <v>930</v>
      </c>
      <c r="P568" s="47" t="s">
        <v>930</v>
      </c>
      <c r="Q568" s="47"/>
      <c r="R568" s="47"/>
      <c r="S568" s="47"/>
      <c r="T568" s="47" t="s">
        <v>4449</v>
      </c>
      <c r="U568" s="47" t="s">
        <v>4450</v>
      </c>
      <c r="V568" s="47" t="s">
        <v>378</v>
      </c>
      <c r="W568" s="47" t="s">
        <v>931</v>
      </c>
      <c r="X568" s="47" t="s">
        <v>932</v>
      </c>
      <c r="Y568" s="47" t="s">
        <v>389</v>
      </c>
      <c r="Z568" s="47" t="s">
        <v>3356</v>
      </c>
      <c r="AA568" s="47" t="s">
        <v>3357</v>
      </c>
      <c r="AB568" s="47" t="s">
        <v>931</v>
      </c>
      <c r="AC568" s="47" t="s">
        <v>387</v>
      </c>
      <c r="AD568" s="47" t="s">
        <v>991</v>
      </c>
      <c r="AE568" s="47" t="s">
        <v>1292</v>
      </c>
      <c r="AF568" s="47" t="s">
        <v>4451</v>
      </c>
      <c r="AG568" s="47" t="s">
        <v>931</v>
      </c>
      <c r="AH568" s="47" t="s">
        <v>364</v>
      </c>
      <c r="AI568" s="47" t="s">
        <v>931</v>
      </c>
      <c r="AJ568" s="47" t="s">
        <v>365</v>
      </c>
      <c r="AK568" s="47" t="s">
        <v>930</v>
      </c>
      <c r="AL568" s="47" t="s">
        <v>931</v>
      </c>
      <c r="AM568" s="47" t="s">
        <v>931</v>
      </c>
      <c r="AN568" s="37"/>
    </row>
    <row r="569" spans="1:40" hidden="1">
      <c r="A569" s="47" t="s">
        <v>982</v>
      </c>
      <c r="B569" s="47" t="s">
        <v>919</v>
      </c>
      <c r="C569" s="47" t="s">
        <v>4452</v>
      </c>
      <c r="D569" s="47">
        <f t="shared" si="15"/>
        <v>161281</v>
      </c>
      <c r="E569" s="47" t="s">
        <v>566</v>
      </c>
      <c r="F569" s="47" t="s">
        <v>567</v>
      </c>
      <c r="G569" s="47" t="s">
        <v>4453</v>
      </c>
      <c r="H569" s="47" t="s">
        <v>1053</v>
      </c>
      <c r="I569" s="47" t="s">
        <v>4454</v>
      </c>
      <c r="J569" s="47" t="s">
        <v>1055</v>
      </c>
      <c r="K569" s="47" t="s">
        <v>163</v>
      </c>
      <c r="L569" s="47" t="s">
        <v>1056</v>
      </c>
      <c r="M569" s="47" t="s">
        <v>1056</v>
      </c>
      <c r="N569" s="47" t="s">
        <v>1058</v>
      </c>
      <c r="O569" s="47" t="s">
        <v>930</v>
      </c>
      <c r="P569" s="47" t="s">
        <v>930</v>
      </c>
      <c r="Q569" s="47" t="str">
        <f>LEFT(T569,9)</f>
        <v xml:space="preserve"> Sáng T5:</v>
      </c>
      <c r="R569" s="47" t="s">
        <v>973</v>
      </c>
      <c r="S569" s="47" t="s">
        <v>1027</v>
      </c>
      <c r="T569" s="47" t="s">
        <v>4455</v>
      </c>
      <c r="U569" s="47" t="s">
        <v>4456</v>
      </c>
      <c r="V569" s="47" t="s">
        <v>4457</v>
      </c>
      <c r="W569" s="47" t="s">
        <v>931</v>
      </c>
      <c r="X569" s="47" t="s">
        <v>1063</v>
      </c>
      <c r="Y569" s="47" t="s">
        <v>4453</v>
      </c>
      <c r="Z569" s="47" t="s">
        <v>4458</v>
      </c>
      <c r="AA569" s="47" t="s">
        <v>931</v>
      </c>
      <c r="AB569" s="47" t="s">
        <v>931</v>
      </c>
      <c r="AC569" s="47" t="s">
        <v>4459</v>
      </c>
      <c r="AD569" s="47" t="s">
        <v>4460</v>
      </c>
      <c r="AE569" s="47" t="s">
        <v>937</v>
      </c>
      <c r="AF569" s="47" t="s">
        <v>931</v>
      </c>
      <c r="AG569" s="47" t="s">
        <v>931</v>
      </c>
      <c r="AH569" s="47" t="s">
        <v>4461</v>
      </c>
      <c r="AI569" s="47" t="s">
        <v>931</v>
      </c>
      <c r="AJ569" s="47" t="s">
        <v>931</v>
      </c>
      <c r="AK569" s="47" t="s">
        <v>930</v>
      </c>
      <c r="AL569" s="47" t="s">
        <v>931</v>
      </c>
      <c r="AM569" s="47" t="s">
        <v>931</v>
      </c>
      <c r="AN569" s="37"/>
    </row>
    <row r="570" spans="1:40" hidden="1">
      <c r="A570" s="47" t="s">
        <v>982</v>
      </c>
      <c r="B570" s="47" t="s">
        <v>919</v>
      </c>
      <c r="C570" s="47" t="s">
        <v>4462</v>
      </c>
      <c r="D570" s="47">
        <f t="shared" si="15"/>
        <v>161253</v>
      </c>
      <c r="E570" s="47" t="s">
        <v>272</v>
      </c>
      <c r="F570" s="47" t="s">
        <v>273</v>
      </c>
      <c r="G570" s="47" t="s">
        <v>372</v>
      </c>
      <c r="H570" s="47" t="s">
        <v>969</v>
      </c>
      <c r="I570" s="47" t="s">
        <v>4399</v>
      </c>
      <c r="J570" s="47" t="s">
        <v>1055</v>
      </c>
      <c r="K570" s="47" t="s">
        <v>163</v>
      </c>
      <c r="L570" s="47" t="s">
        <v>2753</v>
      </c>
      <c r="M570" s="47" t="s">
        <v>2753</v>
      </c>
      <c r="N570" s="47" t="s">
        <v>946</v>
      </c>
      <c r="O570" s="47" t="s">
        <v>930</v>
      </c>
      <c r="P570" s="47" t="s">
        <v>930</v>
      </c>
      <c r="Q570" s="47"/>
      <c r="R570" s="47"/>
      <c r="S570" s="47"/>
      <c r="T570" s="47" t="s">
        <v>4463</v>
      </c>
      <c r="U570" s="47" t="s">
        <v>4464</v>
      </c>
      <c r="V570" s="47" t="s">
        <v>363</v>
      </c>
      <c r="W570" s="47" t="s">
        <v>931</v>
      </c>
      <c r="X570" s="47" t="s">
        <v>932</v>
      </c>
      <c r="Y570" s="47" t="s">
        <v>372</v>
      </c>
      <c r="Z570" s="47" t="s">
        <v>3213</v>
      </c>
      <c r="AA570" s="47" t="s">
        <v>3214</v>
      </c>
      <c r="AB570" s="47" t="s">
        <v>4445</v>
      </c>
      <c r="AC570" s="47" t="s">
        <v>373</v>
      </c>
      <c r="AD570" s="47" t="s">
        <v>4403</v>
      </c>
      <c r="AE570" s="47" t="s">
        <v>937</v>
      </c>
      <c r="AF570" s="47" t="s">
        <v>931</v>
      </c>
      <c r="AG570" s="47" t="s">
        <v>4465</v>
      </c>
      <c r="AH570" s="47" t="s">
        <v>364</v>
      </c>
      <c r="AI570" s="47" t="s">
        <v>931</v>
      </c>
      <c r="AJ570" s="47" t="s">
        <v>365</v>
      </c>
      <c r="AK570" s="47" t="s">
        <v>930</v>
      </c>
      <c r="AL570" s="47" t="s">
        <v>931</v>
      </c>
      <c r="AM570" s="47" t="s">
        <v>931</v>
      </c>
      <c r="AN570" s="37"/>
    </row>
    <row r="571" spans="1:40" hidden="1">
      <c r="A571" s="47" t="s">
        <v>982</v>
      </c>
      <c r="B571" s="47" t="s">
        <v>919</v>
      </c>
      <c r="C571" s="47" t="s">
        <v>4466</v>
      </c>
      <c r="D571" s="47">
        <f t="shared" si="15"/>
        <v>161266</v>
      </c>
      <c r="E571" s="47" t="s">
        <v>555</v>
      </c>
      <c r="F571" s="47" t="s">
        <v>556</v>
      </c>
      <c r="G571" s="47" t="s">
        <v>2776</v>
      </c>
      <c r="H571" s="47" t="s">
        <v>1053</v>
      </c>
      <c r="I571" s="47" t="s">
        <v>4467</v>
      </c>
      <c r="J571" s="47" t="s">
        <v>1055</v>
      </c>
      <c r="K571" s="47" t="s">
        <v>163</v>
      </c>
      <c r="L571" s="47" t="s">
        <v>1056</v>
      </c>
      <c r="M571" s="47" t="s">
        <v>1056</v>
      </c>
      <c r="N571" s="47" t="s">
        <v>1058</v>
      </c>
      <c r="O571" s="47" t="s">
        <v>930</v>
      </c>
      <c r="P571" s="47" t="s">
        <v>930</v>
      </c>
      <c r="Q571" s="47" t="str">
        <f>LEFT(T571,9)</f>
        <v xml:space="preserve"> Sáng T3:</v>
      </c>
      <c r="R571" s="47" t="s">
        <v>973</v>
      </c>
      <c r="S571" s="47" t="s">
        <v>1070</v>
      </c>
      <c r="T571" s="47" t="s">
        <v>4468</v>
      </c>
      <c r="U571" s="47" t="s">
        <v>4469</v>
      </c>
      <c r="V571" s="47" t="s">
        <v>23</v>
      </c>
      <c r="W571" s="47" t="s">
        <v>931</v>
      </c>
      <c r="X571" s="47" t="s">
        <v>995</v>
      </c>
      <c r="Y571" s="47" t="s">
        <v>2776</v>
      </c>
      <c r="Z571" s="47" t="s">
        <v>3995</v>
      </c>
      <c r="AA571" s="47" t="s">
        <v>3996</v>
      </c>
      <c r="AB571" s="47" t="s">
        <v>931</v>
      </c>
      <c r="AC571" s="47" t="s">
        <v>476</v>
      </c>
      <c r="AD571" s="47" t="s">
        <v>4470</v>
      </c>
      <c r="AE571" s="47" t="s">
        <v>937</v>
      </c>
      <c r="AF571" s="47" t="s">
        <v>931</v>
      </c>
      <c r="AG571" s="47" t="s">
        <v>4471</v>
      </c>
      <c r="AH571" s="47" t="s">
        <v>998</v>
      </c>
      <c r="AI571" s="47" t="s">
        <v>931</v>
      </c>
      <c r="AJ571" s="47" t="s">
        <v>931</v>
      </c>
      <c r="AK571" s="47" t="s">
        <v>930</v>
      </c>
      <c r="AL571" s="47" t="s">
        <v>931</v>
      </c>
      <c r="AM571" s="47" t="s">
        <v>931</v>
      </c>
      <c r="AN571" s="37"/>
    </row>
    <row r="572" spans="1:40" hidden="1">
      <c r="A572" s="47" t="s">
        <v>982</v>
      </c>
      <c r="B572" s="47" t="s">
        <v>919</v>
      </c>
      <c r="C572" s="47" t="s">
        <v>4472</v>
      </c>
      <c r="D572" s="47">
        <f t="shared" si="15"/>
        <v>161280</v>
      </c>
      <c r="E572" s="47" t="s">
        <v>566</v>
      </c>
      <c r="F572" s="47" t="s">
        <v>567</v>
      </c>
      <c r="G572" s="47" t="s">
        <v>4453</v>
      </c>
      <c r="H572" s="47" t="s">
        <v>1053</v>
      </c>
      <c r="I572" s="47" t="s">
        <v>4442</v>
      </c>
      <c r="J572" s="47" t="s">
        <v>1055</v>
      </c>
      <c r="K572" s="47" t="s">
        <v>163</v>
      </c>
      <c r="L572" s="47" t="s">
        <v>1056</v>
      </c>
      <c r="M572" s="47" t="s">
        <v>1056</v>
      </c>
      <c r="N572" s="47" t="s">
        <v>1058</v>
      </c>
      <c r="O572" s="47" t="s">
        <v>930</v>
      </c>
      <c r="P572" s="47" t="s">
        <v>930</v>
      </c>
      <c r="Q572" s="47" t="str">
        <f>LEFT(T572,9)</f>
        <v xml:space="preserve"> Chiều T5</v>
      </c>
      <c r="R572" s="47" t="s">
        <v>973</v>
      </c>
      <c r="S572" s="47" t="s">
        <v>1027</v>
      </c>
      <c r="T572" s="47" t="s">
        <v>4473</v>
      </c>
      <c r="U572" s="47" t="s">
        <v>4474</v>
      </c>
      <c r="V572" s="47" t="s">
        <v>22</v>
      </c>
      <c r="W572" s="47" t="s">
        <v>931</v>
      </c>
      <c r="X572" s="47" t="s">
        <v>1063</v>
      </c>
      <c r="Y572" s="47" t="s">
        <v>4453</v>
      </c>
      <c r="Z572" s="47" t="s">
        <v>4458</v>
      </c>
      <c r="AA572" s="47" t="s">
        <v>931</v>
      </c>
      <c r="AB572" s="47" t="s">
        <v>931</v>
      </c>
      <c r="AC572" s="47" t="s">
        <v>4459</v>
      </c>
      <c r="AD572" s="47" t="s">
        <v>4446</v>
      </c>
      <c r="AE572" s="47" t="s">
        <v>937</v>
      </c>
      <c r="AF572" s="47" t="s">
        <v>931</v>
      </c>
      <c r="AG572" s="47" t="s">
        <v>931</v>
      </c>
      <c r="AH572" s="47" t="s">
        <v>4461</v>
      </c>
      <c r="AI572" s="47" t="s">
        <v>4475</v>
      </c>
      <c r="AJ572" s="47" t="s">
        <v>931</v>
      </c>
      <c r="AK572" s="47" t="s">
        <v>930</v>
      </c>
      <c r="AL572" s="47" t="s">
        <v>931</v>
      </c>
      <c r="AM572" s="47" t="s">
        <v>931</v>
      </c>
      <c r="AN572" s="37"/>
    </row>
    <row r="573" spans="1:40" hidden="1">
      <c r="A573" s="47" t="s">
        <v>982</v>
      </c>
      <c r="B573" s="47" t="s">
        <v>919</v>
      </c>
      <c r="C573" s="47" t="s">
        <v>4476</v>
      </c>
      <c r="D573" s="47">
        <f t="shared" si="15"/>
        <v>161274</v>
      </c>
      <c r="E573" s="47" t="s">
        <v>383</v>
      </c>
      <c r="F573" s="47" t="s">
        <v>384</v>
      </c>
      <c r="G573" s="47" t="s">
        <v>387</v>
      </c>
      <c r="H573" s="47" t="s">
        <v>1287</v>
      </c>
      <c r="I573" s="47" t="s">
        <v>4477</v>
      </c>
      <c r="J573" s="47" t="s">
        <v>1055</v>
      </c>
      <c r="K573" s="47" t="s">
        <v>163</v>
      </c>
      <c r="L573" s="47" t="s">
        <v>1056</v>
      </c>
      <c r="M573" s="47" t="s">
        <v>1056</v>
      </c>
      <c r="N573" s="47" t="s">
        <v>1058</v>
      </c>
      <c r="O573" s="47" t="s">
        <v>930</v>
      </c>
      <c r="P573" s="47" t="s">
        <v>930</v>
      </c>
      <c r="Q573" s="47" t="str">
        <f>LEFT(T573,9)</f>
        <v xml:space="preserve"> Sáng T5:</v>
      </c>
      <c r="R573" s="47" t="s">
        <v>973</v>
      </c>
      <c r="S573" s="47" t="s">
        <v>1027</v>
      </c>
      <c r="T573" s="47" t="s">
        <v>4478</v>
      </c>
      <c r="U573" s="47" t="s">
        <v>4479</v>
      </c>
      <c r="V573" s="47" t="s">
        <v>21</v>
      </c>
      <c r="W573" s="47" t="s">
        <v>931</v>
      </c>
      <c r="X573" s="47" t="s">
        <v>932</v>
      </c>
      <c r="Y573" s="47" t="s">
        <v>387</v>
      </c>
      <c r="Z573" s="47" t="s">
        <v>1148</v>
      </c>
      <c r="AA573" s="47" t="s">
        <v>1149</v>
      </c>
      <c r="AB573" s="47" t="s">
        <v>1298</v>
      </c>
      <c r="AC573" s="47" t="s">
        <v>387</v>
      </c>
      <c r="AD573" s="47" t="s">
        <v>4480</v>
      </c>
      <c r="AE573" s="47" t="s">
        <v>937</v>
      </c>
      <c r="AF573" s="47" t="s">
        <v>931</v>
      </c>
      <c r="AG573" s="47" t="s">
        <v>931</v>
      </c>
      <c r="AH573" s="47" t="s">
        <v>364</v>
      </c>
      <c r="AI573" s="47" t="s">
        <v>931</v>
      </c>
      <c r="AJ573" s="47" t="s">
        <v>365</v>
      </c>
      <c r="AK573" s="47" t="s">
        <v>930</v>
      </c>
      <c r="AL573" s="47" t="s">
        <v>931</v>
      </c>
      <c r="AM573" s="47" t="s">
        <v>931</v>
      </c>
      <c r="AN573" s="37"/>
    </row>
    <row r="574" spans="1:40" hidden="1">
      <c r="A574" s="47" t="s">
        <v>982</v>
      </c>
      <c r="B574" s="47" t="s">
        <v>919</v>
      </c>
      <c r="C574" s="47" t="s">
        <v>4481</v>
      </c>
      <c r="D574" s="47">
        <f t="shared" si="15"/>
        <v>161279</v>
      </c>
      <c r="E574" s="47" t="s">
        <v>566</v>
      </c>
      <c r="F574" s="47" t="s">
        <v>567</v>
      </c>
      <c r="G574" s="47" t="s">
        <v>4453</v>
      </c>
      <c r="H574" s="47" t="s">
        <v>1053</v>
      </c>
      <c r="I574" s="47" t="s">
        <v>4482</v>
      </c>
      <c r="J574" s="47" t="s">
        <v>1055</v>
      </c>
      <c r="K574" s="47" t="s">
        <v>163</v>
      </c>
      <c r="L574" s="47" t="s">
        <v>1056</v>
      </c>
      <c r="M574" s="47" t="s">
        <v>1056</v>
      </c>
      <c r="N574" s="47" t="s">
        <v>1058</v>
      </c>
      <c r="O574" s="47" t="s">
        <v>930</v>
      </c>
      <c r="P574" s="47" t="s">
        <v>930</v>
      </c>
      <c r="Q574" s="47" t="str">
        <f>LEFT(T574,9)</f>
        <v xml:space="preserve"> Sáng T3:</v>
      </c>
      <c r="R574" s="47" t="s">
        <v>973</v>
      </c>
      <c r="S574" s="47" t="s">
        <v>1070</v>
      </c>
      <c r="T574" s="47" t="s">
        <v>4483</v>
      </c>
      <c r="U574" s="47" t="s">
        <v>4484</v>
      </c>
      <c r="V574" s="47" t="s">
        <v>4457</v>
      </c>
      <c r="W574" s="47" t="s">
        <v>931</v>
      </c>
      <c r="X574" s="47" t="s">
        <v>1063</v>
      </c>
      <c r="Y574" s="47" t="s">
        <v>4453</v>
      </c>
      <c r="Z574" s="47" t="s">
        <v>4458</v>
      </c>
      <c r="AA574" s="47" t="s">
        <v>931</v>
      </c>
      <c r="AB574" s="47" t="s">
        <v>931</v>
      </c>
      <c r="AC574" s="47" t="s">
        <v>4459</v>
      </c>
      <c r="AD574" s="47" t="s">
        <v>4485</v>
      </c>
      <c r="AE574" s="47" t="s">
        <v>937</v>
      </c>
      <c r="AF574" s="47" t="s">
        <v>931</v>
      </c>
      <c r="AG574" s="47" t="s">
        <v>931</v>
      </c>
      <c r="AH574" s="47" t="s">
        <v>4461</v>
      </c>
      <c r="AI574" s="47" t="s">
        <v>4475</v>
      </c>
      <c r="AJ574" s="47" t="s">
        <v>931</v>
      </c>
      <c r="AK574" s="47" t="s">
        <v>930</v>
      </c>
      <c r="AL574" s="47" t="s">
        <v>931</v>
      </c>
      <c r="AM574" s="47" t="s">
        <v>931</v>
      </c>
      <c r="AN574" s="37"/>
    </row>
    <row r="575" spans="1:40" hidden="1">
      <c r="A575" s="47" t="s">
        <v>982</v>
      </c>
      <c r="B575" s="47" t="s">
        <v>919</v>
      </c>
      <c r="C575" s="47" t="s">
        <v>4486</v>
      </c>
      <c r="D575" s="47">
        <f t="shared" si="15"/>
        <v>161264</v>
      </c>
      <c r="E575" s="47" t="s">
        <v>555</v>
      </c>
      <c r="F575" s="47" t="s">
        <v>556</v>
      </c>
      <c r="G575" s="47" t="s">
        <v>3960</v>
      </c>
      <c r="H575" s="47" t="s">
        <v>1053</v>
      </c>
      <c r="I575" s="47" t="s">
        <v>4487</v>
      </c>
      <c r="J575" s="47" t="s">
        <v>1055</v>
      </c>
      <c r="K575" s="47" t="s">
        <v>163</v>
      </c>
      <c r="L575" s="47" t="s">
        <v>1269</v>
      </c>
      <c r="M575" s="47" t="s">
        <v>1056</v>
      </c>
      <c r="N575" s="47" t="s">
        <v>1058</v>
      </c>
      <c r="O575" s="47" t="s">
        <v>930</v>
      </c>
      <c r="P575" s="47" t="s">
        <v>930</v>
      </c>
      <c r="Q575" s="47" t="str">
        <f>LEFT(T575,9)</f>
        <v xml:space="preserve"> Sáng T2:</v>
      </c>
      <c r="R575" s="47" t="s">
        <v>973</v>
      </c>
      <c r="S575" s="47" t="s">
        <v>1103</v>
      </c>
      <c r="T575" s="47" t="s">
        <v>4488</v>
      </c>
      <c r="U575" s="47" t="s">
        <v>4489</v>
      </c>
      <c r="V575" s="47" t="s">
        <v>4490</v>
      </c>
      <c r="W575" s="47" t="s">
        <v>931</v>
      </c>
      <c r="X575" s="47" t="s">
        <v>995</v>
      </c>
      <c r="Y575" s="47" t="s">
        <v>3960</v>
      </c>
      <c r="Z575" s="47" t="s">
        <v>4116</v>
      </c>
      <c r="AA575" s="47" t="s">
        <v>4117</v>
      </c>
      <c r="AB575" s="47" t="s">
        <v>931</v>
      </c>
      <c r="AC575" s="47" t="s">
        <v>476</v>
      </c>
      <c r="AD575" s="47" t="s">
        <v>4491</v>
      </c>
      <c r="AE575" s="47" t="s">
        <v>937</v>
      </c>
      <c r="AF575" s="47" t="s">
        <v>4492</v>
      </c>
      <c r="AG575" s="47" t="s">
        <v>4493</v>
      </c>
      <c r="AH575" s="47" t="s">
        <v>998</v>
      </c>
      <c r="AI575" s="47" t="s">
        <v>931</v>
      </c>
      <c r="AJ575" s="47" t="s">
        <v>931</v>
      </c>
      <c r="AK575" s="47" t="s">
        <v>930</v>
      </c>
      <c r="AL575" s="47" t="s">
        <v>931</v>
      </c>
      <c r="AM575" s="47" t="s">
        <v>931</v>
      </c>
      <c r="AN575" s="37"/>
    </row>
    <row r="576" spans="1:40" hidden="1">
      <c r="A576" s="47" t="s">
        <v>982</v>
      </c>
      <c r="B576" s="47" t="s">
        <v>919</v>
      </c>
      <c r="C576" s="47" t="s">
        <v>4494</v>
      </c>
      <c r="D576" s="47">
        <f t="shared" si="15"/>
        <v>161252</v>
      </c>
      <c r="E576" s="47" t="s">
        <v>330</v>
      </c>
      <c r="F576" s="47" t="s">
        <v>331</v>
      </c>
      <c r="G576" s="47" t="s">
        <v>370</v>
      </c>
      <c r="H576" s="47" t="s">
        <v>924</v>
      </c>
      <c r="I576" s="47" t="s">
        <v>4442</v>
      </c>
      <c r="J576" s="47" t="s">
        <v>1055</v>
      </c>
      <c r="K576" s="47" t="s">
        <v>163</v>
      </c>
      <c r="L576" s="47" t="s">
        <v>3310</v>
      </c>
      <c r="M576" s="47" t="s">
        <v>3311</v>
      </c>
      <c r="N576" s="47" t="s">
        <v>946</v>
      </c>
      <c r="O576" s="47" t="s">
        <v>930</v>
      </c>
      <c r="P576" s="47" t="s">
        <v>930</v>
      </c>
      <c r="Q576" s="47"/>
      <c r="R576" s="47"/>
      <c r="S576" s="47"/>
      <c r="T576" s="47" t="s">
        <v>4495</v>
      </c>
      <c r="U576" s="47" t="s">
        <v>4496</v>
      </c>
      <c r="V576" s="47" t="s">
        <v>363</v>
      </c>
      <c r="W576" s="47" t="s">
        <v>931</v>
      </c>
      <c r="X576" s="47" t="s">
        <v>995</v>
      </c>
      <c r="Y576" s="47" t="s">
        <v>370</v>
      </c>
      <c r="Z576" s="47" t="s">
        <v>3511</v>
      </c>
      <c r="AA576" s="47" t="s">
        <v>3512</v>
      </c>
      <c r="AB576" s="47" t="s">
        <v>931</v>
      </c>
      <c r="AC576" s="47" t="s">
        <v>37</v>
      </c>
      <c r="AD576" s="47" t="s">
        <v>4446</v>
      </c>
      <c r="AE576" s="47" t="s">
        <v>937</v>
      </c>
      <c r="AF576" s="47" t="s">
        <v>931</v>
      </c>
      <c r="AG576" s="47" t="s">
        <v>931</v>
      </c>
      <c r="AH576" s="47" t="s">
        <v>364</v>
      </c>
      <c r="AI576" s="47" t="s">
        <v>931</v>
      </c>
      <c r="AJ576" s="47" t="s">
        <v>365</v>
      </c>
      <c r="AK576" s="47" t="s">
        <v>930</v>
      </c>
      <c r="AL576" s="47" t="s">
        <v>931</v>
      </c>
      <c r="AM576" s="47" t="s">
        <v>931</v>
      </c>
      <c r="AN576" s="37"/>
    </row>
    <row r="577" spans="1:40" hidden="1">
      <c r="A577" s="47" t="s">
        <v>982</v>
      </c>
      <c r="B577" s="47" t="s">
        <v>919</v>
      </c>
      <c r="C577" s="47" t="s">
        <v>4497</v>
      </c>
      <c r="D577" s="47">
        <f t="shared" si="15"/>
        <v>161261</v>
      </c>
      <c r="E577" s="47" t="s">
        <v>555</v>
      </c>
      <c r="F577" s="47" t="s">
        <v>556</v>
      </c>
      <c r="G577" s="47" t="s">
        <v>4498</v>
      </c>
      <c r="H577" s="47" t="s">
        <v>1053</v>
      </c>
      <c r="I577" s="47" t="s">
        <v>4499</v>
      </c>
      <c r="J577" s="47" t="s">
        <v>1055</v>
      </c>
      <c r="K577" s="47" t="s">
        <v>163</v>
      </c>
      <c r="L577" s="47" t="s">
        <v>1056</v>
      </c>
      <c r="M577" s="47" t="s">
        <v>1056</v>
      </c>
      <c r="N577" s="47" t="s">
        <v>1058</v>
      </c>
      <c r="O577" s="47" t="s">
        <v>930</v>
      </c>
      <c r="P577" s="47" t="s">
        <v>930</v>
      </c>
      <c r="Q577" s="47" t="str">
        <f>LEFT(T577,9)</f>
        <v xml:space="preserve"> Sáng T3:</v>
      </c>
      <c r="R577" s="47" t="s">
        <v>973</v>
      </c>
      <c r="S577" s="47" t="s">
        <v>1070</v>
      </c>
      <c r="T577" s="47" t="s">
        <v>4500</v>
      </c>
      <c r="U577" s="47" t="s">
        <v>4501</v>
      </c>
      <c r="V577" s="47" t="s">
        <v>483</v>
      </c>
      <c r="W577" s="47" t="s">
        <v>931</v>
      </c>
      <c r="X577" s="47" t="s">
        <v>995</v>
      </c>
      <c r="Y577" s="47" t="s">
        <v>4498</v>
      </c>
      <c r="Z577" s="47" t="s">
        <v>4502</v>
      </c>
      <c r="AA577" s="47" t="s">
        <v>4503</v>
      </c>
      <c r="AB577" s="47" t="s">
        <v>931</v>
      </c>
      <c r="AC577" s="47" t="s">
        <v>476</v>
      </c>
      <c r="AD577" s="47" t="s">
        <v>4504</v>
      </c>
      <c r="AE577" s="47" t="s">
        <v>937</v>
      </c>
      <c r="AF577" s="47" t="s">
        <v>931</v>
      </c>
      <c r="AG577" s="47" t="s">
        <v>4505</v>
      </c>
      <c r="AH577" s="47" t="s">
        <v>998</v>
      </c>
      <c r="AI577" s="47" t="s">
        <v>931</v>
      </c>
      <c r="AJ577" s="47" t="s">
        <v>931</v>
      </c>
      <c r="AK577" s="47" t="s">
        <v>930</v>
      </c>
      <c r="AL577" s="47" t="s">
        <v>931</v>
      </c>
      <c r="AM577" s="47" t="s">
        <v>931</v>
      </c>
      <c r="AN577" s="37"/>
    </row>
    <row r="578" spans="1:40" hidden="1">
      <c r="A578" s="47" t="s">
        <v>982</v>
      </c>
      <c r="B578" s="47" t="s">
        <v>919</v>
      </c>
      <c r="C578" s="47" t="s">
        <v>4506</v>
      </c>
      <c r="D578" s="47">
        <f t="shared" si="15"/>
        <v>161271</v>
      </c>
      <c r="E578" s="47" t="s">
        <v>383</v>
      </c>
      <c r="F578" s="47" t="s">
        <v>384</v>
      </c>
      <c r="G578" s="47" t="s">
        <v>389</v>
      </c>
      <c r="H578" s="47" t="s">
        <v>1287</v>
      </c>
      <c r="I578" s="47" t="s">
        <v>4507</v>
      </c>
      <c r="J578" s="47" t="s">
        <v>1055</v>
      </c>
      <c r="K578" s="47" t="s">
        <v>163</v>
      </c>
      <c r="L578" s="47" t="s">
        <v>4508</v>
      </c>
      <c r="M578" s="47" t="s">
        <v>2995</v>
      </c>
      <c r="N578" s="47" t="s">
        <v>3157</v>
      </c>
      <c r="O578" s="47" t="s">
        <v>930</v>
      </c>
      <c r="P578" s="47" t="s">
        <v>930</v>
      </c>
      <c r="Q578" s="47"/>
      <c r="R578" s="47"/>
      <c r="S578" s="47"/>
      <c r="T578" s="47" t="s">
        <v>4509</v>
      </c>
      <c r="U578" s="47" t="s">
        <v>4510</v>
      </c>
      <c r="V578" s="47" t="s">
        <v>378</v>
      </c>
      <c r="W578" s="47" t="s">
        <v>931</v>
      </c>
      <c r="X578" s="47" t="s">
        <v>932</v>
      </c>
      <c r="Y578" s="47" t="s">
        <v>389</v>
      </c>
      <c r="Z578" s="47" t="s">
        <v>3356</v>
      </c>
      <c r="AA578" s="47" t="s">
        <v>3357</v>
      </c>
      <c r="AB578" s="47" t="s">
        <v>931</v>
      </c>
      <c r="AC578" s="47" t="s">
        <v>387</v>
      </c>
      <c r="AD578" s="47" t="s">
        <v>991</v>
      </c>
      <c r="AE578" s="47" t="s">
        <v>1292</v>
      </c>
      <c r="AF578" s="47" t="s">
        <v>4511</v>
      </c>
      <c r="AG578" s="47" t="s">
        <v>931</v>
      </c>
      <c r="AH578" s="47" t="s">
        <v>364</v>
      </c>
      <c r="AI578" s="47" t="s">
        <v>931</v>
      </c>
      <c r="AJ578" s="47" t="s">
        <v>365</v>
      </c>
      <c r="AK578" s="47" t="s">
        <v>930</v>
      </c>
      <c r="AL578" s="47" t="s">
        <v>931</v>
      </c>
      <c r="AM578" s="47" t="s">
        <v>931</v>
      </c>
      <c r="AN578" s="37"/>
    </row>
    <row r="579" spans="1:40" hidden="1">
      <c r="A579" s="47" t="s">
        <v>982</v>
      </c>
      <c r="B579" s="47" t="s">
        <v>919</v>
      </c>
      <c r="C579" s="47" t="s">
        <v>4512</v>
      </c>
      <c r="D579" s="47">
        <f t="shared" ref="D579:D642" si="16">VALUE(C579)</f>
        <v>161269</v>
      </c>
      <c r="E579" s="47" t="s">
        <v>383</v>
      </c>
      <c r="F579" s="47" t="s">
        <v>384</v>
      </c>
      <c r="G579" s="47" t="s">
        <v>389</v>
      </c>
      <c r="H579" s="47" t="s">
        <v>1287</v>
      </c>
      <c r="I579" s="47" t="s">
        <v>4513</v>
      </c>
      <c r="J579" s="47" t="s">
        <v>1055</v>
      </c>
      <c r="K579" s="47" t="s">
        <v>163</v>
      </c>
      <c r="L579" s="47" t="s">
        <v>1056</v>
      </c>
      <c r="M579" s="47" t="s">
        <v>1056</v>
      </c>
      <c r="N579" s="47" t="s">
        <v>1058</v>
      </c>
      <c r="O579" s="47" t="s">
        <v>930</v>
      </c>
      <c r="P579" s="47" t="s">
        <v>930</v>
      </c>
      <c r="Q579" s="47" t="str">
        <f>LEFT(T579,9)</f>
        <v xml:space="preserve"> Sáng T4:</v>
      </c>
      <c r="R579" s="47" t="s">
        <v>973</v>
      </c>
      <c r="S579" s="47" t="s">
        <v>1059</v>
      </c>
      <c r="T579" s="47" t="s">
        <v>4514</v>
      </c>
      <c r="U579" s="47" t="s">
        <v>4515</v>
      </c>
      <c r="V579" s="47" t="s">
        <v>27</v>
      </c>
      <c r="W579" s="47" t="s">
        <v>931</v>
      </c>
      <c r="X579" s="47" t="s">
        <v>932</v>
      </c>
      <c r="Y579" s="47" t="s">
        <v>389</v>
      </c>
      <c r="Z579" s="47" t="s">
        <v>3356</v>
      </c>
      <c r="AA579" s="47" t="s">
        <v>3357</v>
      </c>
      <c r="AB579" s="47" t="s">
        <v>4396</v>
      </c>
      <c r="AC579" s="47" t="s">
        <v>387</v>
      </c>
      <c r="AD579" s="47" t="s">
        <v>4516</v>
      </c>
      <c r="AE579" s="47" t="s">
        <v>937</v>
      </c>
      <c r="AF579" s="47" t="s">
        <v>931</v>
      </c>
      <c r="AG579" s="47" t="s">
        <v>931</v>
      </c>
      <c r="AH579" s="47" t="s">
        <v>364</v>
      </c>
      <c r="AI579" s="47" t="s">
        <v>931</v>
      </c>
      <c r="AJ579" s="47" t="s">
        <v>365</v>
      </c>
      <c r="AK579" s="47" t="s">
        <v>930</v>
      </c>
      <c r="AL579" s="47" t="s">
        <v>931</v>
      </c>
      <c r="AM579" s="47" t="s">
        <v>931</v>
      </c>
      <c r="AN579" s="37"/>
    </row>
    <row r="580" spans="1:40" hidden="1">
      <c r="A580" s="47" t="s">
        <v>982</v>
      </c>
      <c r="B580" s="47" t="s">
        <v>919</v>
      </c>
      <c r="C580" s="47" t="s">
        <v>4517</v>
      </c>
      <c r="D580" s="47">
        <f t="shared" si="16"/>
        <v>161260</v>
      </c>
      <c r="E580" s="47" t="s">
        <v>555</v>
      </c>
      <c r="F580" s="47" t="s">
        <v>556</v>
      </c>
      <c r="G580" s="47" t="s">
        <v>476</v>
      </c>
      <c r="H580" s="47" t="s">
        <v>1053</v>
      </c>
      <c r="I580" s="47" t="s">
        <v>4518</v>
      </c>
      <c r="J580" s="47" t="s">
        <v>1055</v>
      </c>
      <c r="K580" s="47" t="s">
        <v>163</v>
      </c>
      <c r="L580" s="47" t="s">
        <v>1057</v>
      </c>
      <c r="M580" s="47" t="s">
        <v>1056</v>
      </c>
      <c r="N580" s="47" t="s">
        <v>1058</v>
      </c>
      <c r="O580" s="47" t="s">
        <v>930</v>
      </c>
      <c r="P580" s="47" t="s">
        <v>930</v>
      </c>
      <c r="Q580" s="47" t="str">
        <f>LEFT(T580,9)</f>
        <v xml:space="preserve"> Chiều T2</v>
      </c>
      <c r="R580" s="47" t="s">
        <v>973</v>
      </c>
      <c r="S580" s="47" t="s">
        <v>1103</v>
      </c>
      <c r="T580" s="47" t="s">
        <v>4519</v>
      </c>
      <c r="U580" s="47" t="s">
        <v>4520</v>
      </c>
      <c r="V580" s="47" t="s">
        <v>24</v>
      </c>
      <c r="W580" s="47" t="s">
        <v>931</v>
      </c>
      <c r="X580" s="47" t="s">
        <v>995</v>
      </c>
      <c r="Y580" s="47" t="s">
        <v>476</v>
      </c>
      <c r="Z580" s="47" t="s">
        <v>3496</v>
      </c>
      <c r="AA580" s="47" t="s">
        <v>3497</v>
      </c>
      <c r="AB580" s="47" t="s">
        <v>931</v>
      </c>
      <c r="AC580" s="47" t="s">
        <v>476</v>
      </c>
      <c r="AD580" s="47" t="s">
        <v>4521</v>
      </c>
      <c r="AE580" s="47" t="s">
        <v>937</v>
      </c>
      <c r="AF580" s="47" t="s">
        <v>4522</v>
      </c>
      <c r="AG580" s="47" t="s">
        <v>4522</v>
      </c>
      <c r="AH580" s="47" t="s">
        <v>931</v>
      </c>
      <c r="AI580" s="47" t="s">
        <v>931</v>
      </c>
      <c r="AJ580" s="47" t="s">
        <v>931</v>
      </c>
      <c r="AK580" s="47" t="s">
        <v>930</v>
      </c>
      <c r="AL580" s="47" t="s">
        <v>931</v>
      </c>
      <c r="AM580" s="47" t="s">
        <v>931</v>
      </c>
      <c r="AN580" s="37"/>
    </row>
    <row r="581" spans="1:40" hidden="1">
      <c r="A581" s="47" t="s">
        <v>982</v>
      </c>
      <c r="B581" s="47" t="s">
        <v>919</v>
      </c>
      <c r="C581" s="47" t="s">
        <v>4523</v>
      </c>
      <c r="D581" s="47">
        <f t="shared" si="16"/>
        <v>161285</v>
      </c>
      <c r="E581" s="47" t="s">
        <v>566</v>
      </c>
      <c r="F581" s="47" t="s">
        <v>567</v>
      </c>
      <c r="G581" s="47" t="s">
        <v>4524</v>
      </c>
      <c r="H581" s="47" t="s">
        <v>1053</v>
      </c>
      <c r="I581" s="47" t="s">
        <v>4525</v>
      </c>
      <c r="J581" s="47" t="s">
        <v>1055</v>
      </c>
      <c r="K581" s="47" t="s">
        <v>163</v>
      </c>
      <c r="L581" s="47" t="s">
        <v>1056</v>
      </c>
      <c r="M581" s="47" t="s">
        <v>1056</v>
      </c>
      <c r="N581" s="47" t="s">
        <v>1058</v>
      </c>
      <c r="O581" s="47" t="s">
        <v>930</v>
      </c>
      <c r="P581" s="47" t="s">
        <v>930</v>
      </c>
      <c r="Q581" s="47" t="str">
        <f>LEFT(T581,9)</f>
        <v xml:space="preserve"> Chiều T3</v>
      </c>
      <c r="R581" s="47" t="s">
        <v>973</v>
      </c>
      <c r="S581" s="47" t="s">
        <v>1070</v>
      </c>
      <c r="T581" s="47" t="s">
        <v>4526</v>
      </c>
      <c r="U581" s="47" t="s">
        <v>4527</v>
      </c>
      <c r="V581" s="47" t="s">
        <v>23</v>
      </c>
      <c r="W581" s="47" t="s">
        <v>931</v>
      </c>
      <c r="X581" s="47" t="s">
        <v>1063</v>
      </c>
      <c r="Y581" s="47" t="s">
        <v>4524</v>
      </c>
      <c r="Z581" s="47" t="s">
        <v>4528</v>
      </c>
      <c r="AA581" s="47" t="s">
        <v>931</v>
      </c>
      <c r="AB581" s="47" t="s">
        <v>931</v>
      </c>
      <c r="AC581" s="47" t="s">
        <v>4459</v>
      </c>
      <c r="AD581" s="47" t="s">
        <v>4529</v>
      </c>
      <c r="AE581" s="47" t="s">
        <v>937</v>
      </c>
      <c r="AF581" s="47" t="s">
        <v>931</v>
      </c>
      <c r="AG581" s="47" t="s">
        <v>931</v>
      </c>
      <c r="AH581" s="47" t="s">
        <v>4461</v>
      </c>
      <c r="AI581" s="47" t="s">
        <v>4475</v>
      </c>
      <c r="AJ581" s="47" t="s">
        <v>931</v>
      </c>
      <c r="AK581" s="47" t="s">
        <v>930</v>
      </c>
      <c r="AL581" s="47" t="s">
        <v>931</v>
      </c>
      <c r="AM581" s="47" t="s">
        <v>931</v>
      </c>
      <c r="AN581" s="37"/>
    </row>
    <row r="582" spans="1:40" hidden="1">
      <c r="A582" s="47" t="s">
        <v>982</v>
      </c>
      <c r="B582" s="47" t="s">
        <v>919</v>
      </c>
      <c r="C582" s="47" t="s">
        <v>4530</v>
      </c>
      <c r="D582" s="47">
        <f t="shared" si="16"/>
        <v>161296</v>
      </c>
      <c r="E582" s="47" t="s">
        <v>573</v>
      </c>
      <c r="F582" s="47" t="s">
        <v>574</v>
      </c>
      <c r="G582" s="47" t="s">
        <v>4531</v>
      </c>
      <c r="H582" s="47" t="s">
        <v>1053</v>
      </c>
      <c r="I582" s="47" t="s">
        <v>4467</v>
      </c>
      <c r="J582" s="47" t="s">
        <v>1055</v>
      </c>
      <c r="K582" s="47" t="s">
        <v>163</v>
      </c>
      <c r="L582" s="47" t="s">
        <v>2392</v>
      </c>
      <c r="M582" s="47" t="s">
        <v>1511</v>
      </c>
      <c r="N582" s="47" t="s">
        <v>1058</v>
      </c>
      <c r="O582" s="47" t="s">
        <v>930</v>
      </c>
      <c r="P582" s="47" t="s">
        <v>930</v>
      </c>
      <c r="Q582" s="47"/>
      <c r="R582" s="47"/>
      <c r="S582" s="47"/>
      <c r="T582" s="47" t="s">
        <v>4532</v>
      </c>
      <c r="U582" s="47" t="s">
        <v>4533</v>
      </c>
      <c r="V582" s="47" t="s">
        <v>580</v>
      </c>
      <c r="W582" s="47" t="s">
        <v>931</v>
      </c>
      <c r="X582" s="47" t="s">
        <v>1063</v>
      </c>
      <c r="Y582" s="47" t="s">
        <v>4531</v>
      </c>
      <c r="Z582" s="47" t="s">
        <v>4534</v>
      </c>
      <c r="AA582" s="47" t="s">
        <v>931</v>
      </c>
      <c r="AB582" s="47" t="s">
        <v>931</v>
      </c>
      <c r="AC582" s="47" t="s">
        <v>1052</v>
      </c>
      <c r="AD582" s="47" t="s">
        <v>4470</v>
      </c>
      <c r="AE582" s="47" t="s">
        <v>937</v>
      </c>
      <c r="AF582" s="47" t="s">
        <v>931</v>
      </c>
      <c r="AG582" s="47" t="s">
        <v>931</v>
      </c>
      <c r="AH582" s="47" t="s">
        <v>1067</v>
      </c>
      <c r="AI582" s="47" t="s">
        <v>931</v>
      </c>
      <c r="AJ582" s="47" t="s">
        <v>365</v>
      </c>
      <c r="AK582" s="47" t="s">
        <v>930</v>
      </c>
      <c r="AL582" s="47" t="s">
        <v>931</v>
      </c>
      <c r="AM582" s="47" t="s">
        <v>931</v>
      </c>
      <c r="AN582" s="37"/>
    </row>
    <row r="583" spans="1:40" hidden="1">
      <c r="A583" s="47" t="s">
        <v>982</v>
      </c>
      <c r="B583" s="47" t="s">
        <v>919</v>
      </c>
      <c r="C583" s="47" t="s">
        <v>4535</v>
      </c>
      <c r="D583" s="47">
        <f t="shared" si="16"/>
        <v>161284</v>
      </c>
      <c r="E583" s="47" t="s">
        <v>566</v>
      </c>
      <c r="F583" s="47" t="s">
        <v>567</v>
      </c>
      <c r="G583" s="47" t="s">
        <v>4524</v>
      </c>
      <c r="H583" s="47" t="s">
        <v>1053</v>
      </c>
      <c r="I583" s="47" t="s">
        <v>4536</v>
      </c>
      <c r="J583" s="47" t="s">
        <v>1055</v>
      </c>
      <c r="K583" s="47" t="s">
        <v>163</v>
      </c>
      <c r="L583" s="47" t="s">
        <v>1392</v>
      </c>
      <c r="M583" s="47" t="s">
        <v>1056</v>
      </c>
      <c r="N583" s="47" t="s">
        <v>1058</v>
      </c>
      <c r="O583" s="47" t="s">
        <v>930</v>
      </c>
      <c r="P583" s="47" t="s">
        <v>930</v>
      </c>
      <c r="Q583" s="47" t="str">
        <f>LEFT(T583,9)</f>
        <v xml:space="preserve"> Chiều T4</v>
      </c>
      <c r="R583" s="47" t="s">
        <v>973</v>
      </c>
      <c r="S583" s="47" t="s">
        <v>1059</v>
      </c>
      <c r="T583" s="47" t="s">
        <v>4537</v>
      </c>
      <c r="U583" s="47" t="s">
        <v>4538</v>
      </c>
      <c r="V583" s="47" t="s">
        <v>22</v>
      </c>
      <c r="W583" s="47" t="s">
        <v>931</v>
      </c>
      <c r="X583" s="47" t="s">
        <v>1063</v>
      </c>
      <c r="Y583" s="47" t="s">
        <v>4524</v>
      </c>
      <c r="Z583" s="47" t="s">
        <v>4528</v>
      </c>
      <c r="AA583" s="47" t="s">
        <v>931</v>
      </c>
      <c r="AB583" s="47" t="s">
        <v>931</v>
      </c>
      <c r="AC583" s="47" t="s">
        <v>4459</v>
      </c>
      <c r="AD583" s="47" t="s">
        <v>4539</v>
      </c>
      <c r="AE583" s="47" t="s">
        <v>937</v>
      </c>
      <c r="AF583" s="47" t="s">
        <v>931</v>
      </c>
      <c r="AG583" s="47" t="s">
        <v>931</v>
      </c>
      <c r="AH583" s="47" t="s">
        <v>4461</v>
      </c>
      <c r="AI583" s="47" t="s">
        <v>4475</v>
      </c>
      <c r="AJ583" s="47" t="s">
        <v>931</v>
      </c>
      <c r="AK583" s="47" t="s">
        <v>930</v>
      </c>
      <c r="AL583" s="47" t="s">
        <v>931</v>
      </c>
      <c r="AM583" s="47" t="s">
        <v>931</v>
      </c>
      <c r="AN583" s="37"/>
    </row>
    <row r="584" spans="1:40" hidden="1">
      <c r="A584" s="47" t="s">
        <v>982</v>
      </c>
      <c r="B584" s="47" t="s">
        <v>919</v>
      </c>
      <c r="C584" s="47" t="s">
        <v>4540</v>
      </c>
      <c r="D584" s="47">
        <f t="shared" si="16"/>
        <v>161283</v>
      </c>
      <c r="E584" s="47" t="s">
        <v>566</v>
      </c>
      <c r="F584" s="47" t="s">
        <v>567</v>
      </c>
      <c r="G584" s="47" t="s">
        <v>4453</v>
      </c>
      <c r="H584" s="47" t="s">
        <v>1053</v>
      </c>
      <c r="I584" s="47" t="s">
        <v>4541</v>
      </c>
      <c r="J584" s="47" t="s">
        <v>1055</v>
      </c>
      <c r="K584" s="47" t="s">
        <v>163</v>
      </c>
      <c r="L584" s="47" t="s">
        <v>1056</v>
      </c>
      <c r="M584" s="47" t="s">
        <v>1056</v>
      </c>
      <c r="N584" s="47" t="s">
        <v>1058</v>
      </c>
      <c r="O584" s="47" t="s">
        <v>930</v>
      </c>
      <c r="P584" s="47" t="s">
        <v>930</v>
      </c>
      <c r="Q584" s="47" t="str">
        <f>LEFT(T584,9)</f>
        <v xml:space="preserve"> Chiều T3</v>
      </c>
      <c r="R584" s="47" t="s">
        <v>973</v>
      </c>
      <c r="S584" s="47" t="s">
        <v>1070</v>
      </c>
      <c r="T584" s="47" t="s">
        <v>4542</v>
      </c>
      <c r="U584" s="47" t="s">
        <v>4543</v>
      </c>
      <c r="V584" s="47" t="s">
        <v>22</v>
      </c>
      <c r="W584" s="47" t="s">
        <v>931</v>
      </c>
      <c r="X584" s="47" t="s">
        <v>1063</v>
      </c>
      <c r="Y584" s="47" t="s">
        <v>4453</v>
      </c>
      <c r="Z584" s="47" t="s">
        <v>4458</v>
      </c>
      <c r="AA584" s="47" t="s">
        <v>931</v>
      </c>
      <c r="AB584" s="47" t="s">
        <v>931</v>
      </c>
      <c r="AC584" s="47" t="s">
        <v>4459</v>
      </c>
      <c r="AD584" s="47" t="s">
        <v>4544</v>
      </c>
      <c r="AE584" s="47" t="s">
        <v>937</v>
      </c>
      <c r="AF584" s="47" t="s">
        <v>931</v>
      </c>
      <c r="AG584" s="47" t="s">
        <v>931</v>
      </c>
      <c r="AH584" s="47" t="s">
        <v>4461</v>
      </c>
      <c r="AI584" s="47" t="s">
        <v>4475</v>
      </c>
      <c r="AJ584" s="47" t="s">
        <v>931</v>
      </c>
      <c r="AK584" s="47" t="s">
        <v>930</v>
      </c>
      <c r="AL584" s="47" t="s">
        <v>931</v>
      </c>
      <c r="AM584" s="47" t="s">
        <v>931</v>
      </c>
      <c r="AN584" s="37"/>
    </row>
    <row r="585" spans="1:40" hidden="1">
      <c r="A585" s="47" t="s">
        <v>982</v>
      </c>
      <c r="B585" s="47" t="s">
        <v>919</v>
      </c>
      <c r="C585" s="47" t="s">
        <v>4545</v>
      </c>
      <c r="D585" s="47">
        <f t="shared" si="16"/>
        <v>161287</v>
      </c>
      <c r="E585" s="47" t="s">
        <v>566</v>
      </c>
      <c r="F585" s="47" t="s">
        <v>567</v>
      </c>
      <c r="G585" s="47" t="s">
        <v>4453</v>
      </c>
      <c r="H585" s="47" t="s">
        <v>1053</v>
      </c>
      <c r="I585" s="47" t="s">
        <v>4467</v>
      </c>
      <c r="J585" s="47" t="s">
        <v>1055</v>
      </c>
      <c r="K585" s="47" t="s">
        <v>163</v>
      </c>
      <c r="L585" s="47" t="s">
        <v>1289</v>
      </c>
      <c r="M585" s="47" t="s">
        <v>1056</v>
      </c>
      <c r="N585" s="47" t="s">
        <v>1058</v>
      </c>
      <c r="O585" s="47" t="s">
        <v>930</v>
      </c>
      <c r="P585" s="47" t="s">
        <v>930</v>
      </c>
      <c r="Q585" s="47" t="str">
        <f>LEFT(T585,9)</f>
        <v xml:space="preserve"> Sáng T6:</v>
      </c>
      <c r="R585" s="47" t="s">
        <v>973</v>
      </c>
      <c r="S585" s="47" t="s">
        <v>1140</v>
      </c>
      <c r="T585" s="47" t="s">
        <v>4546</v>
      </c>
      <c r="U585" s="47" t="s">
        <v>4547</v>
      </c>
      <c r="V585" s="47" t="s">
        <v>4457</v>
      </c>
      <c r="W585" s="47" t="s">
        <v>931</v>
      </c>
      <c r="X585" s="47" t="s">
        <v>1063</v>
      </c>
      <c r="Y585" s="47" t="s">
        <v>4453</v>
      </c>
      <c r="Z585" s="47" t="s">
        <v>4458</v>
      </c>
      <c r="AA585" s="47" t="s">
        <v>931</v>
      </c>
      <c r="AB585" s="47" t="s">
        <v>931</v>
      </c>
      <c r="AC585" s="47" t="s">
        <v>4459</v>
      </c>
      <c r="AD585" s="47" t="s">
        <v>4470</v>
      </c>
      <c r="AE585" s="47" t="s">
        <v>937</v>
      </c>
      <c r="AF585" s="47" t="s">
        <v>931</v>
      </c>
      <c r="AG585" s="47" t="s">
        <v>931</v>
      </c>
      <c r="AH585" s="47" t="s">
        <v>4461</v>
      </c>
      <c r="AI585" s="47" t="s">
        <v>4475</v>
      </c>
      <c r="AJ585" s="47" t="s">
        <v>931</v>
      </c>
      <c r="AK585" s="47" t="s">
        <v>930</v>
      </c>
      <c r="AL585" s="47" t="s">
        <v>931</v>
      </c>
      <c r="AM585" s="47" t="s">
        <v>931</v>
      </c>
      <c r="AN585" s="37"/>
    </row>
    <row r="586" spans="1:40" hidden="1">
      <c r="A586" s="47" t="s">
        <v>982</v>
      </c>
      <c r="B586" s="47" t="s">
        <v>919</v>
      </c>
      <c r="C586" s="47" t="s">
        <v>4548</v>
      </c>
      <c r="D586" s="47">
        <f t="shared" si="16"/>
        <v>161294</v>
      </c>
      <c r="E586" s="47" t="s">
        <v>573</v>
      </c>
      <c r="F586" s="47" t="s">
        <v>574</v>
      </c>
      <c r="G586" s="47" t="s">
        <v>4549</v>
      </c>
      <c r="H586" s="47" t="s">
        <v>1053</v>
      </c>
      <c r="I586" s="47" t="s">
        <v>4487</v>
      </c>
      <c r="J586" s="47" t="s">
        <v>1055</v>
      </c>
      <c r="K586" s="47" t="s">
        <v>163</v>
      </c>
      <c r="L586" s="47" t="s">
        <v>1511</v>
      </c>
      <c r="M586" s="47" t="s">
        <v>1511</v>
      </c>
      <c r="N586" s="47" t="s">
        <v>1058</v>
      </c>
      <c r="O586" s="47" t="s">
        <v>930</v>
      </c>
      <c r="P586" s="47" t="s">
        <v>930</v>
      </c>
      <c r="Q586" s="47"/>
      <c r="R586" s="47"/>
      <c r="S586" s="47"/>
      <c r="T586" s="47" t="s">
        <v>4550</v>
      </c>
      <c r="U586" s="47" t="s">
        <v>4551</v>
      </c>
      <c r="V586" s="47" t="s">
        <v>575</v>
      </c>
      <c r="W586" s="47" t="s">
        <v>931</v>
      </c>
      <c r="X586" s="47" t="s">
        <v>1063</v>
      </c>
      <c r="Y586" s="47" t="s">
        <v>4549</v>
      </c>
      <c r="Z586" s="47" t="s">
        <v>4552</v>
      </c>
      <c r="AA586" s="47" t="s">
        <v>931</v>
      </c>
      <c r="AB586" s="47" t="s">
        <v>931</v>
      </c>
      <c r="AC586" s="47" t="s">
        <v>1052</v>
      </c>
      <c r="AD586" s="47" t="s">
        <v>4491</v>
      </c>
      <c r="AE586" s="47" t="s">
        <v>937</v>
      </c>
      <c r="AF586" s="47" t="s">
        <v>931</v>
      </c>
      <c r="AG586" s="47" t="s">
        <v>931</v>
      </c>
      <c r="AH586" s="47" t="s">
        <v>1067</v>
      </c>
      <c r="AI586" s="47" t="s">
        <v>931</v>
      </c>
      <c r="AJ586" s="47" t="s">
        <v>365</v>
      </c>
      <c r="AK586" s="47" t="s">
        <v>930</v>
      </c>
      <c r="AL586" s="47" t="s">
        <v>931</v>
      </c>
      <c r="AM586" s="47" t="s">
        <v>931</v>
      </c>
      <c r="AN586" s="37"/>
    </row>
    <row r="587" spans="1:40" hidden="1">
      <c r="A587" s="47" t="s">
        <v>982</v>
      </c>
      <c r="B587" s="47" t="s">
        <v>919</v>
      </c>
      <c r="C587" s="47" t="s">
        <v>4553</v>
      </c>
      <c r="D587" s="47">
        <f t="shared" si="16"/>
        <v>161291</v>
      </c>
      <c r="E587" s="47" t="s">
        <v>573</v>
      </c>
      <c r="F587" s="47" t="s">
        <v>574</v>
      </c>
      <c r="G587" s="47" t="s">
        <v>3434</v>
      </c>
      <c r="H587" s="47" t="s">
        <v>1053</v>
      </c>
      <c r="I587" s="47" t="s">
        <v>4499</v>
      </c>
      <c r="J587" s="47" t="s">
        <v>1055</v>
      </c>
      <c r="K587" s="47" t="s">
        <v>163</v>
      </c>
      <c r="L587" s="47" t="s">
        <v>1258</v>
      </c>
      <c r="M587" s="47" t="s">
        <v>1246</v>
      </c>
      <c r="N587" s="47" t="s">
        <v>1058</v>
      </c>
      <c r="O587" s="47" t="s">
        <v>930</v>
      </c>
      <c r="P587" s="47" t="s">
        <v>930</v>
      </c>
      <c r="Q587" s="47"/>
      <c r="R587" s="47"/>
      <c r="S587" s="47"/>
      <c r="T587" s="47" t="s">
        <v>4554</v>
      </c>
      <c r="U587" s="47" t="s">
        <v>4555</v>
      </c>
      <c r="V587" s="47" t="s">
        <v>581</v>
      </c>
      <c r="W587" s="47" t="s">
        <v>931</v>
      </c>
      <c r="X587" s="47" t="s">
        <v>1063</v>
      </c>
      <c r="Y587" s="47" t="s">
        <v>3434</v>
      </c>
      <c r="Z587" s="47" t="s">
        <v>3438</v>
      </c>
      <c r="AA587" s="47" t="s">
        <v>931</v>
      </c>
      <c r="AB587" s="47" t="s">
        <v>931</v>
      </c>
      <c r="AC587" s="47" t="s">
        <v>1052</v>
      </c>
      <c r="AD587" s="47" t="s">
        <v>4504</v>
      </c>
      <c r="AE587" s="47" t="s">
        <v>937</v>
      </c>
      <c r="AF587" s="47" t="s">
        <v>931</v>
      </c>
      <c r="AG587" s="47" t="s">
        <v>931</v>
      </c>
      <c r="AH587" s="47" t="s">
        <v>1067</v>
      </c>
      <c r="AI587" s="47" t="s">
        <v>931</v>
      </c>
      <c r="AJ587" s="47" t="s">
        <v>365</v>
      </c>
      <c r="AK587" s="47" t="s">
        <v>930</v>
      </c>
      <c r="AL587" s="47" t="s">
        <v>931</v>
      </c>
      <c r="AM587" s="47" t="s">
        <v>931</v>
      </c>
      <c r="AN587" s="37"/>
    </row>
    <row r="588" spans="1:40" hidden="1">
      <c r="A588" s="47" t="s">
        <v>982</v>
      </c>
      <c r="B588" s="47" t="s">
        <v>919</v>
      </c>
      <c r="C588" s="47" t="s">
        <v>4556</v>
      </c>
      <c r="D588" s="47">
        <f t="shared" si="16"/>
        <v>161257</v>
      </c>
      <c r="E588" s="47" t="s">
        <v>92</v>
      </c>
      <c r="F588" s="47" t="s">
        <v>298</v>
      </c>
      <c r="G588" s="47" t="s">
        <v>382</v>
      </c>
      <c r="H588" s="47" t="s">
        <v>1287</v>
      </c>
      <c r="I588" s="47" t="s">
        <v>4557</v>
      </c>
      <c r="J588" s="47" t="s">
        <v>1055</v>
      </c>
      <c r="K588" s="47" t="s">
        <v>163</v>
      </c>
      <c r="L588" s="47" t="s">
        <v>3636</v>
      </c>
      <c r="M588" s="47" t="s">
        <v>2753</v>
      </c>
      <c r="N588" s="47" t="s">
        <v>946</v>
      </c>
      <c r="O588" s="47" t="s">
        <v>930</v>
      </c>
      <c r="P588" s="47" t="s">
        <v>930</v>
      </c>
      <c r="Q588" s="47"/>
      <c r="R588" s="47"/>
      <c r="S588" s="47"/>
      <c r="T588" s="47" t="s">
        <v>4558</v>
      </c>
      <c r="U588" s="47" t="s">
        <v>4559</v>
      </c>
      <c r="V588" s="47" t="s">
        <v>378</v>
      </c>
      <c r="W588" s="47" t="s">
        <v>931</v>
      </c>
      <c r="X588" s="47" t="s">
        <v>932</v>
      </c>
      <c r="Y588" s="47" t="s">
        <v>382</v>
      </c>
      <c r="Z588" s="47" t="s">
        <v>4253</v>
      </c>
      <c r="AA588" s="47" t="s">
        <v>4254</v>
      </c>
      <c r="AB588" s="47" t="s">
        <v>931</v>
      </c>
      <c r="AC588" s="47" t="s">
        <v>379</v>
      </c>
      <c r="AD588" s="47" t="s">
        <v>4560</v>
      </c>
      <c r="AE588" s="47" t="s">
        <v>937</v>
      </c>
      <c r="AF588" s="47" t="s">
        <v>931</v>
      </c>
      <c r="AG588" s="47" t="s">
        <v>4561</v>
      </c>
      <c r="AH588" s="47" t="s">
        <v>364</v>
      </c>
      <c r="AI588" s="47" t="s">
        <v>931</v>
      </c>
      <c r="AJ588" s="47" t="s">
        <v>365</v>
      </c>
      <c r="AK588" s="47" t="s">
        <v>930</v>
      </c>
      <c r="AL588" s="47" t="s">
        <v>931</v>
      </c>
      <c r="AM588" s="47" t="s">
        <v>931</v>
      </c>
      <c r="AN588" s="37"/>
    </row>
    <row r="589" spans="1:40" hidden="1">
      <c r="A589" s="47" t="s">
        <v>982</v>
      </c>
      <c r="B589" s="47" t="s">
        <v>919</v>
      </c>
      <c r="C589" s="47" t="s">
        <v>4562</v>
      </c>
      <c r="D589" s="47">
        <f t="shared" si="16"/>
        <v>161292</v>
      </c>
      <c r="E589" s="47" t="s">
        <v>573</v>
      </c>
      <c r="F589" s="47" t="s">
        <v>574</v>
      </c>
      <c r="G589" s="47" t="s">
        <v>3367</v>
      </c>
      <c r="H589" s="47" t="s">
        <v>1053</v>
      </c>
      <c r="I589" s="47" t="s">
        <v>4372</v>
      </c>
      <c r="J589" s="47" t="s">
        <v>1055</v>
      </c>
      <c r="K589" s="47" t="s">
        <v>163</v>
      </c>
      <c r="L589" s="47" t="s">
        <v>2744</v>
      </c>
      <c r="M589" s="47" t="s">
        <v>1246</v>
      </c>
      <c r="N589" s="47" t="s">
        <v>1058</v>
      </c>
      <c r="O589" s="47" t="s">
        <v>930</v>
      </c>
      <c r="P589" s="47" t="s">
        <v>930</v>
      </c>
      <c r="Q589" s="47"/>
      <c r="R589" s="47"/>
      <c r="S589" s="47"/>
      <c r="T589" s="47" t="s">
        <v>4563</v>
      </c>
      <c r="U589" s="47" t="s">
        <v>4564</v>
      </c>
      <c r="V589" s="47" t="s">
        <v>583</v>
      </c>
      <c r="W589" s="47" t="s">
        <v>931</v>
      </c>
      <c r="X589" s="47" t="s">
        <v>1063</v>
      </c>
      <c r="Y589" s="47" t="s">
        <v>3367</v>
      </c>
      <c r="Z589" s="47" t="s">
        <v>3372</v>
      </c>
      <c r="AA589" s="47" t="s">
        <v>931</v>
      </c>
      <c r="AB589" s="47" t="s">
        <v>931</v>
      </c>
      <c r="AC589" s="47" t="s">
        <v>1052</v>
      </c>
      <c r="AD589" s="47" t="s">
        <v>4375</v>
      </c>
      <c r="AE589" s="47" t="s">
        <v>937</v>
      </c>
      <c r="AF589" s="47" t="s">
        <v>931</v>
      </c>
      <c r="AG589" s="47" t="s">
        <v>931</v>
      </c>
      <c r="AH589" s="47" t="s">
        <v>1067</v>
      </c>
      <c r="AI589" s="47" t="s">
        <v>931</v>
      </c>
      <c r="AJ589" s="47" t="s">
        <v>365</v>
      </c>
      <c r="AK589" s="47" t="s">
        <v>930</v>
      </c>
      <c r="AL589" s="47" t="s">
        <v>931</v>
      </c>
      <c r="AM589" s="47" t="s">
        <v>931</v>
      </c>
      <c r="AN589" s="37"/>
    </row>
    <row r="590" spans="1:40" hidden="1">
      <c r="A590" s="47" t="s">
        <v>982</v>
      </c>
      <c r="B590" s="47" t="s">
        <v>919</v>
      </c>
      <c r="C590" s="47" t="s">
        <v>4565</v>
      </c>
      <c r="D590" s="47">
        <f t="shared" si="16"/>
        <v>161290</v>
      </c>
      <c r="E590" s="47" t="s">
        <v>573</v>
      </c>
      <c r="F590" s="47" t="s">
        <v>574</v>
      </c>
      <c r="G590" s="47" t="s">
        <v>4531</v>
      </c>
      <c r="H590" s="47" t="s">
        <v>1053</v>
      </c>
      <c r="I590" s="47" t="s">
        <v>4454</v>
      </c>
      <c r="J590" s="47" t="s">
        <v>1055</v>
      </c>
      <c r="K590" s="47" t="s">
        <v>163</v>
      </c>
      <c r="L590" s="47" t="s">
        <v>1246</v>
      </c>
      <c r="M590" s="47" t="s">
        <v>1246</v>
      </c>
      <c r="N590" s="47" t="s">
        <v>1058</v>
      </c>
      <c r="O590" s="47" t="s">
        <v>930</v>
      </c>
      <c r="P590" s="47" t="s">
        <v>930</v>
      </c>
      <c r="Q590" s="47"/>
      <c r="R590" s="47"/>
      <c r="S590" s="47"/>
      <c r="T590" s="47" t="s">
        <v>4566</v>
      </c>
      <c r="U590" s="47" t="s">
        <v>4567</v>
      </c>
      <c r="V590" s="47" t="s">
        <v>580</v>
      </c>
      <c r="W590" s="47" t="s">
        <v>931</v>
      </c>
      <c r="X590" s="47" t="s">
        <v>1063</v>
      </c>
      <c r="Y590" s="47" t="s">
        <v>4531</v>
      </c>
      <c r="Z590" s="47" t="s">
        <v>4534</v>
      </c>
      <c r="AA590" s="47" t="s">
        <v>931</v>
      </c>
      <c r="AB590" s="47" t="s">
        <v>931</v>
      </c>
      <c r="AC590" s="47" t="s">
        <v>1052</v>
      </c>
      <c r="AD590" s="47" t="s">
        <v>4460</v>
      </c>
      <c r="AE590" s="47" t="s">
        <v>937</v>
      </c>
      <c r="AF590" s="47" t="s">
        <v>931</v>
      </c>
      <c r="AG590" s="47" t="s">
        <v>931</v>
      </c>
      <c r="AH590" s="47" t="s">
        <v>1067</v>
      </c>
      <c r="AI590" s="47" t="s">
        <v>931</v>
      </c>
      <c r="AJ590" s="47" t="s">
        <v>365</v>
      </c>
      <c r="AK590" s="47" t="s">
        <v>930</v>
      </c>
      <c r="AL590" s="47" t="s">
        <v>931</v>
      </c>
      <c r="AM590" s="47" t="s">
        <v>931</v>
      </c>
      <c r="AN590" s="37"/>
    </row>
    <row r="591" spans="1:40" hidden="1">
      <c r="A591" s="47" t="s">
        <v>982</v>
      </c>
      <c r="B591" s="47" t="s">
        <v>919</v>
      </c>
      <c r="C591" s="47" t="s">
        <v>4568</v>
      </c>
      <c r="D591" s="47">
        <f t="shared" si="16"/>
        <v>161286</v>
      </c>
      <c r="E591" s="47" t="s">
        <v>566</v>
      </c>
      <c r="F591" s="47" t="s">
        <v>567</v>
      </c>
      <c r="G591" s="47" t="s">
        <v>4453</v>
      </c>
      <c r="H591" s="47" t="s">
        <v>1053</v>
      </c>
      <c r="I591" s="47" t="s">
        <v>4569</v>
      </c>
      <c r="J591" s="47" t="s">
        <v>1055</v>
      </c>
      <c r="K591" s="47" t="s">
        <v>163</v>
      </c>
      <c r="L591" s="47" t="s">
        <v>1056</v>
      </c>
      <c r="M591" s="47" t="s">
        <v>1056</v>
      </c>
      <c r="N591" s="47" t="s">
        <v>1058</v>
      </c>
      <c r="O591" s="47" t="s">
        <v>930</v>
      </c>
      <c r="P591" s="47" t="s">
        <v>930</v>
      </c>
      <c r="Q591" s="47" t="str">
        <f>LEFT(T591,9)</f>
        <v xml:space="preserve"> Chiều T6</v>
      </c>
      <c r="R591" s="47" t="s">
        <v>973</v>
      </c>
      <c r="S591" s="47" t="s">
        <v>1140</v>
      </c>
      <c r="T591" s="47" t="s">
        <v>4570</v>
      </c>
      <c r="U591" s="47" t="s">
        <v>4571</v>
      </c>
      <c r="V591" s="47" t="s">
        <v>22</v>
      </c>
      <c r="W591" s="47" t="s">
        <v>931</v>
      </c>
      <c r="X591" s="47" t="s">
        <v>1063</v>
      </c>
      <c r="Y591" s="47" t="s">
        <v>4453</v>
      </c>
      <c r="Z591" s="47" t="s">
        <v>4458</v>
      </c>
      <c r="AA591" s="47" t="s">
        <v>931</v>
      </c>
      <c r="AB591" s="47" t="s">
        <v>931</v>
      </c>
      <c r="AC591" s="47" t="s">
        <v>4459</v>
      </c>
      <c r="AD591" s="47" t="s">
        <v>4572</v>
      </c>
      <c r="AE591" s="47" t="s">
        <v>937</v>
      </c>
      <c r="AF591" s="47" t="s">
        <v>931</v>
      </c>
      <c r="AG591" s="47" t="s">
        <v>931</v>
      </c>
      <c r="AH591" s="47" t="s">
        <v>4461</v>
      </c>
      <c r="AI591" s="47" t="s">
        <v>4475</v>
      </c>
      <c r="AJ591" s="47" t="s">
        <v>931</v>
      </c>
      <c r="AK591" s="47" t="s">
        <v>930</v>
      </c>
      <c r="AL591" s="47" t="s">
        <v>931</v>
      </c>
      <c r="AM591" s="47" t="s">
        <v>931</v>
      </c>
      <c r="AN591" s="37"/>
    </row>
    <row r="592" spans="1:40" hidden="1">
      <c r="A592" s="47" t="s">
        <v>982</v>
      </c>
      <c r="B592" s="47" t="s">
        <v>919</v>
      </c>
      <c r="C592" s="47" t="s">
        <v>4573</v>
      </c>
      <c r="D592" s="47">
        <f t="shared" si="16"/>
        <v>161293</v>
      </c>
      <c r="E592" s="47" t="s">
        <v>573</v>
      </c>
      <c r="F592" s="47" t="s">
        <v>574</v>
      </c>
      <c r="G592" s="47" t="s">
        <v>3605</v>
      </c>
      <c r="H592" s="47" t="s">
        <v>1053</v>
      </c>
      <c r="I592" s="47" t="s">
        <v>4414</v>
      </c>
      <c r="J592" s="47" t="s">
        <v>1055</v>
      </c>
      <c r="K592" s="47" t="s">
        <v>163</v>
      </c>
      <c r="L592" s="47" t="s">
        <v>1258</v>
      </c>
      <c r="M592" s="47" t="s">
        <v>1246</v>
      </c>
      <c r="N592" s="47" t="s">
        <v>1058</v>
      </c>
      <c r="O592" s="47" t="s">
        <v>930</v>
      </c>
      <c r="P592" s="47" t="s">
        <v>930</v>
      </c>
      <c r="Q592" s="47"/>
      <c r="R592" s="47"/>
      <c r="S592" s="47"/>
      <c r="T592" s="47" t="s">
        <v>4574</v>
      </c>
      <c r="U592" s="47" t="s">
        <v>4575</v>
      </c>
      <c r="V592" s="47" t="s">
        <v>584</v>
      </c>
      <c r="W592" s="47" t="s">
        <v>931</v>
      </c>
      <c r="X592" s="47" t="s">
        <v>1063</v>
      </c>
      <c r="Y592" s="47" t="s">
        <v>3605</v>
      </c>
      <c r="Z592" s="47" t="s">
        <v>3609</v>
      </c>
      <c r="AA592" s="47" t="s">
        <v>931</v>
      </c>
      <c r="AB592" s="47" t="s">
        <v>931</v>
      </c>
      <c r="AC592" s="47" t="s">
        <v>1052</v>
      </c>
      <c r="AD592" s="47" t="s">
        <v>4419</v>
      </c>
      <c r="AE592" s="47" t="s">
        <v>937</v>
      </c>
      <c r="AF592" s="47" t="s">
        <v>931</v>
      </c>
      <c r="AG592" s="47" t="s">
        <v>931</v>
      </c>
      <c r="AH592" s="47" t="s">
        <v>1067</v>
      </c>
      <c r="AI592" s="47" t="s">
        <v>931</v>
      </c>
      <c r="AJ592" s="47" t="s">
        <v>365</v>
      </c>
      <c r="AK592" s="47" t="s">
        <v>930</v>
      </c>
      <c r="AL592" s="47" t="s">
        <v>931</v>
      </c>
      <c r="AM592" s="47" t="s">
        <v>931</v>
      </c>
      <c r="AN592" s="37"/>
    </row>
    <row r="593" spans="1:40" hidden="1">
      <c r="A593" s="47" t="s">
        <v>982</v>
      </c>
      <c r="B593" s="47" t="s">
        <v>919</v>
      </c>
      <c r="C593" s="47" t="s">
        <v>4576</v>
      </c>
      <c r="D593" s="47">
        <f t="shared" si="16"/>
        <v>161258</v>
      </c>
      <c r="E593" s="47" t="s">
        <v>555</v>
      </c>
      <c r="F593" s="47" t="s">
        <v>556</v>
      </c>
      <c r="G593" s="47" t="s">
        <v>435</v>
      </c>
      <c r="H593" s="47" t="s">
        <v>1053</v>
      </c>
      <c r="I593" s="47" t="s">
        <v>4482</v>
      </c>
      <c r="J593" s="47" t="s">
        <v>1055</v>
      </c>
      <c r="K593" s="47" t="s">
        <v>163</v>
      </c>
      <c r="L593" s="47" t="s">
        <v>1025</v>
      </c>
      <c r="M593" s="47" t="s">
        <v>1056</v>
      </c>
      <c r="N593" s="47" t="s">
        <v>1058</v>
      </c>
      <c r="O593" s="47" t="s">
        <v>930</v>
      </c>
      <c r="P593" s="47" t="s">
        <v>930</v>
      </c>
      <c r="Q593" s="47" t="str">
        <f>LEFT(T593,9)</f>
        <v xml:space="preserve"> Sáng T2:</v>
      </c>
      <c r="R593" s="47" t="s">
        <v>973</v>
      </c>
      <c r="S593" s="47" t="s">
        <v>1103</v>
      </c>
      <c r="T593" s="47" t="s">
        <v>4577</v>
      </c>
      <c r="U593" s="47" t="s">
        <v>4578</v>
      </c>
      <c r="V593" s="47" t="s">
        <v>23</v>
      </c>
      <c r="W593" s="47" t="s">
        <v>931</v>
      </c>
      <c r="X593" s="47" t="s">
        <v>995</v>
      </c>
      <c r="Y593" s="47" t="s">
        <v>435</v>
      </c>
      <c r="Z593" s="47" t="s">
        <v>4417</v>
      </c>
      <c r="AA593" s="47" t="s">
        <v>4418</v>
      </c>
      <c r="AB593" s="47" t="s">
        <v>931</v>
      </c>
      <c r="AC593" s="47" t="s">
        <v>476</v>
      </c>
      <c r="AD593" s="47" t="s">
        <v>4485</v>
      </c>
      <c r="AE593" s="47" t="s">
        <v>937</v>
      </c>
      <c r="AF593" s="47" t="s">
        <v>931</v>
      </c>
      <c r="AG593" s="47" t="s">
        <v>931</v>
      </c>
      <c r="AH593" s="47" t="s">
        <v>931</v>
      </c>
      <c r="AI593" s="47" t="s">
        <v>931</v>
      </c>
      <c r="AJ593" s="47" t="s">
        <v>931</v>
      </c>
      <c r="AK593" s="47" t="s">
        <v>930</v>
      </c>
      <c r="AL593" s="47" t="s">
        <v>931</v>
      </c>
      <c r="AM593" s="47" t="s">
        <v>931</v>
      </c>
      <c r="AN593" s="37"/>
    </row>
    <row r="594" spans="1:40" hidden="1">
      <c r="A594" s="47" t="s">
        <v>982</v>
      </c>
      <c r="B594" s="47" t="s">
        <v>919</v>
      </c>
      <c r="C594" s="47" t="s">
        <v>4579</v>
      </c>
      <c r="D594" s="47">
        <f t="shared" si="16"/>
        <v>161289</v>
      </c>
      <c r="E594" s="47" t="s">
        <v>573</v>
      </c>
      <c r="F594" s="47" t="s">
        <v>574</v>
      </c>
      <c r="G594" s="47" t="s">
        <v>4580</v>
      </c>
      <c r="H594" s="47" t="s">
        <v>1053</v>
      </c>
      <c r="I594" s="47" t="s">
        <v>4581</v>
      </c>
      <c r="J594" s="47" t="s">
        <v>1055</v>
      </c>
      <c r="K594" s="47" t="s">
        <v>163</v>
      </c>
      <c r="L594" s="47" t="s">
        <v>1246</v>
      </c>
      <c r="M594" s="47" t="s">
        <v>1246</v>
      </c>
      <c r="N594" s="47" t="s">
        <v>1058</v>
      </c>
      <c r="O594" s="47" t="s">
        <v>930</v>
      </c>
      <c r="P594" s="47" t="s">
        <v>930</v>
      </c>
      <c r="Q594" s="47"/>
      <c r="R594" s="47"/>
      <c r="S594" s="47"/>
      <c r="T594" s="47" t="s">
        <v>4582</v>
      </c>
      <c r="U594" s="47" t="s">
        <v>4583</v>
      </c>
      <c r="V594" s="47" t="s">
        <v>578</v>
      </c>
      <c r="W594" s="47" t="s">
        <v>931</v>
      </c>
      <c r="X594" s="47" t="s">
        <v>1063</v>
      </c>
      <c r="Y594" s="47" t="s">
        <v>4580</v>
      </c>
      <c r="Z594" s="47" t="s">
        <v>4584</v>
      </c>
      <c r="AA594" s="47" t="s">
        <v>931</v>
      </c>
      <c r="AB594" s="47" t="s">
        <v>931</v>
      </c>
      <c r="AC594" s="47" t="s">
        <v>1052</v>
      </c>
      <c r="AD594" s="47" t="s">
        <v>4585</v>
      </c>
      <c r="AE594" s="47" t="s">
        <v>937</v>
      </c>
      <c r="AF594" s="47" t="s">
        <v>931</v>
      </c>
      <c r="AG594" s="47" t="s">
        <v>931</v>
      </c>
      <c r="AH594" s="47" t="s">
        <v>1067</v>
      </c>
      <c r="AI594" s="47" t="s">
        <v>931</v>
      </c>
      <c r="AJ594" s="47" t="s">
        <v>365</v>
      </c>
      <c r="AK594" s="47" t="s">
        <v>930</v>
      </c>
      <c r="AL594" s="47" t="s">
        <v>931</v>
      </c>
      <c r="AM594" s="47" t="s">
        <v>931</v>
      </c>
      <c r="AN594" s="37"/>
    </row>
    <row r="595" spans="1:40" hidden="1">
      <c r="A595" s="47" t="s">
        <v>982</v>
      </c>
      <c r="B595" s="47" t="s">
        <v>919</v>
      </c>
      <c r="C595" s="47" t="s">
        <v>4586</v>
      </c>
      <c r="D595" s="47">
        <f t="shared" si="16"/>
        <v>161282</v>
      </c>
      <c r="E595" s="47" t="s">
        <v>566</v>
      </c>
      <c r="F595" s="47" t="s">
        <v>567</v>
      </c>
      <c r="G595" s="47" t="s">
        <v>4524</v>
      </c>
      <c r="H595" s="47" t="s">
        <v>1053</v>
      </c>
      <c r="I595" s="47" t="s">
        <v>4499</v>
      </c>
      <c r="J595" s="47" t="s">
        <v>1055</v>
      </c>
      <c r="K595" s="47" t="s">
        <v>163</v>
      </c>
      <c r="L595" s="47" t="s">
        <v>1057</v>
      </c>
      <c r="M595" s="47" t="s">
        <v>1056</v>
      </c>
      <c r="N595" s="47" t="s">
        <v>1058</v>
      </c>
      <c r="O595" s="47" t="s">
        <v>930</v>
      </c>
      <c r="P595" s="47" t="s">
        <v>930</v>
      </c>
      <c r="Q595" s="47" t="str">
        <f>LEFT(T595,9)</f>
        <v xml:space="preserve"> Sáng T4:</v>
      </c>
      <c r="R595" s="47" t="s">
        <v>973</v>
      </c>
      <c r="S595" s="47" t="s">
        <v>1059</v>
      </c>
      <c r="T595" s="47" t="s">
        <v>4587</v>
      </c>
      <c r="U595" s="47" t="s">
        <v>4588</v>
      </c>
      <c r="V595" s="47" t="s">
        <v>4457</v>
      </c>
      <c r="W595" s="47" t="s">
        <v>931</v>
      </c>
      <c r="X595" s="47" t="s">
        <v>1063</v>
      </c>
      <c r="Y595" s="47" t="s">
        <v>4524</v>
      </c>
      <c r="Z595" s="47" t="s">
        <v>4528</v>
      </c>
      <c r="AA595" s="47" t="s">
        <v>931</v>
      </c>
      <c r="AB595" s="47" t="s">
        <v>931</v>
      </c>
      <c r="AC595" s="47" t="s">
        <v>4459</v>
      </c>
      <c r="AD595" s="47" t="s">
        <v>4504</v>
      </c>
      <c r="AE595" s="47" t="s">
        <v>937</v>
      </c>
      <c r="AF595" s="47" t="s">
        <v>931</v>
      </c>
      <c r="AG595" s="47" t="s">
        <v>931</v>
      </c>
      <c r="AH595" s="47" t="s">
        <v>4461</v>
      </c>
      <c r="AI595" s="47" t="s">
        <v>4475</v>
      </c>
      <c r="AJ595" s="47" t="s">
        <v>931</v>
      </c>
      <c r="AK595" s="47" t="s">
        <v>930</v>
      </c>
      <c r="AL595" s="47" t="s">
        <v>931</v>
      </c>
      <c r="AM595" s="47" t="s">
        <v>931</v>
      </c>
      <c r="AN595" s="37"/>
    </row>
    <row r="596" spans="1:40" hidden="1">
      <c r="A596" s="47" t="s">
        <v>982</v>
      </c>
      <c r="B596" s="47" t="s">
        <v>919</v>
      </c>
      <c r="C596" s="47" t="s">
        <v>4589</v>
      </c>
      <c r="D596" s="47">
        <f t="shared" si="16"/>
        <v>161259</v>
      </c>
      <c r="E596" s="47" t="s">
        <v>555</v>
      </c>
      <c r="F596" s="47" t="s">
        <v>556</v>
      </c>
      <c r="G596" s="47" t="s">
        <v>1251</v>
      </c>
      <c r="H596" s="47" t="s">
        <v>1053</v>
      </c>
      <c r="I596" s="47" t="s">
        <v>4442</v>
      </c>
      <c r="J596" s="47" t="s">
        <v>1055</v>
      </c>
      <c r="K596" s="47" t="s">
        <v>163</v>
      </c>
      <c r="L596" s="47" t="s">
        <v>1056</v>
      </c>
      <c r="M596" s="47" t="s">
        <v>1056</v>
      </c>
      <c r="N596" s="47" t="s">
        <v>1058</v>
      </c>
      <c r="O596" s="47" t="s">
        <v>930</v>
      </c>
      <c r="P596" s="47" t="s">
        <v>930</v>
      </c>
      <c r="Q596" s="47" t="str">
        <f>LEFT(T596,9)</f>
        <v xml:space="preserve"> Chiều T2</v>
      </c>
      <c r="R596" s="47" t="s">
        <v>973</v>
      </c>
      <c r="S596" s="47" t="s">
        <v>1103</v>
      </c>
      <c r="T596" s="47" t="s">
        <v>4590</v>
      </c>
      <c r="U596" s="47" t="s">
        <v>4591</v>
      </c>
      <c r="V596" s="47" t="s">
        <v>23</v>
      </c>
      <c r="W596" s="47" t="s">
        <v>931</v>
      </c>
      <c r="X596" s="47" t="s">
        <v>995</v>
      </c>
      <c r="Y596" s="47" t="s">
        <v>1251</v>
      </c>
      <c r="Z596" s="47" t="s">
        <v>4137</v>
      </c>
      <c r="AA596" s="47" t="s">
        <v>4138</v>
      </c>
      <c r="AB596" s="47" t="s">
        <v>931</v>
      </c>
      <c r="AC596" s="47" t="s">
        <v>476</v>
      </c>
      <c r="AD596" s="47" t="s">
        <v>4446</v>
      </c>
      <c r="AE596" s="47" t="s">
        <v>937</v>
      </c>
      <c r="AF596" s="47" t="s">
        <v>931</v>
      </c>
      <c r="AG596" s="47" t="s">
        <v>4592</v>
      </c>
      <c r="AH596" s="47" t="s">
        <v>998</v>
      </c>
      <c r="AI596" s="47" t="s">
        <v>931</v>
      </c>
      <c r="AJ596" s="47" t="s">
        <v>365</v>
      </c>
      <c r="AK596" s="47" t="s">
        <v>930</v>
      </c>
      <c r="AL596" s="47" t="s">
        <v>931</v>
      </c>
      <c r="AM596" s="47" t="s">
        <v>931</v>
      </c>
      <c r="AN596" s="37"/>
    </row>
    <row r="597" spans="1:40" hidden="1">
      <c r="A597" s="47" t="s">
        <v>982</v>
      </c>
      <c r="B597" s="47" t="s">
        <v>919</v>
      </c>
      <c r="C597" s="47" t="s">
        <v>4593</v>
      </c>
      <c r="D597" s="47">
        <f t="shared" si="16"/>
        <v>161288</v>
      </c>
      <c r="E597" s="47" t="s">
        <v>573</v>
      </c>
      <c r="F597" s="47" t="s">
        <v>574</v>
      </c>
      <c r="G597" s="47" t="s">
        <v>4549</v>
      </c>
      <c r="H597" s="47" t="s">
        <v>1053</v>
      </c>
      <c r="I597" s="47" t="s">
        <v>4482</v>
      </c>
      <c r="J597" s="47" t="s">
        <v>1055</v>
      </c>
      <c r="K597" s="47" t="s">
        <v>163</v>
      </c>
      <c r="L597" s="47" t="s">
        <v>1246</v>
      </c>
      <c r="M597" s="47" t="s">
        <v>1246</v>
      </c>
      <c r="N597" s="47" t="s">
        <v>1058</v>
      </c>
      <c r="O597" s="47" t="s">
        <v>930</v>
      </c>
      <c r="P597" s="47" t="s">
        <v>930</v>
      </c>
      <c r="Q597" s="47"/>
      <c r="R597" s="47"/>
      <c r="S597" s="47"/>
      <c r="T597" s="47" t="s">
        <v>4594</v>
      </c>
      <c r="U597" s="47" t="s">
        <v>4595</v>
      </c>
      <c r="V597" s="47" t="s">
        <v>575</v>
      </c>
      <c r="W597" s="47" t="s">
        <v>931</v>
      </c>
      <c r="X597" s="47" t="s">
        <v>1063</v>
      </c>
      <c r="Y597" s="47" t="s">
        <v>4549</v>
      </c>
      <c r="Z597" s="47" t="s">
        <v>4552</v>
      </c>
      <c r="AA597" s="47" t="s">
        <v>931</v>
      </c>
      <c r="AB597" s="47" t="s">
        <v>931</v>
      </c>
      <c r="AC597" s="47" t="s">
        <v>1052</v>
      </c>
      <c r="AD597" s="47" t="s">
        <v>4485</v>
      </c>
      <c r="AE597" s="47" t="s">
        <v>937</v>
      </c>
      <c r="AF597" s="47" t="s">
        <v>931</v>
      </c>
      <c r="AG597" s="47" t="s">
        <v>931</v>
      </c>
      <c r="AH597" s="47" t="s">
        <v>1067</v>
      </c>
      <c r="AI597" s="47" t="s">
        <v>931</v>
      </c>
      <c r="AJ597" s="47" t="s">
        <v>365</v>
      </c>
      <c r="AK597" s="47" t="s">
        <v>930</v>
      </c>
      <c r="AL597" s="47" t="s">
        <v>931</v>
      </c>
      <c r="AM597" s="47" t="s">
        <v>931</v>
      </c>
      <c r="AN597" s="37"/>
    </row>
    <row r="598" spans="1:40" hidden="1">
      <c r="A598" s="47" t="s">
        <v>982</v>
      </c>
      <c r="B598" s="47" t="s">
        <v>919</v>
      </c>
      <c r="C598" s="47" t="s">
        <v>4596</v>
      </c>
      <c r="D598" s="47">
        <f t="shared" si="16"/>
        <v>161295</v>
      </c>
      <c r="E598" s="47" t="s">
        <v>573</v>
      </c>
      <c r="F598" s="47" t="s">
        <v>574</v>
      </c>
      <c r="G598" s="47" t="s">
        <v>4580</v>
      </c>
      <c r="H598" s="47" t="s">
        <v>1053</v>
      </c>
      <c r="I598" s="47" t="s">
        <v>4434</v>
      </c>
      <c r="J598" s="47" t="s">
        <v>1055</v>
      </c>
      <c r="K598" s="47" t="s">
        <v>163</v>
      </c>
      <c r="L598" s="47" t="s">
        <v>2392</v>
      </c>
      <c r="M598" s="47" t="s">
        <v>1511</v>
      </c>
      <c r="N598" s="47" t="s">
        <v>1058</v>
      </c>
      <c r="O598" s="47" t="s">
        <v>930</v>
      </c>
      <c r="P598" s="47" t="s">
        <v>930</v>
      </c>
      <c r="Q598" s="47"/>
      <c r="R598" s="47"/>
      <c r="S598" s="47"/>
      <c r="T598" s="47" t="s">
        <v>4597</v>
      </c>
      <c r="U598" s="47" t="s">
        <v>4598</v>
      </c>
      <c r="V598" s="47" t="s">
        <v>578</v>
      </c>
      <c r="W598" s="47" t="s">
        <v>931</v>
      </c>
      <c r="X598" s="47" t="s">
        <v>1063</v>
      </c>
      <c r="Y598" s="47" t="s">
        <v>4580</v>
      </c>
      <c r="Z598" s="47" t="s">
        <v>4584</v>
      </c>
      <c r="AA598" s="47" t="s">
        <v>931</v>
      </c>
      <c r="AB598" s="47" t="s">
        <v>931</v>
      </c>
      <c r="AC598" s="47" t="s">
        <v>1052</v>
      </c>
      <c r="AD598" s="47" t="s">
        <v>4439</v>
      </c>
      <c r="AE598" s="47" t="s">
        <v>937</v>
      </c>
      <c r="AF598" s="47" t="s">
        <v>931</v>
      </c>
      <c r="AG598" s="47" t="s">
        <v>931</v>
      </c>
      <c r="AH598" s="47" t="s">
        <v>1067</v>
      </c>
      <c r="AI598" s="47" t="s">
        <v>931</v>
      </c>
      <c r="AJ598" s="47" t="s">
        <v>365</v>
      </c>
      <c r="AK598" s="47" t="s">
        <v>930</v>
      </c>
      <c r="AL598" s="47" t="s">
        <v>931</v>
      </c>
      <c r="AM598" s="47" t="s">
        <v>931</v>
      </c>
      <c r="AN598" s="37"/>
    </row>
    <row r="599" spans="1:40" hidden="1">
      <c r="A599" s="47" t="s">
        <v>982</v>
      </c>
      <c r="B599" s="47" t="s">
        <v>919</v>
      </c>
      <c r="C599" s="47" t="s">
        <v>4599</v>
      </c>
      <c r="D599" s="47">
        <f t="shared" si="16"/>
        <v>161304</v>
      </c>
      <c r="E599" s="47" t="s">
        <v>333</v>
      </c>
      <c r="F599" s="47" t="s">
        <v>334</v>
      </c>
      <c r="G599" s="47" t="s">
        <v>410</v>
      </c>
      <c r="H599" s="47" t="s">
        <v>924</v>
      </c>
      <c r="I599" s="47" t="s">
        <v>4600</v>
      </c>
      <c r="J599" s="47" t="s">
        <v>944</v>
      </c>
      <c r="K599" s="47" t="s">
        <v>163</v>
      </c>
      <c r="L599" s="47" t="s">
        <v>4601</v>
      </c>
      <c r="M599" s="47" t="s">
        <v>2248</v>
      </c>
      <c r="N599" s="47" t="s">
        <v>946</v>
      </c>
      <c r="O599" s="47" t="s">
        <v>930</v>
      </c>
      <c r="P599" s="47" t="s">
        <v>930</v>
      </c>
      <c r="Q599" s="47"/>
      <c r="R599" s="47"/>
      <c r="S599" s="47"/>
      <c r="T599" s="47" t="s">
        <v>4602</v>
      </c>
      <c r="U599" s="47" t="s">
        <v>4603</v>
      </c>
      <c r="V599" s="47" t="s">
        <v>363</v>
      </c>
      <c r="W599" s="47" t="s">
        <v>931</v>
      </c>
      <c r="X599" s="47" t="s">
        <v>995</v>
      </c>
      <c r="Y599" s="47" t="s">
        <v>410</v>
      </c>
      <c r="Z599" s="47" t="s">
        <v>4604</v>
      </c>
      <c r="AA599" s="47" t="s">
        <v>4605</v>
      </c>
      <c r="AB599" s="47" t="s">
        <v>931</v>
      </c>
      <c r="AC599" s="47" t="s">
        <v>37</v>
      </c>
      <c r="AD599" s="47" t="s">
        <v>4606</v>
      </c>
      <c r="AE599" s="47" t="s">
        <v>937</v>
      </c>
      <c r="AF599" s="47" t="s">
        <v>931</v>
      </c>
      <c r="AG599" s="47" t="s">
        <v>4607</v>
      </c>
      <c r="AH599" s="47" t="s">
        <v>364</v>
      </c>
      <c r="AI599" s="47" t="s">
        <v>931</v>
      </c>
      <c r="AJ599" s="47" t="s">
        <v>365</v>
      </c>
      <c r="AK599" s="47" t="s">
        <v>930</v>
      </c>
      <c r="AL599" s="47" t="s">
        <v>931</v>
      </c>
      <c r="AM599" s="47" t="s">
        <v>931</v>
      </c>
      <c r="AN599" s="37"/>
    </row>
    <row r="600" spans="1:40" hidden="1">
      <c r="A600" s="47" t="s">
        <v>982</v>
      </c>
      <c r="B600" s="47" t="s">
        <v>919</v>
      </c>
      <c r="C600" s="47" t="s">
        <v>4608</v>
      </c>
      <c r="D600" s="47">
        <f t="shared" si="16"/>
        <v>161302</v>
      </c>
      <c r="E600" s="47" t="s">
        <v>404</v>
      </c>
      <c r="F600" s="47" t="s">
        <v>405</v>
      </c>
      <c r="G600" s="47" t="s">
        <v>359</v>
      </c>
      <c r="H600" s="47" t="s">
        <v>1100</v>
      </c>
      <c r="I600" s="47" t="s">
        <v>4600</v>
      </c>
      <c r="J600" s="47" t="s">
        <v>944</v>
      </c>
      <c r="K600" s="47" t="s">
        <v>163</v>
      </c>
      <c r="L600" s="47" t="s">
        <v>1015</v>
      </c>
      <c r="M600" s="47" t="s">
        <v>1173</v>
      </c>
      <c r="N600" s="47" t="s">
        <v>946</v>
      </c>
      <c r="O600" s="47" t="s">
        <v>930</v>
      </c>
      <c r="P600" s="47" t="s">
        <v>930</v>
      </c>
      <c r="Q600" s="47"/>
      <c r="R600" s="47"/>
      <c r="S600" s="47"/>
      <c r="T600" s="47" t="s">
        <v>4609</v>
      </c>
      <c r="U600" s="47" t="s">
        <v>4610</v>
      </c>
      <c r="V600" s="47" t="s">
        <v>406</v>
      </c>
      <c r="W600" s="47" t="s">
        <v>931</v>
      </c>
      <c r="X600" s="47" t="s">
        <v>995</v>
      </c>
      <c r="Y600" s="47" t="s">
        <v>359</v>
      </c>
      <c r="Z600" s="47" t="s">
        <v>3965</v>
      </c>
      <c r="AA600" s="47" t="s">
        <v>3966</v>
      </c>
      <c r="AB600" s="47" t="s">
        <v>931</v>
      </c>
      <c r="AC600" s="47" t="s">
        <v>359</v>
      </c>
      <c r="AD600" s="47" t="s">
        <v>4606</v>
      </c>
      <c r="AE600" s="47" t="s">
        <v>937</v>
      </c>
      <c r="AF600" s="47" t="s">
        <v>931</v>
      </c>
      <c r="AG600" s="47" t="s">
        <v>931</v>
      </c>
      <c r="AH600" s="47" t="s">
        <v>364</v>
      </c>
      <c r="AI600" s="47" t="s">
        <v>931</v>
      </c>
      <c r="AJ600" s="47" t="s">
        <v>365</v>
      </c>
      <c r="AK600" s="47" t="s">
        <v>930</v>
      </c>
      <c r="AL600" s="47" t="s">
        <v>931</v>
      </c>
      <c r="AM600" s="47" t="s">
        <v>931</v>
      </c>
      <c r="AN600" s="37"/>
    </row>
    <row r="601" spans="1:40" hidden="1">
      <c r="A601" s="47" t="s">
        <v>982</v>
      </c>
      <c r="B601" s="47" t="s">
        <v>919</v>
      </c>
      <c r="C601" s="47" t="s">
        <v>4611</v>
      </c>
      <c r="D601" s="47">
        <f t="shared" si="16"/>
        <v>161307</v>
      </c>
      <c r="E601" s="47" t="s">
        <v>598</v>
      </c>
      <c r="F601" s="47" t="s">
        <v>599</v>
      </c>
      <c r="G601" s="47" t="s">
        <v>476</v>
      </c>
      <c r="H601" s="47" t="s">
        <v>1053</v>
      </c>
      <c r="I601" s="47" t="s">
        <v>4612</v>
      </c>
      <c r="J601" s="47" t="s">
        <v>944</v>
      </c>
      <c r="K601" s="47" t="s">
        <v>163</v>
      </c>
      <c r="L601" s="47" t="s">
        <v>1056</v>
      </c>
      <c r="M601" s="47" t="s">
        <v>1056</v>
      </c>
      <c r="N601" s="47" t="s">
        <v>1058</v>
      </c>
      <c r="O601" s="47" t="s">
        <v>930</v>
      </c>
      <c r="P601" s="47" t="s">
        <v>930</v>
      </c>
      <c r="Q601" s="47" t="str">
        <f>LEFT(T601,9)</f>
        <v xml:space="preserve"> Sáng T6:</v>
      </c>
      <c r="R601" s="47" t="s">
        <v>973</v>
      </c>
      <c r="S601" s="47" t="s">
        <v>1140</v>
      </c>
      <c r="T601" s="47" t="s">
        <v>4613</v>
      </c>
      <c r="U601" s="47" t="s">
        <v>4614</v>
      </c>
      <c r="V601" s="47" t="s">
        <v>27</v>
      </c>
      <c r="W601" s="47" t="s">
        <v>931</v>
      </c>
      <c r="X601" s="47" t="s">
        <v>995</v>
      </c>
      <c r="Y601" s="47" t="s">
        <v>476</v>
      </c>
      <c r="Z601" s="47" t="s">
        <v>3496</v>
      </c>
      <c r="AA601" s="47" t="s">
        <v>3497</v>
      </c>
      <c r="AB601" s="47" t="s">
        <v>931</v>
      </c>
      <c r="AC601" s="47" t="s">
        <v>476</v>
      </c>
      <c r="AD601" s="47" t="s">
        <v>4615</v>
      </c>
      <c r="AE601" s="47" t="s">
        <v>937</v>
      </c>
      <c r="AF601" s="47" t="s">
        <v>4616</v>
      </c>
      <c r="AG601" s="47" t="s">
        <v>4617</v>
      </c>
      <c r="AH601" s="47" t="s">
        <v>931</v>
      </c>
      <c r="AI601" s="47" t="s">
        <v>931</v>
      </c>
      <c r="AJ601" s="47" t="s">
        <v>931</v>
      </c>
      <c r="AK601" s="47" t="s">
        <v>930</v>
      </c>
      <c r="AL601" s="47" t="s">
        <v>931</v>
      </c>
      <c r="AM601" s="47" t="s">
        <v>931</v>
      </c>
      <c r="AN601" s="37"/>
    </row>
    <row r="602" spans="1:40" hidden="1">
      <c r="A602" s="47" t="s">
        <v>982</v>
      </c>
      <c r="B602" s="47" t="s">
        <v>919</v>
      </c>
      <c r="C602" s="47" t="s">
        <v>4618</v>
      </c>
      <c r="D602" s="47">
        <f t="shared" si="16"/>
        <v>161310</v>
      </c>
      <c r="E602" s="47" t="s">
        <v>411</v>
      </c>
      <c r="F602" s="47" t="s">
        <v>412</v>
      </c>
      <c r="G602" s="47" t="s">
        <v>413</v>
      </c>
      <c r="H602" s="47" t="s">
        <v>969</v>
      </c>
      <c r="I602" s="47" t="s">
        <v>4600</v>
      </c>
      <c r="J602" s="47" t="s">
        <v>944</v>
      </c>
      <c r="K602" s="47" t="s">
        <v>163</v>
      </c>
      <c r="L602" s="47" t="s">
        <v>4619</v>
      </c>
      <c r="M602" s="47" t="s">
        <v>2711</v>
      </c>
      <c r="N602" s="47" t="s">
        <v>946</v>
      </c>
      <c r="O602" s="47" t="s">
        <v>930</v>
      </c>
      <c r="P602" s="47" t="s">
        <v>930</v>
      </c>
      <c r="Q602" s="47"/>
      <c r="R602" s="47"/>
      <c r="S602" s="47"/>
      <c r="T602" s="47" t="s">
        <v>4620</v>
      </c>
      <c r="U602" s="47" t="s">
        <v>4621</v>
      </c>
      <c r="V602" s="47" t="s">
        <v>363</v>
      </c>
      <c r="W602" s="47" t="s">
        <v>931</v>
      </c>
      <c r="X602" s="47" t="s">
        <v>932</v>
      </c>
      <c r="Y602" s="47" t="s">
        <v>413</v>
      </c>
      <c r="Z602" s="47" t="s">
        <v>3418</v>
      </c>
      <c r="AA602" s="47" t="s">
        <v>3419</v>
      </c>
      <c r="AB602" s="47" t="s">
        <v>4622</v>
      </c>
      <c r="AC602" s="47" t="s">
        <v>414</v>
      </c>
      <c r="AD602" s="47" t="s">
        <v>4606</v>
      </c>
      <c r="AE602" s="47" t="s">
        <v>937</v>
      </c>
      <c r="AF602" s="47" t="s">
        <v>931</v>
      </c>
      <c r="AG602" s="47" t="s">
        <v>931</v>
      </c>
      <c r="AH602" s="47" t="s">
        <v>364</v>
      </c>
      <c r="AI602" s="47" t="s">
        <v>931</v>
      </c>
      <c r="AJ602" s="47" t="s">
        <v>365</v>
      </c>
      <c r="AK602" s="47" t="s">
        <v>930</v>
      </c>
      <c r="AL602" s="47" t="s">
        <v>931</v>
      </c>
      <c r="AM602" s="47" t="s">
        <v>931</v>
      </c>
      <c r="AN602" s="37"/>
    </row>
    <row r="603" spans="1:40" hidden="1">
      <c r="A603" s="47" t="s">
        <v>982</v>
      </c>
      <c r="B603" s="47" t="s">
        <v>919</v>
      </c>
      <c r="C603" s="47" t="s">
        <v>4623</v>
      </c>
      <c r="D603" s="47">
        <f t="shared" si="16"/>
        <v>161314</v>
      </c>
      <c r="E603" s="47" t="s">
        <v>421</v>
      </c>
      <c r="F603" s="47" t="s">
        <v>280</v>
      </c>
      <c r="G603" s="47" t="s">
        <v>413</v>
      </c>
      <c r="H603" s="47" t="s">
        <v>969</v>
      </c>
      <c r="I603" s="47" t="s">
        <v>4624</v>
      </c>
      <c r="J603" s="47" t="s">
        <v>1055</v>
      </c>
      <c r="K603" s="47" t="s">
        <v>163</v>
      </c>
      <c r="L603" s="47" t="s">
        <v>3406</v>
      </c>
      <c r="M603" s="47" t="s">
        <v>3377</v>
      </c>
      <c r="N603" s="47" t="s">
        <v>946</v>
      </c>
      <c r="O603" s="47" t="s">
        <v>930</v>
      </c>
      <c r="P603" s="47" t="s">
        <v>930</v>
      </c>
      <c r="Q603" s="47"/>
      <c r="R603" s="47"/>
      <c r="S603" s="47"/>
      <c r="T603" s="47" t="s">
        <v>4625</v>
      </c>
      <c r="U603" s="47" t="s">
        <v>4626</v>
      </c>
      <c r="V603" s="47" t="s">
        <v>378</v>
      </c>
      <c r="W603" s="47" t="s">
        <v>931</v>
      </c>
      <c r="X603" s="47" t="s">
        <v>932</v>
      </c>
      <c r="Y603" s="47" t="s">
        <v>413</v>
      </c>
      <c r="Z603" s="47" t="s">
        <v>3418</v>
      </c>
      <c r="AA603" s="47" t="s">
        <v>3419</v>
      </c>
      <c r="AB603" s="47" t="s">
        <v>4622</v>
      </c>
      <c r="AC603" s="47" t="s">
        <v>414</v>
      </c>
      <c r="AD603" s="47" t="s">
        <v>4627</v>
      </c>
      <c r="AE603" s="47" t="s">
        <v>937</v>
      </c>
      <c r="AF603" s="47" t="s">
        <v>931</v>
      </c>
      <c r="AG603" s="47" t="s">
        <v>931</v>
      </c>
      <c r="AH603" s="47" t="s">
        <v>364</v>
      </c>
      <c r="AI603" s="47" t="s">
        <v>931</v>
      </c>
      <c r="AJ603" s="47" t="s">
        <v>365</v>
      </c>
      <c r="AK603" s="47" t="s">
        <v>930</v>
      </c>
      <c r="AL603" s="47" t="s">
        <v>931</v>
      </c>
      <c r="AM603" s="47" t="s">
        <v>931</v>
      </c>
      <c r="AN603" s="37"/>
    </row>
    <row r="604" spans="1:40" hidden="1">
      <c r="A604" s="47" t="s">
        <v>982</v>
      </c>
      <c r="B604" s="47" t="s">
        <v>919</v>
      </c>
      <c r="C604" s="47" t="s">
        <v>4628</v>
      </c>
      <c r="D604" s="47">
        <f t="shared" si="16"/>
        <v>161306</v>
      </c>
      <c r="E604" s="47" t="s">
        <v>284</v>
      </c>
      <c r="F604" s="47" t="s">
        <v>285</v>
      </c>
      <c r="G604" s="47" t="s">
        <v>373</v>
      </c>
      <c r="H604" s="47" t="s">
        <v>924</v>
      </c>
      <c r="I604" s="47" t="s">
        <v>4600</v>
      </c>
      <c r="J604" s="47" t="s">
        <v>944</v>
      </c>
      <c r="K604" s="47" t="s">
        <v>163</v>
      </c>
      <c r="L604" s="47" t="s">
        <v>2959</v>
      </c>
      <c r="M604" s="47" t="s">
        <v>2725</v>
      </c>
      <c r="N604" s="47" t="s">
        <v>946</v>
      </c>
      <c r="O604" s="47" t="s">
        <v>930</v>
      </c>
      <c r="P604" s="47" t="s">
        <v>930</v>
      </c>
      <c r="Q604" s="47"/>
      <c r="R604" s="47"/>
      <c r="S604" s="47"/>
      <c r="T604" s="47" t="s">
        <v>4629</v>
      </c>
      <c r="U604" s="47" t="s">
        <v>4630</v>
      </c>
      <c r="V604" s="47" t="s">
        <v>403</v>
      </c>
      <c r="W604" s="47" t="s">
        <v>931</v>
      </c>
      <c r="X604" s="47" t="s">
        <v>932</v>
      </c>
      <c r="Y604" s="47" t="s">
        <v>373</v>
      </c>
      <c r="Z604" s="47" t="s">
        <v>3148</v>
      </c>
      <c r="AA604" s="47" t="s">
        <v>3149</v>
      </c>
      <c r="AB604" s="47" t="s">
        <v>4631</v>
      </c>
      <c r="AC604" s="47" t="s">
        <v>373</v>
      </c>
      <c r="AD604" s="47" t="s">
        <v>4606</v>
      </c>
      <c r="AE604" s="47" t="s">
        <v>937</v>
      </c>
      <c r="AF604" s="47" t="s">
        <v>931</v>
      </c>
      <c r="AG604" s="47" t="s">
        <v>4632</v>
      </c>
      <c r="AH604" s="47" t="s">
        <v>364</v>
      </c>
      <c r="AI604" s="47" t="s">
        <v>931</v>
      </c>
      <c r="AJ604" s="47" t="s">
        <v>365</v>
      </c>
      <c r="AK604" s="47" t="s">
        <v>930</v>
      </c>
      <c r="AL604" s="47" t="s">
        <v>931</v>
      </c>
      <c r="AM604" s="47" t="s">
        <v>931</v>
      </c>
      <c r="AN604" s="37"/>
    </row>
    <row r="605" spans="1:40" hidden="1">
      <c r="A605" s="47" t="s">
        <v>982</v>
      </c>
      <c r="B605" s="47" t="s">
        <v>919</v>
      </c>
      <c r="C605" s="47" t="s">
        <v>4633</v>
      </c>
      <c r="D605" s="47">
        <f t="shared" si="16"/>
        <v>161299</v>
      </c>
      <c r="E605" s="47" t="s">
        <v>573</v>
      </c>
      <c r="F605" s="47" t="s">
        <v>574</v>
      </c>
      <c r="G605" s="47" t="s">
        <v>4634</v>
      </c>
      <c r="H605" s="47" t="s">
        <v>1053</v>
      </c>
      <c r="I605" s="47" t="s">
        <v>4635</v>
      </c>
      <c r="J605" s="47" t="s">
        <v>1055</v>
      </c>
      <c r="K605" s="47" t="s">
        <v>163</v>
      </c>
      <c r="L605" s="47" t="s">
        <v>1511</v>
      </c>
      <c r="M605" s="47" t="s">
        <v>1511</v>
      </c>
      <c r="N605" s="47" t="s">
        <v>1058</v>
      </c>
      <c r="O605" s="47" t="s">
        <v>930</v>
      </c>
      <c r="P605" s="47" t="s">
        <v>930</v>
      </c>
      <c r="Q605" s="47"/>
      <c r="R605" s="47"/>
      <c r="S605" s="47"/>
      <c r="T605" s="47" t="s">
        <v>4636</v>
      </c>
      <c r="U605" s="47" t="s">
        <v>4637</v>
      </c>
      <c r="V605" s="47" t="s">
        <v>584</v>
      </c>
      <c r="W605" s="47" t="s">
        <v>931</v>
      </c>
      <c r="X605" s="47" t="s">
        <v>1063</v>
      </c>
      <c r="Y605" s="47" t="s">
        <v>4634</v>
      </c>
      <c r="Z605" s="47" t="s">
        <v>4638</v>
      </c>
      <c r="AA605" s="47" t="s">
        <v>931</v>
      </c>
      <c r="AB605" s="47" t="s">
        <v>931</v>
      </c>
      <c r="AC605" s="47" t="s">
        <v>1052</v>
      </c>
      <c r="AD605" s="47" t="s">
        <v>4639</v>
      </c>
      <c r="AE605" s="47" t="s">
        <v>937</v>
      </c>
      <c r="AF605" s="47" t="s">
        <v>931</v>
      </c>
      <c r="AG605" s="47" t="s">
        <v>931</v>
      </c>
      <c r="AH605" s="47" t="s">
        <v>1067</v>
      </c>
      <c r="AI605" s="47" t="s">
        <v>931</v>
      </c>
      <c r="AJ605" s="47" t="s">
        <v>365</v>
      </c>
      <c r="AK605" s="47" t="s">
        <v>930</v>
      </c>
      <c r="AL605" s="47" t="s">
        <v>931</v>
      </c>
      <c r="AM605" s="47" t="s">
        <v>931</v>
      </c>
      <c r="AN605" s="37"/>
    </row>
    <row r="606" spans="1:40" hidden="1">
      <c r="A606" s="47" t="s">
        <v>982</v>
      </c>
      <c r="B606" s="47" t="s">
        <v>919</v>
      </c>
      <c r="C606" s="47" t="s">
        <v>4640</v>
      </c>
      <c r="D606" s="47">
        <f t="shared" si="16"/>
        <v>161315</v>
      </c>
      <c r="E606" s="47" t="s">
        <v>235</v>
      </c>
      <c r="F606" s="47" t="s">
        <v>236</v>
      </c>
      <c r="G606" s="47" t="s">
        <v>387</v>
      </c>
      <c r="H606" s="47" t="s">
        <v>969</v>
      </c>
      <c r="I606" s="47" t="s">
        <v>4641</v>
      </c>
      <c r="J606" s="47" t="s">
        <v>1055</v>
      </c>
      <c r="K606" s="47" t="s">
        <v>163</v>
      </c>
      <c r="L606" s="47" t="s">
        <v>4064</v>
      </c>
      <c r="M606" s="47" t="s">
        <v>4271</v>
      </c>
      <c r="N606" s="47" t="s">
        <v>946</v>
      </c>
      <c r="O606" s="47" t="s">
        <v>930</v>
      </c>
      <c r="P606" s="47" t="s">
        <v>930</v>
      </c>
      <c r="Q606" s="47"/>
      <c r="R606" s="47"/>
      <c r="S606" s="47"/>
      <c r="T606" s="47" t="s">
        <v>4642</v>
      </c>
      <c r="U606" s="47" t="s">
        <v>4643</v>
      </c>
      <c r="V606" s="47" t="s">
        <v>425</v>
      </c>
      <c r="W606" s="47" t="s">
        <v>931</v>
      </c>
      <c r="X606" s="47" t="s">
        <v>932</v>
      </c>
      <c r="Y606" s="47" t="s">
        <v>387</v>
      </c>
      <c r="Z606" s="47" t="s">
        <v>1148</v>
      </c>
      <c r="AA606" s="47" t="s">
        <v>1149</v>
      </c>
      <c r="AB606" s="47" t="s">
        <v>931</v>
      </c>
      <c r="AC606" s="47" t="s">
        <v>387</v>
      </c>
      <c r="AD606" s="47" t="s">
        <v>4644</v>
      </c>
      <c r="AE606" s="47" t="s">
        <v>937</v>
      </c>
      <c r="AF606" s="47" t="s">
        <v>931</v>
      </c>
      <c r="AG606" s="47" t="s">
        <v>931</v>
      </c>
      <c r="AH606" s="47" t="s">
        <v>364</v>
      </c>
      <c r="AI606" s="47" t="s">
        <v>931</v>
      </c>
      <c r="AJ606" s="47" t="s">
        <v>365</v>
      </c>
      <c r="AK606" s="47" t="s">
        <v>930</v>
      </c>
      <c r="AL606" s="47" t="s">
        <v>931</v>
      </c>
      <c r="AM606" s="47" t="s">
        <v>931</v>
      </c>
      <c r="AN606" s="37"/>
    </row>
    <row r="607" spans="1:40" hidden="1">
      <c r="A607" s="47" t="s">
        <v>982</v>
      </c>
      <c r="B607" s="47" t="s">
        <v>919</v>
      </c>
      <c r="C607" s="47" t="s">
        <v>4645</v>
      </c>
      <c r="D607" s="47">
        <f t="shared" si="16"/>
        <v>161298</v>
      </c>
      <c r="E607" s="47" t="s">
        <v>573</v>
      </c>
      <c r="F607" s="47" t="s">
        <v>574</v>
      </c>
      <c r="G607" s="47" t="s">
        <v>4646</v>
      </c>
      <c r="H607" s="47" t="s">
        <v>1053</v>
      </c>
      <c r="I607" s="47" t="s">
        <v>4647</v>
      </c>
      <c r="J607" s="47" t="s">
        <v>1055</v>
      </c>
      <c r="K607" s="47" t="s">
        <v>163</v>
      </c>
      <c r="L607" s="47" t="s">
        <v>2392</v>
      </c>
      <c r="M607" s="47" t="s">
        <v>1511</v>
      </c>
      <c r="N607" s="47" t="s">
        <v>1058</v>
      </c>
      <c r="O607" s="47" t="s">
        <v>930</v>
      </c>
      <c r="P607" s="47" t="s">
        <v>930</v>
      </c>
      <c r="Q607" s="47"/>
      <c r="R607" s="47"/>
      <c r="S607" s="47"/>
      <c r="T607" s="47" t="s">
        <v>4648</v>
      </c>
      <c r="U607" s="47" t="s">
        <v>4649</v>
      </c>
      <c r="V607" s="47" t="s">
        <v>583</v>
      </c>
      <c r="W607" s="47" t="s">
        <v>931</v>
      </c>
      <c r="X607" s="47" t="s">
        <v>1063</v>
      </c>
      <c r="Y607" s="47" t="s">
        <v>4646</v>
      </c>
      <c r="Z607" s="47" t="s">
        <v>4650</v>
      </c>
      <c r="AA607" s="47" t="s">
        <v>931</v>
      </c>
      <c r="AB607" s="47" t="s">
        <v>931</v>
      </c>
      <c r="AC607" s="47" t="s">
        <v>1052</v>
      </c>
      <c r="AD607" s="47" t="s">
        <v>4651</v>
      </c>
      <c r="AE607" s="47" t="s">
        <v>937</v>
      </c>
      <c r="AF607" s="47" t="s">
        <v>931</v>
      </c>
      <c r="AG607" s="47" t="s">
        <v>931</v>
      </c>
      <c r="AH607" s="47" t="s">
        <v>1067</v>
      </c>
      <c r="AI607" s="47" t="s">
        <v>931</v>
      </c>
      <c r="AJ607" s="47" t="s">
        <v>365</v>
      </c>
      <c r="AK607" s="47" t="s">
        <v>930</v>
      </c>
      <c r="AL607" s="47" t="s">
        <v>931</v>
      </c>
      <c r="AM607" s="47" t="s">
        <v>931</v>
      </c>
      <c r="AN607" s="37"/>
    </row>
    <row r="608" spans="1:40" hidden="1">
      <c r="A608" s="47" t="s">
        <v>982</v>
      </c>
      <c r="B608" s="47" t="s">
        <v>919</v>
      </c>
      <c r="C608" s="47" t="s">
        <v>4652</v>
      </c>
      <c r="D608" s="47">
        <f t="shared" si="16"/>
        <v>161311</v>
      </c>
      <c r="E608" s="47" t="s">
        <v>88</v>
      </c>
      <c r="F608" s="47" t="s">
        <v>415</v>
      </c>
      <c r="G608" s="47" t="s">
        <v>418</v>
      </c>
      <c r="H608" s="47" t="s">
        <v>924</v>
      </c>
      <c r="I608" s="47" t="s">
        <v>4653</v>
      </c>
      <c r="J608" s="47" t="s">
        <v>1055</v>
      </c>
      <c r="K608" s="47" t="s">
        <v>163</v>
      </c>
      <c r="L608" s="47" t="s">
        <v>4428</v>
      </c>
      <c r="M608" s="47" t="s">
        <v>2753</v>
      </c>
      <c r="N608" s="47" t="s">
        <v>946</v>
      </c>
      <c r="O608" s="47" t="s">
        <v>930</v>
      </c>
      <c r="P608" s="47" t="s">
        <v>930</v>
      </c>
      <c r="Q608" s="47"/>
      <c r="R608" s="47"/>
      <c r="S608" s="47"/>
      <c r="T608" s="47" t="s">
        <v>4654</v>
      </c>
      <c r="U608" s="47" t="s">
        <v>4655</v>
      </c>
      <c r="V608" s="47" t="s">
        <v>378</v>
      </c>
      <c r="W608" s="47" t="s">
        <v>931</v>
      </c>
      <c r="X608" s="47" t="s">
        <v>932</v>
      </c>
      <c r="Y608" s="47" t="s">
        <v>418</v>
      </c>
      <c r="Z608" s="47" t="s">
        <v>3535</v>
      </c>
      <c r="AA608" s="47" t="s">
        <v>3536</v>
      </c>
      <c r="AB608" s="47" t="s">
        <v>931</v>
      </c>
      <c r="AC608" s="47" t="s">
        <v>409</v>
      </c>
      <c r="AD608" s="47" t="s">
        <v>4656</v>
      </c>
      <c r="AE608" s="47" t="s">
        <v>3479</v>
      </c>
      <c r="AF608" s="47" t="s">
        <v>931</v>
      </c>
      <c r="AG608" s="47" t="s">
        <v>4657</v>
      </c>
      <c r="AH608" s="47" t="s">
        <v>364</v>
      </c>
      <c r="AI608" s="47" t="s">
        <v>931</v>
      </c>
      <c r="AJ608" s="47" t="s">
        <v>365</v>
      </c>
      <c r="AK608" s="47" t="s">
        <v>930</v>
      </c>
      <c r="AL608" s="47" t="s">
        <v>931</v>
      </c>
      <c r="AM608" s="47" t="s">
        <v>931</v>
      </c>
      <c r="AN608" s="37"/>
    </row>
    <row r="609" spans="1:40" hidden="1">
      <c r="A609" s="47" t="s">
        <v>982</v>
      </c>
      <c r="B609" s="47" t="s">
        <v>919</v>
      </c>
      <c r="C609" s="47" t="s">
        <v>4658</v>
      </c>
      <c r="D609" s="47">
        <f t="shared" si="16"/>
        <v>161303</v>
      </c>
      <c r="E609" s="47" t="s">
        <v>118</v>
      </c>
      <c r="F609" s="47" t="s">
        <v>407</v>
      </c>
      <c r="G609" s="47" t="s">
        <v>408</v>
      </c>
      <c r="H609" s="47" t="s">
        <v>1287</v>
      </c>
      <c r="I609" s="47" t="s">
        <v>4600</v>
      </c>
      <c r="J609" s="47" t="s">
        <v>944</v>
      </c>
      <c r="K609" s="47" t="s">
        <v>163</v>
      </c>
      <c r="L609" s="47" t="s">
        <v>4108</v>
      </c>
      <c r="M609" s="47" t="s">
        <v>2959</v>
      </c>
      <c r="N609" s="47" t="s">
        <v>946</v>
      </c>
      <c r="O609" s="47" t="s">
        <v>930</v>
      </c>
      <c r="P609" s="47" t="s">
        <v>930</v>
      </c>
      <c r="Q609" s="47"/>
      <c r="R609" s="47"/>
      <c r="S609" s="47"/>
      <c r="T609" s="47" t="s">
        <v>4659</v>
      </c>
      <c r="U609" s="47" t="s">
        <v>4660</v>
      </c>
      <c r="V609" s="47" t="s">
        <v>406</v>
      </c>
      <c r="W609" s="47" t="s">
        <v>931</v>
      </c>
      <c r="X609" s="47" t="s">
        <v>932</v>
      </c>
      <c r="Y609" s="47" t="s">
        <v>408</v>
      </c>
      <c r="Z609" s="47" t="s">
        <v>4661</v>
      </c>
      <c r="AA609" s="47" t="s">
        <v>4662</v>
      </c>
      <c r="AB609" s="47" t="s">
        <v>931</v>
      </c>
      <c r="AC609" s="47" t="s">
        <v>409</v>
      </c>
      <c r="AD609" s="47" t="s">
        <v>4606</v>
      </c>
      <c r="AE609" s="47" t="s">
        <v>937</v>
      </c>
      <c r="AF609" s="47" t="s">
        <v>931</v>
      </c>
      <c r="AG609" s="47" t="s">
        <v>4663</v>
      </c>
      <c r="AH609" s="47" t="s">
        <v>364</v>
      </c>
      <c r="AI609" s="47" t="s">
        <v>931</v>
      </c>
      <c r="AJ609" s="47" t="s">
        <v>365</v>
      </c>
      <c r="AK609" s="47" t="s">
        <v>930</v>
      </c>
      <c r="AL609" s="47" t="s">
        <v>931</v>
      </c>
      <c r="AM609" s="47" t="s">
        <v>931</v>
      </c>
      <c r="AN609" s="37"/>
    </row>
    <row r="610" spans="1:40" hidden="1">
      <c r="A610" s="47" t="s">
        <v>982</v>
      </c>
      <c r="B610" s="47" t="s">
        <v>919</v>
      </c>
      <c r="C610" s="47" t="s">
        <v>4664</v>
      </c>
      <c r="D610" s="47">
        <f t="shared" si="16"/>
        <v>161297</v>
      </c>
      <c r="E610" s="47" t="s">
        <v>573</v>
      </c>
      <c r="F610" s="47" t="s">
        <v>574</v>
      </c>
      <c r="G610" s="47" t="s">
        <v>4665</v>
      </c>
      <c r="H610" s="47" t="s">
        <v>1053</v>
      </c>
      <c r="I610" s="47" t="s">
        <v>4666</v>
      </c>
      <c r="J610" s="47" t="s">
        <v>1055</v>
      </c>
      <c r="K610" s="47" t="s">
        <v>163</v>
      </c>
      <c r="L610" s="47" t="s">
        <v>2392</v>
      </c>
      <c r="M610" s="47" t="s">
        <v>1511</v>
      </c>
      <c r="N610" s="47" t="s">
        <v>1058</v>
      </c>
      <c r="O610" s="47" t="s">
        <v>930</v>
      </c>
      <c r="P610" s="47" t="s">
        <v>930</v>
      </c>
      <c r="Q610" s="47"/>
      <c r="R610" s="47"/>
      <c r="S610" s="47"/>
      <c r="T610" s="47" t="s">
        <v>4667</v>
      </c>
      <c r="U610" s="47" t="s">
        <v>4668</v>
      </c>
      <c r="V610" s="47" t="s">
        <v>581</v>
      </c>
      <c r="W610" s="47" t="s">
        <v>931</v>
      </c>
      <c r="X610" s="47" t="s">
        <v>1063</v>
      </c>
      <c r="Y610" s="47" t="s">
        <v>4665</v>
      </c>
      <c r="Z610" s="47" t="s">
        <v>4669</v>
      </c>
      <c r="AA610" s="47" t="s">
        <v>931</v>
      </c>
      <c r="AB610" s="47" t="s">
        <v>931</v>
      </c>
      <c r="AC610" s="47" t="s">
        <v>1052</v>
      </c>
      <c r="AD610" s="47" t="s">
        <v>4670</v>
      </c>
      <c r="AE610" s="47" t="s">
        <v>937</v>
      </c>
      <c r="AF610" s="47" t="s">
        <v>931</v>
      </c>
      <c r="AG610" s="47" t="s">
        <v>931</v>
      </c>
      <c r="AH610" s="47" t="s">
        <v>1067</v>
      </c>
      <c r="AI610" s="47" t="s">
        <v>931</v>
      </c>
      <c r="AJ610" s="47" t="s">
        <v>365</v>
      </c>
      <c r="AK610" s="47" t="s">
        <v>930</v>
      </c>
      <c r="AL610" s="47" t="s">
        <v>931</v>
      </c>
      <c r="AM610" s="47" t="s">
        <v>931</v>
      </c>
      <c r="AN610" s="37"/>
    </row>
    <row r="611" spans="1:40" hidden="1">
      <c r="A611" s="47" t="s">
        <v>982</v>
      </c>
      <c r="B611" s="47" t="s">
        <v>919</v>
      </c>
      <c r="C611" s="47" t="s">
        <v>4671</v>
      </c>
      <c r="D611" s="47">
        <f t="shared" si="16"/>
        <v>161305</v>
      </c>
      <c r="E611" s="47" t="s">
        <v>595</v>
      </c>
      <c r="F611" s="47" t="s">
        <v>596</v>
      </c>
      <c r="G611" s="47" t="s">
        <v>877</v>
      </c>
      <c r="H611" s="47" t="s">
        <v>3837</v>
      </c>
      <c r="I611" s="47" t="s">
        <v>4600</v>
      </c>
      <c r="J611" s="47" t="s">
        <v>944</v>
      </c>
      <c r="K611" s="47" t="s">
        <v>163</v>
      </c>
      <c r="L611" s="47" t="s">
        <v>4672</v>
      </c>
      <c r="M611" s="47" t="s">
        <v>2711</v>
      </c>
      <c r="N611" s="47" t="s">
        <v>946</v>
      </c>
      <c r="O611" s="47" t="s">
        <v>930</v>
      </c>
      <c r="P611" s="47" t="s">
        <v>930</v>
      </c>
      <c r="Q611" s="47"/>
      <c r="R611" s="47"/>
      <c r="S611" s="47"/>
      <c r="T611" s="47" t="s">
        <v>4673</v>
      </c>
      <c r="U611" s="47" t="s">
        <v>4674</v>
      </c>
      <c r="V611" s="47" t="s">
        <v>597</v>
      </c>
      <c r="W611" s="47" t="s">
        <v>931</v>
      </c>
      <c r="X611" s="47" t="s">
        <v>932</v>
      </c>
      <c r="Y611" s="47" t="s">
        <v>877</v>
      </c>
      <c r="Z611" s="47" t="s">
        <v>4675</v>
      </c>
      <c r="AA611" s="47" t="s">
        <v>4676</v>
      </c>
      <c r="AB611" s="47" t="s">
        <v>931</v>
      </c>
      <c r="AC611" s="47" t="s">
        <v>837</v>
      </c>
      <c r="AD611" s="47" t="s">
        <v>4606</v>
      </c>
      <c r="AE611" s="47" t="s">
        <v>1292</v>
      </c>
      <c r="AF611" s="47" t="s">
        <v>4677</v>
      </c>
      <c r="AG611" s="47" t="s">
        <v>4678</v>
      </c>
      <c r="AH611" s="47" t="s">
        <v>1067</v>
      </c>
      <c r="AI611" s="47" t="s">
        <v>931</v>
      </c>
      <c r="AJ611" s="47" t="s">
        <v>365</v>
      </c>
      <c r="AK611" s="47" t="s">
        <v>930</v>
      </c>
      <c r="AL611" s="47" t="s">
        <v>931</v>
      </c>
      <c r="AM611" s="47" t="s">
        <v>931</v>
      </c>
      <c r="AN611" s="37"/>
    </row>
    <row r="612" spans="1:40" hidden="1">
      <c r="A612" s="47" t="s">
        <v>982</v>
      </c>
      <c r="B612" s="47" t="s">
        <v>919</v>
      </c>
      <c r="C612" s="47" t="s">
        <v>4679</v>
      </c>
      <c r="D612" s="47">
        <f t="shared" si="16"/>
        <v>161300</v>
      </c>
      <c r="E612" s="47" t="s">
        <v>573</v>
      </c>
      <c r="F612" s="47" t="s">
        <v>574</v>
      </c>
      <c r="G612" s="47" t="s">
        <v>3690</v>
      </c>
      <c r="H612" s="47" t="s">
        <v>1053</v>
      </c>
      <c r="I612" s="47" t="s">
        <v>4680</v>
      </c>
      <c r="J612" s="47" t="s">
        <v>1055</v>
      </c>
      <c r="K612" s="47" t="s">
        <v>163</v>
      </c>
      <c r="L612" s="47" t="s">
        <v>2392</v>
      </c>
      <c r="M612" s="47" t="s">
        <v>1511</v>
      </c>
      <c r="N612" s="47" t="s">
        <v>1058</v>
      </c>
      <c r="O612" s="47" t="s">
        <v>930</v>
      </c>
      <c r="P612" s="47" t="s">
        <v>930</v>
      </c>
      <c r="Q612" s="47"/>
      <c r="R612" s="47"/>
      <c r="S612" s="47"/>
      <c r="T612" s="47" t="s">
        <v>4681</v>
      </c>
      <c r="U612" s="47" t="s">
        <v>4682</v>
      </c>
      <c r="V612" s="47" t="s">
        <v>594</v>
      </c>
      <c r="W612" s="47" t="s">
        <v>931</v>
      </c>
      <c r="X612" s="47" t="s">
        <v>1063</v>
      </c>
      <c r="Y612" s="47" t="s">
        <v>3690</v>
      </c>
      <c r="Z612" s="47" t="s">
        <v>3694</v>
      </c>
      <c r="AA612" s="47" t="s">
        <v>931</v>
      </c>
      <c r="AB612" s="47" t="s">
        <v>931</v>
      </c>
      <c r="AC612" s="47" t="s">
        <v>1052</v>
      </c>
      <c r="AD612" s="47" t="s">
        <v>4683</v>
      </c>
      <c r="AE612" s="47" t="s">
        <v>937</v>
      </c>
      <c r="AF612" s="47" t="s">
        <v>931</v>
      </c>
      <c r="AG612" s="47" t="s">
        <v>931</v>
      </c>
      <c r="AH612" s="47" t="s">
        <v>1067</v>
      </c>
      <c r="AI612" s="47" t="s">
        <v>931</v>
      </c>
      <c r="AJ612" s="47" t="s">
        <v>365</v>
      </c>
      <c r="AK612" s="47" t="s">
        <v>930</v>
      </c>
      <c r="AL612" s="47" t="s">
        <v>931</v>
      </c>
      <c r="AM612" s="47" t="s">
        <v>931</v>
      </c>
      <c r="AN612" s="37"/>
    </row>
    <row r="613" spans="1:40" hidden="1">
      <c r="A613" s="47" t="s">
        <v>982</v>
      </c>
      <c r="B613" s="47" t="s">
        <v>919</v>
      </c>
      <c r="C613" s="47" t="s">
        <v>4684</v>
      </c>
      <c r="D613" s="47">
        <f t="shared" si="16"/>
        <v>161308</v>
      </c>
      <c r="E613" s="47" t="s">
        <v>598</v>
      </c>
      <c r="F613" s="47" t="s">
        <v>599</v>
      </c>
      <c r="G613" s="47" t="s">
        <v>448</v>
      </c>
      <c r="H613" s="47" t="s">
        <v>1053</v>
      </c>
      <c r="I613" s="47" t="s">
        <v>4685</v>
      </c>
      <c r="J613" s="47" t="s">
        <v>944</v>
      </c>
      <c r="K613" s="47" t="s">
        <v>163</v>
      </c>
      <c r="L613" s="47" t="s">
        <v>1056</v>
      </c>
      <c r="M613" s="47" t="s">
        <v>1056</v>
      </c>
      <c r="N613" s="47" t="s">
        <v>1058</v>
      </c>
      <c r="O613" s="47" t="s">
        <v>930</v>
      </c>
      <c r="P613" s="47" t="s">
        <v>930</v>
      </c>
      <c r="Q613" s="47" t="str">
        <f>LEFT(T613,9)</f>
        <v xml:space="preserve"> Sáng T6:</v>
      </c>
      <c r="R613" s="47" t="s">
        <v>973</v>
      </c>
      <c r="S613" s="47" t="s">
        <v>1140</v>
      </c>
      <c r="T613" s="47" t="s">
        <v>4686</v>
      </c>
      <c r="U613" s="47" t="s">
        <v>4687</v>
      </c>
      <c r="V613" s="47" t="s">
        <v>483</v>
      </c>
      <c r="W613" s="47" t="s">
        <v>931</v>
      </c>
      <c r="X613" s="47" t="s">
        <v>995</v>
      </c>
      <c r="Y613" s="47" t="s">
        <v>448</v>
      </c>
      <c r="Z613" s="47" t="s">
        <v>4437</v>
      </c>
      <c r="AA613" s="47" t="s">
        <v>4438</v>
      </c>
      <c r="AB613" s="47" t="s">
        <v>931</v>
      </c>
      <c r="AC613" s="47" t="s">
        <v>476</v>
      </c>
      <c r="AD613" s="47" t="s">
        <v>4688</v>
      </c>
      <c r="AE613" s="47" t="s">
        <v>937</v>
      </c>
      <c r="AF613" s="47" t="s">
        <v>931</v>
      </c>
      <c r="AG613" s="47" t="s">
        <v>4689</v>
      </c>
      <c r="AH613" s="47" t="s">
        <v>998</v>
      </c>
      <c r="AI613" s="47" t="s">
        <v>931</v>
      </c>
      <c r="AJ613" s="47" t="s">
        <v>931</v>
      </c>
      <c r="AK613" s="47" t="s">
        <v>930</v>
      </c>
      <c r="AL613" s="47" t="s">
        <v>931</v>
      </c>
      <c r="AM613" s="47" t="s">
        <v>931</v>
      </c>
      <c r="AN613" s="37"/>
    </row>
    <row r="614" spans="1:40" hidden="1">
      <c r="A614" s="47" t="s">
        <v>982</v>
      </c>
      <c r="B614" s="47" t="s">
        <v>919</v>
      </c>
      <c r="C614" s="47" t="s">
        <v>4690</v>
      </c>
      <c r="D614" s="47">
        <f t="shared" si="16"/>
        <v>161301</v>
      </c>
      <c r="E614" s="47" t="s">
        <v>137</v>
      </c>
      <c r="F614" s="47" t="s">
        <v>400</v>
      </c>
      <c r="G614" s="47" t="s">
        <v>402</v>
      </c>
      <c r="H614" s="47" t="s">
        <v>924</v>
      </c>
      <c r="I614" s="47" t="s">
        <v>4600</v>
      </c>
      <c r="J614" s="47" t="s">
        <v>944</v>
      </c>
      <c r="K614" s="47" t="s">
        <v>163</v>
      </c>
      <c r="L614" s="47" t="s">
        <v>1269</v>
      </c>
      <c r="M614" s="47" t="s">
        <v>1173</v>
      </c>
      <c r="N614" s="47" t="s">
        <v>946</v>
      </c>
      <c r="O614" s="47" t="s">
        <v>930</v>
      </c>
      <c r="P614" s="47" t="s">
        <v>930</v>
      </c>
      <c r="Q614" s="47"/>
      <c r="R614" s="47"/>
      <c r="S614" s="47"/>
      <c r="T614" s="47" t="s">
        <v>4691</v>
      </c>
      <c r="U614" s="47" t="s">
        <v>4692</v>
      </c>
      <c r="V614" s="47" t="s">
        <v>403</v>
      </c>
      <c r="W614" s="47" t="s">
        <v>931</v>
      </c>
      <c r="X614" s="47" t="s">
        <v>995</v>
      </c>
      <c r="Y614" s="47" t="s">
        <v>402</v>
      </c>
      <c r="Z614" s="47" t="s">
        <v>3801</v>
      </c>
      <c r="AA614" s="47" t="s">
        <v>3802</v>
      </c>
      <c r="AB614" s="47" t="s">
        <v>838</v>
      </c>
      <c r="AC614" s="47" t="s">
        <v>402</v>
      </c>
      <c r="AD614" s="47" t="s">
        <v>4606</v>
      </c>
      <c r="AE614" s="47" t="s">
        <v>937</v>
      </c>
      <c r="AF614" s="47" t="s">
        <v>4693</v>
      </c>
      <c r="AG614" s="47" t="s">
        <v>4694</v>
      </c>
      <c r="AH614" s="47" t="s">
        <v>364</v>
      </c>
      <c r="AI614" s="47" t="s">
        <v>931</v>
      </c>
      <c r="AJ614" s="47" t="s">
        <v>365</v>
      </c>
      <c r="AK614" s="47" t="s">
        <v>930</v>
      </c>
      <c r="AL614" s="47" t="s">
        <v>931</v>
      </c>
      <c r="AM614" s="47" t="s">
        <v>931</v>
      </c>
      <c r="AN614" s="37"/>
    </row>
    <row r="615" spans="1:40" hidden="1">
      <c r="A615" s="47" t="s">
        <v>982</v>
      </c>
      <c r="B615" s="47" t="s">
        <v>919</v>
      </c>
      <c r="C615" s="47" t="s">
        <v>4695</v>
      </c>
      <c r="D615" s="47">
        <f t="shared" si="16"/>
        <v>161309</v>
      </c>
      <c r="E615" s="47" t="s">
        <v>598</v>
      </c>
      <c r="F615" s="47" t="s">
        <v>599</v>
      </c>
      <c r="G615" s="47" t="s">
        <v>410</v>
      </c>
      <c r="H615" s="47" t="s">
        <v>1053</v>
      </c>
      <c r="I615" s="47" t="s">
        <v>4696</v>
      </c>
      <c r="J615" s="47" t="s">
        <v>944</v>
      </c>
      <c r="K615" s="47" t="s">
        <v>163</v>
      </c>
      <c r="L615" s="47" t="s">
        <v>1056</v>
      </c>
      <c r="M615" s="47" t="s">
        <v>1056</v>
      </c>
      <c r="N615" s="47" t="s">
        <v>1058</v>
      </c>
      <c r="O615" s="47" t="s">
        <v>930</v>
      </c>
      <c r="P615" s="47" t="s">
        <v>930</v>
      </c>
      <c r="Q615" s="47" t="str">
        <f>LEFT(T615,9)</f>
        <v xml:space="preserve"> Chiều T6</v>
      </c>
      <c r="R615" s="47" t="s">
        <v>973</v>
      </c>
      <c r="S615" s="47" t="s">
        <v>1140</v>
      </c>
      <c r="T615" s="47" t="s">
        <v>4697</v>
      </c>
      <c r="U615" s="47" t="s">
        <v>4698</v>
      </c>
      <c r="V615" s="47" t="s">
        <v>23</v>
      </c>
      <c r="W615" s="47" t="s">
        <v>931</v>
      </c>
      <c r="X615" s="47" t="s">
        <v>995</v>
      </c>
      <c r="Y615" s="47" t="s">
        <v>410</v>
      </c>
      <c r="Z615" s="47" t="s">
        <v>4604</v>
      </c>
      <c r="AA615" s="47" t="s">
        <v>4605</v>
      </c>
      <c r="AB615" s="47" t="s">
        <v>931</v>
      </c>
      <c r="AC615" s="47" t="s">
        <v>476</v>
      </c>
      <c r="AD615" s="47" t="s">
        <v>4699</v>
      </c>
      <c r="AE615" s="47" t="s">
        <v>937</v>
      </c>
      <c r="AF615" s="47" t="s">
        <v>931</v>
      </c>
      <c r="AG615" s="47" t="s">
        <v>931</v>
      </c>
      <c r="AH615" s="47" t="s">
        <v>931</v>
      </c>
      <c r="AI615" s="47" t="s">
        <v>931</v>
      </c>
      <c r="AJ615" s="47" t="s">
        <v>931</v>
      </c>
      <c r="AK615" s="47" t="s">
        <v>930</v>
      </c>
      <c r="AL615" s="47" t="s">
        <v>931</v>
      </c>
      <c r="AM615" s="47" t="s">
        <v>931</v>
      </c>
      <c r="AN615" s="37"/>
    </row>
    <row r="616" spans="1:40" hidden="1">
      <c r="A616" s="47" t="s">
        <v>982</v>
      </c>
      <c r="B616" s="47" t="s">
        <v>919</v>
      </c>
      <c r="C616" s="47" t="s">
        <v>4700</v>
      </c>
      <c r="D616" s="47">
        <f t="shared" si="16"/>
        <v>161318</v>
      </c>
      <c r="E616" s="47" t="s">
        <v>431</v>
      </c>
      <c r="F616" s="47" t="s">
        <v>432</v>
      </c>
      <c r="G616" s="47" t="s">
        <v>435</v>
      </c>
      <c r="H616" s="47" t="s">
        <v>1194</v>
      </c>
      <c r="I616" s="47" t="s">
        <v>4701</v>
      </c>
      <c r="J616" s="47" t="s">
        <v>1055</v>
      </c>
      <c r="K616" s="47" t="s">
        <v>163</v>
      </c>
      <c r="L616" s="47" t="s">
        <v>3553</v>
      </c>
      <c r="M616" s="47" t="s">
        <v>2753</v>
      </c>
      <c r="N616" s="47" t="s">
        <v>946</v>
      </c>
      <c r="O616" s="47" t="s">
        <v>930</v>
      </c>
      <c r="P616" s="47" t="s">
        <v>930</v>
      </c>
      <c r="Q616" s="47"/>
      <c r="R616" s="47"/>
      <c r="S616" s="47"/>
      <c r="T616" s="47" t="s">
        <v>4702</v>
      </c>
      <c r="U616" s="47" t="s">
        <v>4703</v>
      </c>
      <c r="V616" s="47" t="s">
        <v>378</v>
      </c>
      <c r="W616" s="47" t="s">
        <v>931</v>
      </c>
      <c r="X616" s="47" t="s">
        <v>995</v>
      </c>
      <c r="Y616" s="47" t="s">
        <v>435</v>
      </c>
      <c r="Z616" s="47" t="s">
        <v>4417</v>
      </c>
      <c r="AA616" s="47" t="s">
        <v>4418</v>
      </c>
      <c r="AB616" s="47" t="s">
        <v>931</v>
      </c>
      <c r="AC616" s="47" t="s">
        <v>1202</v>
      </c>
      <c r="AD616" s="47" t="s">
        <v>4704</v>
      </c>
      <c r="AE616" s="47" t="s">
        <v>937</v>
      </c>
      <c r="AF616" s="47" t="s">
        <v>931</v>
      </c>
      <c r="AG616" s="47" t="s">
        <v>931</v>
      </c>
      <c r="AH616" s="47" t="s">
        <v>364</v>
      </c>
      <c r="AI616" s="47" t="s">
        <v>931</v>
      </c>
      <c r="AJ616" s="47" t="s">
        <v>365</v>
      </c>
      <c r="AK616" s="47" t="s">
        <v>930</v>
      </c>
      <c r="AL616" s="47" t="s">
        <v>931</v>
      </c>
      <c r="AM616" s="47" t="s">
        <v>931</v>
      </c>
      <c r="AN616" s="37"/>
    </row>
    <row r="617" spans="1:40" hidden="1">
      <c r="A617" s="47" t="s">
        <v>982</v>
      </c>
      <c r="B617" s="47" t="s">
        <v>919</v>
      </c>
      <c r="C617" s="47" t="s">
        <v>4705</v>
      </c>
      <c r="D617" s="47">
        <f t="shared" si="16"/>
        <v>161317</v>
      </c>
      <c r="E617" s="47" t="s">
        <v>235</v>
      </c>
      <c r="F617" s="47" t="s">
        <v>236</v>
      </c>
      <c r="G617" s="47" t="s">
        <v>430</v>
      </c>
      <c r="H617" s="47" t="s">
        <v>969</v>
      </c>
      <c r="I617" s="47" t="s">
        <v>4706</v>
      </c>
      <c r="J617" s="47" t="s">
        <v>1354</v>
      </c>
      <c r="K617" s="47" t="s">
        <v>163</v>
      </c>
      <c r="L617" s="47" t="s">
        <v>3287</v>
      </c>
      <c r="M617" s="47" t="s">
        <v>4271</v>
      </c>
      <c r="N617" s="47" t="s">
        <v>946</v>
      </c>
      <c r="O617" s="47" t="s">
        <v>930</v>
      </c>
      <c r="P617" s="47" t="s">
        <v>930</v>
      </c>
      <c r="Q617" s="47"/>
      <c r="R617" s="47"/>
      <c r="S617" s="47"/>
      <c r="T617" s="47" t="s">
        <v>4707</v>
      </c>
      <c r="U617" s="47" t="s">
        <v>4708</v>
      </c>
      <c r="V617" s="47" t="s">
        <v>378</v>
      </c>
      <c r="W617" s="47" t="s">
        <v>931</v>
      </c>
      <c r="X617" s="47" t="s">
        <v>932</v>
      </c>
      <c r="Y617" s="47" t="s">
        <v>430</v>
      </c>
      <c r="Z617" s="47" t="s">
        <v>2854</v>
      </c>
      <c r="AA617" s="47" t="s">
        <v>2855</v>
      </c>
      <c r="AB617" s="47" t="s">
        <v>931</v>
      </c>
      <c r="AC617" s="47" t="s">
        <v>387</v>
      </c>
      <c r="AD617" s="47" t="s">
        <v>4709</v>
      </c>
      <c r="AE617" s="47" t="s">
        <v>937</v>
      </c>
      <c r="AF617" s="47" t="s">
        <v>931</v>
      </c>
      <c r="AG617" s="47" t="s">
        <v>4710</v>
      </c>
      <c r="AH617" s="47" t="s">
        <v>364</v>
      </c>
      <c r="AI617" s="47" t="s">
        <v>931</v>
      </c>
      <c r="AJ617" s="47" t="s">
        <v>365</v>
      </c>
      <c r="AK617" s="47" t="s">
        <v>930</v>
      </c>
      <c r="AL617" s="47" t="s">
        <v>931</v>
      </c>
      <c r="AM617" s="47" t="s">
        <v>931</v>
      </c>
      <c r="AN617" s="37"/>
    </row>
    <row r="618" spans="1:40" hidden="1">
      <c r="A618" s="47" t="s">
        <v>982</v>
      </c>
      <c r="B618" s="47" t="s">
        <v>919</v>
      </c>
      <c r="C618" s="47" t="s">
        <v>4711</v>
      </c>
      <c r="D618" s="47">
        <f t="shared" si="16"/>
        <v>161316</v>
      </c>
      <c r="E618" s="47" t="s">
        <v>235</v>
      </c>
      <c r="F618" s="47" t="s">
        <v>236</v>
      </c>
      <c r="G618" s="47" t="s">
        <v>427</v>
      </c>
      <c r="H618" s="47" t="s">
        <v>969</v>
      </c>
      <c r="I618" s="47" t="s">
        <v>4712</v>
      </c>
      <c r="J618" s="47" t="s">
        <v>1055</v>
      </c>
      <c r="K618" s="47" t="s">
        <v>163</v>
      </c>
      <c r="L618" s="47" t="s">
        <v>2752</v>
      </c>
      <c r="M618" s="47" t="s">
        <v>4271</v>
      </c>
      <c r="N618" s="47" t="s">
        <v>946</v>
      </c>
      <c r="O618" s="47" t="s">
        <v>930</v>
      </c>
      <c r="P618" s="47" t="s">
        <v>930</v>
      </c>
      <c r="Q618" s="47"/>
      <c r="R618" s="47"/>
      <c r="S618" s="47"/>
      <c r="T618" s="47" t="s">
        <v>4713</v>
      </c>
      <c r="U618" s="47" t="s">
        <v>4714</v>
      </c>
      <c r="V618" s="47" t="s">
        <v>428</v>
      </c>
      <c r="W618" s="47" t="s">
        <v>931</v>
      </c>
      <c r="X618" s="47" t="s">
        <v>932</v>
      </c>
      <c r="Y618" s="47" t="s">
        <v>427</v>
      </c>
      <c r="Z618" s="47" t="s">
        <v>3072</v>
      </c>
      <c r="AA618" s="47" t="s">
        <v>3073</v>
      </c>
      <c r="AB618" s="47" t="s">
        <v>931</v>
      </c>
      <c r="AC618" s="47" t="s">
        <v>387</v>
      </c>
      <c r="AD618" s="47" t="s">
        <v>4715</v>
      </c>
      <c r="AE618" s="47" t="s">
        <v>937</v>
      </c>
      <c r="AF618" s="47" t="s">
        <v>931</v>
      </c>
      <c r="AG618" s="47" t="s">
        <v>4716</v>
      </c>
      <c r="AH618" s="47" t="s">
        <v>364</v>
      </c>
      <c r="AI618" s="47" t="s">
        <v>931</v>
      </c>
      <c r="AJ618" s="47" t="s">
        <v>365</v>
      </c>
      <c r="AK618" s="47" t="s">
        <v>930</v>
      </c>
      <c r="AL618" s="47" t="s">
        <v>931</v>
      </c>
      <c r="AM618" s="47" t="s">
        <v>931</v>
      </c>
      <c r="AN618" s="37"/>
    </row>
    <row r="619" spans="1:40" hidden="1">
      <c r="A619" s="47" t="s">
        <v>982</v>
      </c>
      <c r="B619" s="47" t="s">
        <v>919</v>
      </c>
      <c r="C619" s="47" t="s">
        <v>4717</v>
      </c>
      <c r="D619" s="47">
        <f t="shared" si="16"/>
        <v>161312</v>
      </c>
      <c r="E619" s="47" t="s">
        <v>88</v>
      </c>
      <c r="F619" s="47" t="s">
        <v>415</v>
      </c>
      <c r="G619" s="47" t="s">
        <v>420</v>
      </c>
      <c r="H619" s="47" t="s">
        <v>924</v>
      </c>
      <c r="I619" s="47" t="s">
        <v>4718</v>
      </c>
      <c r="J619" s="47" t="s">
        <v>1055</v>
      </c>
      <c r="K619" s="47" t="s">
        <v>163</v>
      </c>
      <c r="L619" s="47" t="s">
        <v>4601</v>
      </c>
      <c r="M619" s="47" t="s">
        <v>2753</v>
      </c>
      <c r="N619" s="47" t="s">
        <v>946</v>
      </c>
      <c r="O619" s="47" t="s">
        <v>930</v>
      </c>
      <c r="P619" s="47" t="s">
        <v>930</v>
      </c>
      <c r="Q619" s="47"/>
      <c r="R619" s="47"/>
      <c r="S619" s="47"/>
      <c r="T619" s="47" t="s">
        <v>4719</v>
      </c>
      <c r="U619" s="47" t="s">
        <v>4720</v>
      </c>
      <c r="V619" s="47" t="s">
        <v>378</v>
      </c>
      <c r="W619" s="47" t="s">
        <v>931</v>
      </c>
      <c r="X619" s="47" t="s">
        <v>932</v>
      </c>
      <c r="Y619" s="47" t="s">
        <v>420</v>
      </c>
      <c r="Z619" s="47" t="s">
        <v>2934</v>
      </c>
      <c r="AA619" s="47" t="s">
        <v>2935</v>
      </c>
      <c r="AB619" s="47" t="s">
        <v>931</v>
      </c>
      <c r="AC619" s="47" t="s">
        <v>409</v>
      </c>
      <c r="AD619" s="47" t="s">
        <v>4721</v>
      </c>
      <c r="AE619" s="47" t="s">
        <v>3479</v>
      </c>
      <c r="AF619" s="47" t="s">
        <v>4722</v>
      </c>
      <c r="AG619" s="47" t="s">
        <v>4723</v>
      </c>
      <c r="AH619" s="47" t="s">
        <v>364</v>
      </c>
      <c r="AI619" s="47" t="s">
        <v>931</v>
      </c>
      <c r="AJ619" s="47" t="s">
        <v>365</v>
      </c>
      <c r="AK619" s="47" t="s">
        <v>930</v>
      </c>
      <c r="AL619" s="47" t="s">
        <v>931</v>
      </c>
      <c r="AM619" s="47" t="s">
        <v>931</v>
      </c>
      <c r="AN619" s="37"/>
    </row>
    <row r="620" spans="1:40" hidden="1">
      <c r="A620" s="47" t="s">
        <v>982</v>
      </c>
      <c r="B620" s="47" t="s">
        <v>919</v>
      </c>
      <c r="C620" s="47" t="s">
        <v>4724</v>
      </c>
      <c r="D620" s="47">
        <f t="shared" si="16"/>
        <v>161313</v>
      </c>
      <c r="E620" s="47" t="s">
        <v>421</v>
      </c>
      <c r="F620" s="47" t="s">
        <v>280</v>
      </c>
      <c r="G620" s="47" t="s">
        <v>414</v>
      </c>
      <c r="H620" s="47" t="s">
        <v>969</v>
      </c>
      <c r="I620" s="47" t="s">
        <v>4725</v>
      </c>
      <c r="J620" s="47" t="s">
        <v>1055</v>
      </c>
      <c r="K620" s="47" t="s">
        <v>163</v>
      </c>
      <c r="L620" s="47" t="s">
        <v>3376</v>
      </c>
      <c r="M620" s="47" t="s">
        <v>3377</v>
      </c>
      <c r="N620" s="47" t="s">
        <v>946</v>
      </c>
      <c r="O620" s="47" t="s">
        <v>930</v>
      </c>
      <c r="P620" s="47" t="s">
        <v>930</v>
      </c>
      <c r="Q620" s="47"/>
      <c r="R620" s="47"/>
      <c r="S620" s="47"/>
      <c r="T620" s="47" t="s">
        <v>4726</v>
      </c>
      <c r="U620" s="47" t="s">
        <v>4727</v>
      </c>
      <c r="V620" s="47" t="s">
        <v>378</v>
      </c>
      <c r="W620" s="47" t="s">
        <v>931</v>
      </c>
      <c r="X620" s="47" t="s">
        <v>995</v>
      </c>
      <c r="Y620" s="47" t="s">
        <v>414</v>
      </c>
      <c r="Z620" s="47" t="s">
        <v>3079</v>
      </c>
      <c r="AA620" s="47" t="s">
        <v>3080</v>
      </c>
      <c r="AB620" s="47" t="s">
        <v>931</v>
      </c>
      <c r="AC620" s="47" t="s">
        <v>414</v>
      </c>
      <c r="AD620" s="47" t="s">
        <v>4728</v>
      </c>
      <c r="AE620" s="47" t="s">
        <v>937</v>
      </c>
      <c r="AF620" s="47" t="s">
        <v>931</v>
      </c>
      <c r="AG620" s="47" t="s">
        <v>4729</v>
      </c>
      <c r="AH620" s="47" t="s">
        <v>364</v>
      </c>
      <c r="AI620" s="47" t="s">
        <v>931</v>
      </c>
      <c r="AJ620" s="47" t="s">
        <v>365</v>
      </c>
      <c r="AK620" s="47" t="s">
        <v>930</v>
      </c>
      <c r="AL620" s="47" t="s">
        <v>931</v>
      </c>
      <c r="AM620" s="47" t="s">
        <v>931</v>
      </c>
      <c r="AN620" s="37"/>
    </row>
    <row r="621" spans="1:40" hidden="1">
      <c r="A621" s="47" t="s">
        <v>982</v>
      </c>
      <c r="B621" s="47" t="s">
        <v>919</v>
      </c>
      <c r="C621" s="47" t="s">
        <v>4730</v>
      </c>
      <c r="D621" s="47">
        <f t="shared" si="16"/>
        <v>161319</v>
      </c>
      <c r="E621" s="47" t="s">
        <v>431</v>
      </c>
      <c r="F621" s="47" t="s">
        <v>432</v>
      </c>
      <c r="G621" s="47" t="s">
        <v>359</v>
      </c>
      <c r="H621" s="47" t="s">
        <v>1194</v>
      </c>
      <c r="I621" s="47" t="s">
        <v>4731</v>
      </c>
      <c r="J621" s="47" t="s">
        <v>1055</v>
      </c>
      <c r="K621" s="47" t="s">
        <v>163</v>
      </c>
      <c r="L621" s="47" t="s">
        <v>3791</v>
      </c>
      <c r="M621" s="47" t="s">
        <v>2753</v>
      </c>
      <c r="N621" s="47" t="s">
        <v>946</v>
      </c>
      <c r="O621" s="47" t="s">
        <v>930</v>
      </c>
      <c r="P621" s="47" t="s">
        <v>930</v>
      </c>
      <c r="Q621" s="47"/>
      <c r="R621" s="47"/>
      <c r="S621" s="47"/>
      <c r="T621" s="47" t="s">
        <v>4732</v>
      </c>
      <c r="U621" s="47" t="s">
        <v>4733</v>
      </c>
      <c r="V621" s="47" t="s">
        <v>363</v>
      </c>
      <c r="W621" s="47" t="s">
        <v>931</v>
      </c>
      <c r="X621" s="47" t="s">
        <v>995</v>
      </c>
      <c r="Y621" s="47" t="s">
        <v>359</v>
      </c>
      <c r="Z621" s="47" t="s">
        <v>3965</v>
      </c>
      <c r="AA621" s="47" t="s">
        <v>3966</v>
      </c>
      <c r="AB621" s="47" t="s">
        <v>931</v>
      </c>
      <c r="AC621" s="47" t="s">
        <v>1202</v>
      </c>
      <c r="AD621" s="47" t="s">
        <v>4734</v>
      </c>
      <c r="AE621" s="47" t="s">
        <v>937</v>
      </c>
      <c r="AF621" s="47" t="s">
        <v>931</v>
      </c>
      <c r="AG621" s="47" t="s">
        <v>931</v>
      </c>
      <c r="AH621" s="47" t="s">
        <v>364</v>
      </c>
      <c r="AI621" s="47" t="s">
        <v>931</v>
      </c>
      <c r="AJ621" s="47" t="s">
        <v>365</v>
      </c>
      <c r="AK621" s="47" t="s">
        <v>930</v>
      </c>
      <c r="AL621" s="47" t="s">
        <v>931</v>
      </c>
      <c r="AM621" s="47" t="s">
        <v>931</v>
      </c>
      <c r="AN621" s="37"/>
    </row>
    <row r="622" spans="1:40" hidden="1">
      <c r="A622" s="47" t="s">
        <v>982</v>
      </c>
      <c r="B622" s="47" t="s">
        <v>919</v>
      </c>
      <c r="C622" s="47" t="s">
        <v>4735</v>
      </c>
      <c r="D622" s="47">
        <f t="shared" si="16"/>
        <v>161349</v>
      </c>
      <c r="E622" s="47" t="s">
        <v>632</v>
      </c>
      <c r="F622" s="47" t="s">
        <v>633</v>
      </c>
      <c r="G622" s="47" t="s">
        <v>4736</v>
      </c>
      <c r="H622" s="47" t="s">
        <v>1287</v>
      </c>
      <c r="I622" s="47" t="s">
        <v>4737</v>
      </c>
      <c r="J622" s="47" t="s">
        <v>944</v>
      </c>
      <c r="K622" s="47" t="s">
        <v>163</v>
      </c>
      <c r="L622" s="47" t="s">
        <v>1004</v>
      </c>
      <c r="M622" s="47" t="s">
        <v>1004</v>
      </c>
      <c r="N622" s="47" t="s">
        <v>946</v>
      </c>
      <c r="O622" s="47" t="s">
        <v>930</v>
      </c>
      <c r="P622" s="47" t="s">
        <v>930</v>
      </c>
      <c r="Q622" s="47"/>
      <c r="R622" s="47"/>
      <c r="S622" s="47"/>
      <c r="T622" s="47" t="s">
        <v>4738</v>
      </c>
      <c r="U622" s="47" t="s">
        <v>4739</v>
      </c>
      <c r="V622" s="47" t="s">
        <v>446</v>
      </c>
      <c r="W622" s="47" t="s">
        <v>931</v>
      </c>
      <c r="X622" s="47" t="s">
        <v>982</v>
      </c>
      <c r="Y622" s="47" t="s">
        <v>4736</v>
      </c>
      <c r="Z622" s="47" t="s">
        <v>4740</v>
      </c>
      <c r="AA622" s="47" t="s">
        <v>4741</v>
      </c>
      <c r="AB622" s="47" t="s">
        <v>931</v>
      </c>
      <c r="AC622" s="47" t="s">
        <v>2882</v>
      </c>
      <c r="AD622" s="47" t="s">
        <v>4742</v>
      </c>
      <c r="AE622" s="47" t="s">
        <v>937</v>
      </c>
      <c r="AF622" s="47" t="s">
        <v>931</v>
      </c>
      <c r="AG622" s="47" t="s">
        <v>931</v>
      </c>
      <c r="AH622" s="47" t="s">
        <v>1067</v>
      </c>
      <c r="AI622" s="47" t="s">
        <v>931</v>
      </c>
      <c r="AJ622" s="47" t="s">
        <v>365</v>
      </c>
      <c r="AK622" s="47" t="s">
        <v>930</v>
      </c>
      <c r="AL622" s="47" t="s">
        <v>931</v>
      </c>
      <c r="AM622" s="47" t="s">
        <v>931</v>
      </c>
      <c r="AN622" s="37"/>
    </row>
    <row r="623" spans="1:40" hidden="1">
      <c r="A623" s="47" t="s">
        <v>982</v>
      </c>
      <c r="B623" s="47" t="s">
        <v>919</v>
      </c>
      <c r="C623" s="47" t="s">
        <v>4743</v>
      </c>
      <c r="D623" s="47">
        <f t="shared" si="16"/>
        <v>161350</v>
      </c>
      <c r="E623" s="47" t="s">
        <v>239</v>
      </c>
      <c r="F623" s="47" t="s">
        <v>240</v>
      </c>
      <c r="G623" s="47" t="s">
        <v>448</v>
      </c>
      <c r="H623" s="47" t="s">
        <v>1194</v>
      </c>
      <c r="I623" s="47" t="s">
        <v>4744</v>
      </c>
      <c r="J623" s="47" t="s">
        <v>944</v>
      </c>
      <c r="K623" s="47" t="s">
        <v>163</v>
      </c>
      <c r="L623" s="47" t="s">
        <v>4064</v>
      </c>
      <c r="M623" s="47" t="s">
        <v>2753</v>
      </c>
      <c r="N623" s="47" t="s">
        <v>946</v>
      </c>
      <c r="O623" s="47" t="s">
        <v>930</v>
      </c>
      <c r="P623" s="47" t="s">
        <v>930</v>
      </c>
      <c r="Q623" s="47"/>
      <c r="R623" s="47"/>
      <c r="S623" s="47"/>
      <c r="T623" s="47" t="s">
        <v>4745</v>
      </c>
      <c r="U623" s="47" t="s">
        <v>4746</v>
      </c>
      <c r="V623" s="47" t="s">
        <v>425</v>
      </c>
      <c r="W623" s="47" t="s">
        <v>931</v>
      </c>
      <c r="X623" s="47" t="s">
        <v>995</v>
      </c>
      <c r="Y623" s="47" t="s">
        <v>448</v>
      </c>
      <c r="Z623" s="47" t="s">
        <v>4437</v>
      </c>
      <c r="AA623" s="47" t="s">
        <v>4438</v>
      </c>
      <c r="AB623" s="47" t="s">
        <v>931</v>
      </c>
      <c r="AC623" s="47" t="s">
        <v>1202</v>
      </c>
      <c r="AD623" s="47" t="s">
        <v>4747</v>
      </c>
      <c r="AE623" s="47" t="s">
        <v>937</v>
      </c>
      <c r="AF623" s="47" t="s">
        <v>931</v>
      </c>
      <c r="AG623" s="47" t="s">
        <v>4748</v>
      </c>
      <c r="AH623" s="47" t="s">
        <v>364</v>
      </c>
      <c r="AI623" s="47" t="s">
        <v>931</v>
      </c>
      <c r="AJ623" s="47" t="s">
        <v>365</v>
      </c>
      <c r="AK623" s="47" t="s">
        <v>930</v>
      </c>
      <c r="AL623" s="47" t="s">
        <v>931</v>
      </c>
      <c r="AM623" s="47" t="s">
        <v>931</v>
      </c>
      <c r="AN623" s="37"/>
    </row>
    <row r="624" spans="1:40" hidden="1">
      <c r="A624" s="47" t="s">
        <v>982</v>
      </c>
      <c r="B624" s="47" t="s">
        <v>919</v>
      </c>
      <c r="C624" s="47" t="s">
        <v>4749</v>
      </c>
      <c r="D624" s="47">
        <f t="shared" si="16"/>
        <v>161353</v>
      </c>
      <c r="E624" s="47" t="s">
        <v>636</v>
      </c>
      <c r="F624" s="47" t="s">
        <v>637</v>
      </c>
      <c r="G624" s="47" t="s">
        <v>1160</v>
      </c>
      <c r="H624" s="47" t="s">
        <v>1053</v>
      </c>
      <c r="I624" s="47" t="s">
        <v>4750</v>
      </c>
      <c r="J624" s="47" t="s">
        <v>944</v>
      </c>
      <c r="K624" s="47" t="s">
        <v>163</v>
      </c>
      <c r="L624" s="47" t="s">
        <v>1057</v>
      </c>
      <c r="M624" s="47" t="s">
        <v>1056</v>
      </c>
      <c r="N624" s="47" t="s">
        <v>1058</v>
      </c>
      <c r="O624" s="47" t="s">
        <v>930</v>
      </c>
      <c r="P624" s="47" t="s">
        <v>930</v>
      </c>
      <c r="Q624" s="47" t="str">
        <f>LEFT(T624,9)</f>
        <v xml:space="preserve"> Sáng T3:</v>
      </c>
      <c r="R624" s="47" t="s">
        <v>973</v>
      </c>
      <c r="S624" s="47" t="s">
        <v>1070</v>
      </c>
      <c r="T624" s="47" t="s">
        <v>4751</v>
      </c>
      <c r="U624" s="47" t="s">
        <v>4752</v>
      </c>
      <c r="V624" s="47" t="s">
        <v>26</v>
      </c>
      <c r="W624" s="47" t="s">
        <v>931</v>
      </c>
      <c r="X624" s="47" t="s">
        <v>932</v>
      </c>
      <c r="Y624" s="47" t="s">
        <v>1160</v>
      </c>
      <c r="Z624" s="47" t="s">
        <v>1161</v>
      </c>
      <c r="AA624" s="47" t="s">
        <v>1162</v>
      </c>
      <c r="AB624" s="47" t="s">
        <v>931</v>
      </c>
      <c r="AC624" s="47" t="s">
        <v>451</v>
      </c>
      <c r="AD624" s="47" t="s">
        <v>4753</v>
      </c>
      <c r="AE624" s="47" t="s">
        <v>937</v>
      </c>
      <c r="AF624" s="47" t="s">
        <v>931</v>
      </c>
      <c r="AG624" s="47" t="s">
        <v>4754</v>
      </c>
      <c r="AH624" s="47" t="s">
        <v>998</v>
      </c>
      <c r="AI624" s="47" t="s">
        <v>931</v>
      </c>
      <c r="AJ624" s="47" t="s">
        <v>931</v>
      </c>
      <c r="AK624" s="47" t="s">
        <v>930</v>
      </c>
      <c r="AL624" s="47" t="s">
        <v>931</v>
      </c>
      <c r="AM624" s="47" t="s">
        <v>931</v>
      </c>
      <c r="AN624" s="37"/>
    </row>
    <row r="625" spans="1:40" hidden="1">
      <c r="A625" s="47" t="s">
        <v>982</v>
      </c>
      <c r="B625" s="47" t="s">
        <v>919</v>
      </c>
      <c r="C625" s="47" t="s">
        <v>4755</v>
      </c>
      <c r="D625" s="47">
        <f t="shared" si="16"/>
        <v>161342</v>
      </c>
      <c r="E625" s="47" t="s">
        <v>610</v>
      </c>
      <c r="F625" s="47" t="s">
        <v>611</v>
      </c>
      <c r="G625" s="47" t="s">
        <v>3677</v>
      </c>
      <c r="H625" s="47" t="s">
        <v>1053</v>
      </c>
      <c r="I625" s="47" t="s">
        <v>4756</v>
      </c>
      <c r="J625" s="47" t="s">
        <v>1055</v>
      </c>
      <c r="K625" s="47" t="s">
        <v>163</v>
      </c>
      <c r="L625" s="47" t="s">
        <v>1124</v>
      </c>
      <c r="M625" s="47" t="s">
        <v>1124</v>
      </c>
      <c r="N625" s="47" t="s">
        <v>1058</v>
      </c>
      <c r="O625" s="47" t="s">
        <v>930</v>
      </c>
      <c r="P625" s="47" t="s">
        <v>930</v>
      </c>
      <c r="Q625" s="47"/>
      <c r="R625" s="47"/>
      <c r="S625" s="47"/>
      <c r="T625" s="47" t="s">
        <v>4757</v>
      </c>
      <c r="U625" s="47" t="s">
        <v>4758</v>
      </c>
      <c r="V625" s="47" t="s">
        <v>621</v>
      </c>
      <c r="W625" s="47" t="s">
        <v>931</v>
      </c>
      <c r="X625" s="47" t="s">
        <v>1063</v>
      </c>
      <c r="Y625" s="47" t="s">
        <v>3677</v>
      </c>
      <c r="Z625" s="47" t="s">
        <v>3680</v>
      </c>
      <c r="AA625" s="47" t="s">
        <v>931</v>
      </c>
      <c r="AB625" s="47" t="s">
        <v>931</v>
      </c>
      <c r="AC625" s="47" t="s">
        <v>1052</v>
      </c>
      <c r="AD625" s="47" t="s">
        <v>4759</v>
      </c>
      <c r="AE625" s="47" t="s">
        <v>937</v>
      </c>
      <c r="AF625" s="47" t="s">
        <v>931</v>
      </c>
      <c r="AG625" s="47" t="s">
        <v>931</v>
      </c>
      <c r="AH625" s="47" t="s">
        <v>1067</v>
      </c>
      <c r="AI625" s="47" t="s">
        <v>931</v>
      </c>
      <c r="AJ625" s="47" t="s">
        <v>365</v>
      </c>
      <c r="AK625" s="47" t="s">
        <v>930</v>
      </c>
      <c r="AL625" s="47" t="s">
        <v>931</v>
      </c>
      <c r="AM625" s="47" t="s">
        <v>931</v>
      </c>
      <c r="AN625" s="37"/>
    </row>
    <row r="626" spans="1:40" hidden="1">
      <c r="A626" s="47" t="s">
        <v>982</v>
      </c>
      <c r="B626" s="47" t="s">
        <v>919</v>
      </c>
      <c r="C626" s="47" t="s">
        <v>4760</v>
      </c>
      <c r="D626" s="47">
        <f t="shared" si="16"/>
        <v>161341</v>
      </c>
      <c r="E626" s="47" t="s">
        <v>610</v>
      </c>
      <c r="F626" s="47" t="s">
        <v>611</v>
      </c>
      <c r="G626" s="47" t="s">
        <v>3671</v>
      </c>
      <c r="H626" s="47" t="s">
        <v>1053</v>
      </c>
      <c r="I626" s="47" t="s">
        <v>4761</v>
      </c>
      <c r="J626" s="47" t="s">
        <v>1055</v>
      </c>
      <c r="K626" s="47" t="s">
        <v>163</v>
      </c>
      <c r="L626" s="47" t="s">
        <v>1124</v>
      </c>
      <c r="M626" s="47" t="s">
        <v>1124</v>
      </c>
      <c r="N626" s="47" t="s">
        <v>1058</v>
      </c>
      <c r="O626" s="47" t="s">
        <v>930</v>
      </c>
      <c r="P626" s="47" t="s">
        <v>930</v>
      </c>
      <c r="Q626" s="47"/>
      <c r="R626" s="47"/>
      <c r="S626" s="47"/>
      <c r="T626" s="47" t="s">
        <v>4762</v>
      </c>
      <c r="U626" s="47" t="s">
        <v>4763</v>
      </c>
      <c r="V626" s="47" t="s">
        <v>619</v>
      </c>
      <c r="W626" s="47" t="s">
        <v>931</v>
      </c>
      <c r="X626" s="47" t="s">
        <v>1063</v>
      </c>
      <c r="Y626" s="47" t="s">
        <v>3671</v>
      </c>
      <c r="Z626" s="47" t="s">
        <v>3674</v>
      </c>
      <c r="AA626" s="47" t="s">
        <v>931</v>
      </c>
      <c r="AB626" s="47" t="s">
        <v>931</v>
      </c>
      <c r="AC626" s="47" t="s">
        <v>1052</v>
      </c>
      <c r="AD626" s="47" t="s">
        <v>4764</v>
      </c>
      <c r="AE626" s="47" t="s">
        <v>937</v>
      </c>
      <c r="AF626" s="47" t="s">
        <v>931</v>
      </c>
      <c r="AG626" s="47" t="s">
        <v>931</v>
      </c>
      <c r="AH626" s="47" t="s">
        <v>1067</v>
      </c>
      <c r="AI626" s="47" t="s">
        <v>931</v>
      </c>
      <c r="AJ626" s="47" t="s">
        <v>365</v>
      </c>
      <c r="AK626" s="47" t="s">
        <v>930</v>
      </c>
      <c r="AL626" s="47" t="s">
        <v>931</v>
      </c>
      <c r="AM626" s="47" t="s">
        <v>931</v>
      </c>
      <c r="AN626" s="37"/>
    </row>
    <row r="627" spans="1:40" hidden="1">
      <c r="A627" s="47" t="s">
        <v>982</v>
      </c>
      <c r="B627" s="47" t="s">
        <v>919</v>
      </c>
      <c r="C627" s="47" t="s">
        <v>4765</v>
      </c>
      <c r="D627" s="47">
        <f t="shared" si="16"/>
        <v>161346</v>
      </c>
      <c r="E627" s="47" t="s">
        <v>629</v>
      </c>
      <c r="F627" s="47" t="s">
        <v>630</v>
      </c>
      <c r="G627" s="47" t="s">
        <v>447</v>
      </c>
      <c r="H627" s="47" t="s">
        <v>1194</v>
      </c>
      <c r="I627" s="47" t="s">
        <v>4744</v>
      </c>
      <c r="J627" s="47" t="s">
        <v>944</v>
      </c>
      <c r="K627" s="47" t="s">
        <v>163</v>
      </c>
      <c r="L627" s="47" t="s">
        <v>956</v>
      </c>
      <c r="M627" s="47" t="s">
        <v>1056</v>
      </c>
      <c r="N627" s="47" t="s">
        <v>946</v>
      </c>
      <c r="O627" s="47" t="s">
        <v>930</v>
      </c>
      <c r="P627" s="47" t="s">
        <v>930</v>
      </c>
      <c r="Q627" s="47" t="str">
        <f>LEFT(T627,9)</f>
        <v xml:space="preserve"> Chiều T3</v>
      </c>
      <c r="R627" s="47" t="s">
        <v>973</v>
      </c>
      <c r="S627" s="47" t="s">
        <v>1070</v>
      </c>
      <c r="T627" s="47" t="s">
        <v>4766</v>
      </c>
      <c r="U627" s="47" t="s">
        <v>4767</v>
      </c>
      <c r="V627" s="47" t="s">
        <v>631</v>
      </c>
      <c r="W627" s="47" t="s">
        <v>931</v>
      </c>
      <c r="X627" s="47" t="s">
        <v>995</v>
      </c>
      <c r="Y627" s="47" t="s">
        <v>447</v>
      </c>
      <c r="Z627" s="47" t="s">
        <v>4223</v>
      </c>
      <c r="AA627" s="47" t="s">
        <v>4224</v>
      </c>
      <c r="AB627" s="47" t="s">
        <v>931</v>
      </c>
      <c r="AC627" s="47" t="s">
        <v>447</v>
      </c>
      <c r="AD627" s="47" t="s">
        <v>4747</v>
      </c>
      <c r="AE627" s="47" t="s">
        <v>937</v>
      </c>
      <c r="AF627" s="47" t="s">
        <v>931</v>
      </c>
      <c r="AG627" s="47" t="s">
        <v>931</v>
      </c>
      <c r="AH627" s="47" t="s">
        <v>998</v>
      </c>
      <c r="AI627" s="47" t="s">
        <v>931</v>
      </c>
      <c r="AJ627" s="47" t="s">
        <v>931</v>
      </c>
      <c r="AK627" s="47" t="s">
        <v>930</v>
      </c>
      <c r="AL627" s="47" t="s">
        <v>931</v>
      </c>
      <c r="AM627" s="47" t="s">
        <v>931</v>
      </c>
      <c r="AN627" s="37"/>
    </row>
    <row r="628" spans="1:40" hidden="1">
      <c r="A628" s="47" t="s">
        <v>982</v>
      </c>
      <c r="B628" s="47" t="s">
        <v>919</v>
      </c>
      <c r="C628" s="47" t="s">
        <v>4768</v>
      </c>
      <c r="D628" s="47">
        <f t="shared" si="16"/>
        <v>161354</v>
      </c>
      <c r="E628" s="47" t="s">
        <v>636</v>
      </c>
      <c r="F628" s="47" t="s">
        <v>637</v>
      </c>
      <c r="G628" s="47" t="s">
        <v>487</v>
      </c>
      <c r="H628" s="47" t="s">
        <v>1053</v>
      </c>
      <c r="I628" s="47" t="s">
        <v>4769</v>
      </c>
      <c r="J628" s="47" t="s">
        <v>944</v>
      </c>
      <c r="K628" s="47" t="s">
        <v>163</v>
      </c>
      <c r="L628" s="47" t="s">
        <v>1056</v>
      </c>
      <c r="M628" s="47" t="s">
        <v>1056</v>
      </c>
      <c r="N628" s="47" t="s">
        <v>1058</v>
      </c>
      <c r="O628" s="47" t="s">
        <v>930</v>
      </c>
      <c r="P628" s="47" t="s">
        <v>930</v>
      </c>
      <c r="Q628" s="47" t="str">
        <f>LEFT(T628,9)</f>
        <v xml:space="preserve"> Chiều T4</v>
      </c>
      <c r="R628" s="47" t="s">
        <v>973</v>
      </c>
      <c r="S628" s="47" t="s">
        <v>1059</v>
      </c>
      <c r="T628" s="47" t="s">
        <v>4770</v>
      </c>
      <c r="U628" s="47" t="s">
        <v>4771</v>
      </c>
      <c r="V628" s="47" t="s">
        <v>26</v>
      </c>
      <c r="W628" s="47" t="s">
        <v>931</v>
      </c>
      <c r="X628" s="47" t="s">
        <v>932</v>
      </c>
      <c r="Y628" s="47" t="s">
        <v>487</v>
      </c>
      <c r="Z628" s="47" t="s">
        <v>3227</v>
      </c>
      <c r="AA628" s="47" t="s">
        <v>3228</v>
      </c>
      <c r="AB628" s="47" t="s">
        <v>931</v>
      </c>
      <c r="AC628" s="47" t="s">
        <v>451</v>
      </c>
      <c r="AD628" s="47" t="s">
        <v>4772</v>
      </c>
      <c r="AE628" s="47" t="s">
        <v>937</v>
      </c>
      <c r="AF628" s="47" t="s">
        <v>4773</v>
      </c>
      <c r="AG628" s="47" t="s">
        <v>4774</v>
      </c>
      <c r="AH628" s="47" t="s">
        <v>998</v>
      </c>
      <c r="AI628" s="47" t="s">
        <v>931</v>
      </c>
      <c r="AJ628" s="47" t="s">
        <v>931</v>
      </c>
      <c r="AK628" s="47" t="s">
        <v>930</v>
      </c>
      <c r="AL628" s="47" t="s">
        <v>931</v>
      </c>
      <c r="AM628" s="47" t="s">
        <v>931</v>
      </c>
      <c r="AN628" s="37"/>
    </row>
    <row r="629" spans="1:40" hidden="1">
      <c r="A629" s="47" t="s">
        <v>982</v>
      </c>
      <c r="B629" s="47" t="s">
        <v>919</v>
      </c>
      <c r="C629" s="47" t="s">
        <v>4775</v>
      </c>
      <c r="D629" s="47">
        <f t="shared" si="16"/>
        <v>161348</v>
      </c>
      <c r="E629" s="47" t="s">
        <v>632</v>
      </c>
      <c r="F629" s="47" t="s">
        <v>633</v>
      </c>
      <c r="G629" s="47" t="s">
        <v>4776</v>
      </c>
      <c r="H629" s="47" t="s">
        <v>1287</v>
      </c>
      <c r="I629" s="47" t="s">
        <v>4777</v>
      </c>
      <c r="J629" s="47" t="s">
        <v>944</v>
      </c>
      <c r="K629" s="47" t="s">
        <v>163</v>
      </c>
      <c r="L629" s="47" t="s">
        <v>1236</v>
      </c>
      <c r="M629" s="47" t="s">
        <v>1004</v>
      </c>
      <c r="N629" s="47" t="s">
        <v>946</v>
      </c>
      <c r="O629" s="47" t="s">
        <v>930</v>
      </c>
      <c r="P629" s="47" t="s">
        <v>930</v>
      </c>
      <c r="Q629" s="47"/>
      <c r="R629" s="47"/>
      <c r="S629" s="47"/>
      <c r="T629" s="47" t="s">
        <v>4778</v>
      </c>
      <c r="U629" s="47" t="s">
        <v>4779</v>
      </c>
      <c r="V629" s="47" t="s">
        <v>446</v>
      </c>
      <c r="W629" s="47" t="s">
        <v>931</v>
      </c>
      <c r="X629" s="47" t="s">
        <v>982</v>
      </c>
      <c r="Y629" s="47" t="s">
        <v>4776</v>
      </c>
      <c r="Z629" s="47" t="s">
        <v>4780</v>
      </c>
      <c r="AA629" s="47" t="s">
        <v>4781</v>
      </c>
      <c r="AB629" s="47" t="s">
        <v>931</v>
      </c>
      <c r="AC629" s="47" t="s">
        <v>2882</v>
      </c>
      <c r="AD629" s="47" t="s">
        <v>4782</v>
      </c>
      <c r="AE629" s="47" t="s">
        <v>937</v>
      </c>
      <c r="AF629" s="47" t="s">
        <v>931</v>
      </c>
      <c r="AG629" s="47" t="s">
        <v>931</v>
      </c>
      <c r="AH629" s="47" t="s">
        <v>1067</v>
      </c>
      <c r="AI629" s="47" t="s">
        <v>931</v>
      </c>
      <c r="AJ629" s="47" t="s">
        <v>365</v>
      </c>
      <c r="AK629" s="47" t="s">
        <v>930</v>
      </c>
      <c r="AL629" s="47" t="s">
        <v>931</v>
      </c>
      <c r="AM629" s="47" t="s">
        <v>931</v>
      </c>
      <c r="AN629" s="37"/>
    </row>
    <row r="630" spans="1:40" hidden="1">
      <c r="A630" s="47" t="s">
        <v>982</v>
      </c>
      <c r="B630" s="47" t="s">
        <v>919</v>
      </c>
      <c r="C630" s="47" t="s">
        <v>4783</v>
      </c>
      <c r="D630" s="47">
        <f t="shared" si="16"/>
        <v>161347</v>
      </c>
      <c r="E630" s="47" t="s">
        <v>333</v>
      </c>
      <c r="F630" s="47" t="s">
        <v>334</v>
      </c>
      <c r="G630" s="47" t="s">
        <v>370</v>
      </c>
      <c r="H630" s="47" t="s">
        <v>924</v>
      </c>
      <c r="I630" s="47" t="s">
        <v>4744</v>
      </c>
      <c r="J630" s="47" t="s">
        <v>944</v>
      </c>
      <c r="K630" s="47" t="s">
        <v>163</v>
      </c>
      <c r="L630" s="47" t="s">
        <v>3242</v>
      </c>
      <c r="M630" s="47" t="s">
        <v>2725</v>
      </c>
      <c r="N630" s="47" t="s">
        <v>946</v>
      </c>
      <c r="O630" s="47" t="s">
        <v>930</v>
      </c>
      <c r="P630" s="47" t="s">
        <v>930</v>
      </c>
      <c r="Q630" s="47"/>
      <c r="R630" s="47"/>
      <c r="S630" s="47"/>
      <c r="T630" s="47" t="s">
        <v>4784</v>
      </c>
      <c r="U630" s="47" t="s">
        <v>4785</v>
      </c>
      <c r="V630" s="47" t="s">
        <v>446</v>
      </c>
      <c r="W630" s="47" t="s">
        <v>931</v>
      </c>
      <c r="X630" s="47" t="s">
        <v>995</v>
      </c>
      <c r="Y630" s="47" t="s">
        <v>370</v>
      </c>
      <c r="Z630" s="47" t="s">
        <v>3511</v>
      </c>
      <c r="AA630" s="47" t="s">
        <v>3512</v>
      </c>
      <c r="AB630" s="47" t="s">
        <v>931</v>
      </c>
      <c r="AC630" s="47" t="s">
        <v>37</v>
      </c>
      <c r="AD630" s="47" t="s">
        <v>4747</v>
      </c>
      <c r="AE630" s="47" t="s">
        <v>937</v>
      </c>
      <c r="AF630" s="47" t="s">
        <v>931</v>
      </c>
      <c r="AG630" s="47" t="s">
        <v>931</v>
      </c>
      <c r="AH630" s="47" t="s">
        <v>364</v>
      </c>
      <c r="AI630" s="47" t="s">
        <v>931</v>
      </c>
      <c r="AJ630" s="47" t="s">
        <v>365</v>
      </c>
      <c r="AK630" s="47" t="s">
        <v>930</v>
      </c>
      <c r="AL630" s="47" t="s">
        <v>931</v>
      </c>
      <c r="AM630" s="47" t="s">
        <v>931</v>
      </c>
      <c r="AN630" s="37"/>
    </row>
    <row r="631" spans="1:40" hidden="1">
      <c r="A631" s="47" t="s">
        <v>982</v>
      </c>
      <c r="B631" s="47" t="s">
        <v>919</v>
      </c>
      <c r="C631" s="47" t="s">
        <v>4786</v>
      </c>
      <c r="D631" s="47">
        <f t="shared" si="16"/>
        <v>161355</v>
      </c>
      <c r="E631" s="47" t="s">
        <v>114</v>
      </c>
      <c r="F631" s="47" t="s">
        <v>452</v>
      </c>
      <c r="G631" s="47" t="s">
        <v>453</v>
      </c>
      <c r="H631" s="47" t="s">
        <v>924</v>
      </c>
      <c r="I631" s="47" t="s">
        <v>4744</v>
      </c>
      <c r="J631" s="47" t="s">
        <v>944</v>
      </c>
      <c r="K631" s="47" t="s">
        <v>163</v>
      </c>
      <c r="L631" s="47" t="s">
        <v>3287</v>
      </c>
      <c r="M631" s="47" t="s">
        <v>2753</v>
      </c>
      <c r="N631" s="47" t="s">
        <v>946</v>
      </c>
      <c r="O631" s="47" t="s">
        <v>930</v>
      </c>
      <c r="P631" s="47" t="s">
        <v>930</v>
      </c>
      <c r="Q631" s="47"/>
      <c r="R631" s="47"/>
      <c r="S631" s="47"/>
      <c r="T631" s="47" t="s">
        <v>4787</v>
      </c>
      <c r="U631" s="47" t="s">
        <v>4788</v>
      </c>
      <c r="V631" s="47" t="s">
        <v>378</v>
      </c>
      <c r="W631" s="47" t="s">
        <v>931</v>
      </c>
      <c r="X631" s="47" t="s">
        <v>932</v>
      </c>
      <c r="Y631" s="47" t="s">
        <v>453</v>
      </c>
      <c r="Z631" s="47" t="s">
        <v>4789</v>
      </c>
      <c r="AA631" s="47" t="s">
        <v>4790</v>
      </c>
      <c r="AB631" s="47" t="s">
        <v>931</v>
      </c>
      <c r="AC631" s="47" t="s">
        <v>409</v>
      </c>
      <c r="AD631" s="47" t="s">
        <v>4747</v>
      </c>
      <c r="AE631" s="47" t="s">
        <v>937</v>
      </c>
      <c r="AF631" s="47" t="s">
        <v>931</v>
      </c>
      <c r="AG631" s="47" t="s">
        <v>4791</v>
      </c>
      <c r="AH631" s="47" t="s">
        <v>364</v>
      </c>
      <c r="AI631" s="47" t="s">
        <v>931</v>
      </c>
      <c r="AJ631" s="47" t="s">
        <v>365</v>
      </c>
      <c r="AK631" s="47" t="s">
        <v>930</v>
      </c>
      <c r="AL631" s="47" t="s">
        <v>931</v>
      </c>
      <c r="AM631" s="47" t="s">
        <v>931</v>
      </c>
      <c r="AN631" s="37"/>
    </row>
    <row r="632" spans="1:40" hidden="1">
      <c r="A632" s="47" t="s">
        <v>982</v>
      </c>
      <c r="B632" s="47" t="s">
        <v>919</v>
      </c>
      <c r="C632" s="47" t="s">
        <v>4792</v>
      </c>
      <c r="D632" s="47">
        <f t="shared" si="16"/>
        <v>161340</v>
      </c>
      <c r="E632" s="47" t="s">
        <v>610</v>
      </c>
      <c r="F632" s="47" t="s">
        <v>611</v>
      </c>
      <c r="G632" s="47" t="s">
        <v>4793</v>
      </c>
      <c r="H632" s="47" t="s">
        <v>1053</v>
      </c>
      <c r="I632" s="47" t="s">
        <v>4794</v>
      </c>
      <c r="J632" s="47" t="s">
        <v>1055</v>
      </c>
      <c r="K632" s="47" t="s">
        <v>163</v>
      </c>
      <c r="L632" s="47" t="s">
        <v>1124</v>
      </c>
      <c r="M632" s="47" t="s">
        <v>1124</v>
      </c>
      <c r="N632" s="47" t="s">
        <v>1058</v>
      </c>
      <c r="O632" s="47" t="s">
        <v>930</v>
      </c>
      <c r="P632" s="47" t="s">
        <v>930</v>
      </c>
      <c r="Q632" s="47"/>
      <c r="R632" s="47"/>
      <c r="S632" s="47"/>
      <c r="T632" s="47" t="s">
        <v>4795</v>
      </c>
      <c r="U632" s="47" t="s">
        <v>4796</v>
      </c>
      <c r="V632" s="47" t="s">
        <v>614</v>
      </c>
      <c r="W632" s="47" t="s">
        <v>931</v>
      </c>
      <c r="X632" s="47" t="s">
        <v>1063</v>
      </c>
      <c r="Y632" s="47" t="s">
        <v>4793</v>
      </c>
      <c r="Z632" s="47" t="s">
        <v>4797</v>
      </c>
      <c r="AA632" s="47" t="s">
        <v>931</v>
      </c>
      <c r="AB632" s="47" t="s">
        <v>931</v>
      </c>
      <c r="AC632" s="47" t="s">
        <v>1052</v>
      </c>
      <c r="AD632" s="47" t="s">
        <v>4798</v>
      </c>
      <c r="AE632" s="47" t="s">
        <v>937</v>
      </c>
      <c r="AF632" s="47" t="s">
        <v>931</v>
      </c>
      <c r="AG632" s="47" t="s">
        <v>931</v>
      </c>
      <c r="AH632" s="47" t="s">
        <v>931</v>
      </c>
      <c r="AI632" s="47" t="s">
        <v>931</v>
      </c>
      <c r="AJ632" s="47" t="s">
        <v>931</v>
      </c>
      <c r="AK632" s="47" t="s">
        <v>930</v>
      </c>
      <c r="AL632" s="47" t="s">
        <v>931</v>
      </c>
      <c r="AM632" s="47" t="s">
        <v>931</v>
      </c>
      <c r="AN632" s="37"/>
    </row>
    <row r="633" spans="1:40" hidden="1">
      <c r="A633" s="47" t="s">
        <v>982</v>
      </c>
      <c r="B633" s="47" t="s">
        <v>919</v>
      </c>
      <c r="C633" s="47" t="s">
        <v>4799</v>
      </c>
      <c r="D633" s="47">
        <f t="shared" si="16"/>
        <v>161352</v>
      </c>
      <c r="E633" s="47" t="s">
        <v>636</v>
      </c>
      <c r="F633" s="47" t="s">
        <v>637</v>
      </c>
      <c r="G633" s="47" t="s">
        <v>451</v>
      </c>
      <c r="H633" s="47" t="s">
        <v>1053</v>
      </c>
      <c r="I633" s="47" t="s">
        <v>4800</v>
      </c>
      <c r="J633" s="47" t="s">
        <v>944</v>
      </c>
      <c r="K633" s="47" t="s">
        <v>163</v>
      </c>
      <c r="L633" s="47" t="s">
        <v>1056</v>
      </c>
      <c r="M633" s="47" t="s">
        <v>1056</v>
      </c>
      <c r="N633" s="47" t="s">
        <v>1058</v>
      </c>
      <c r="O633" s="47" t="s">
        <v>930</v>
      </c>
      <c r="P633" s="47" t="s">
        <v>930</v>
      </c>
      <c r="Q633" s="47" t="str">
        <f>LEFT(T633,9)</f>
        <v xml:space="preserve"> Sáng T4:</v>
      </c>
      <c r="R633" s="47" t="s">
        <v>973</v>
      </c>
      <c r="S633" s="47" t="s">
        <v>1059</v>
      </c>
      <c r="T633" s="47" t="s">
        <v>4801</v>
      </c>
      <c r="U633" s="47" t="s">
        <v>4802</v>
      </c>
      <c r="V633" s="47" t="s">
        <v>26</v>
      </c>
      <c r="W633" s="47" t="s">
        <v>931</v>
      </c>
      <c r="X633" s="47" t="s">
        <v>932</v>
      </c>
      <c r="Y633" s="47" t="s">
        <v>451</v>
      </c>
      <c r="Z633" s="47" t="s">
        <v>1215</v>
      </c>
      <c r="AA633" s="47" t="s">
        <v>1216</v>
      </c>
      <c r="AB633" s="47" t="s">
        <v>931</v>
      </c>
      <c r="AC633" s="47" t="s">
        <v>451</v>
      </c>
      <c r="AD633" s="47" t="s">
        <v>4803</v>
      </c>
      <c r="AE633" s="47" t="s">
        <v>937</v>
      </c>
      <c r="AF633" s="47" t="s">
        <v>931</v>
      </c>
      <c r="AG633" s="47" t="s">
        <v>4804</v>
      </c>
      <c r="AH633" s="47" t="s">
        <v>998</v>
      </c>
      <c r="AI633" s="47" t="s">
        <v>931</v>
      </c>
      <c r="AJ633" s="47" t="s">
        <v>931</v>
      </c>
      <c r="AK633" s="47" t="s">
        <v>930</v>
      </c>
      <c r="AL633" s="47" t="s">
        <v>931</v>
      </c>
      <c r="AM633" s="47" t="s">
        <v>931</v>
      </c>
      <c r="AN633" s="37"/>
    </row>
    <row r="634" spans="1:40" hidden="1">
      <c r="A634" s="47" t="s">
        <v>982</v>
      </c>
      <c r="B634" s="47" t="s">
        <v>919</v>
      </c>
      <c r="C634" s="47" t="s">
        <v>4805</v>
      </c>
      <c r="D634" s="47">
        <f t="shared" si="16"/>
        <v>161351</v>
      </c>
      <c r="E634" s="47" t="s">
        <v>449</v>
      </c>
      <c r="F634" s="47" t="s">
        <v>450</v>
      </c>
      <c r="G634" s="47" t="s">
        <v>451</v>
      </c>
      <c r="H634" s="47" t="s">
        <v>3837</v>
      </c>
      <c r="I634" s="47" t="s">
        <v>4744</v>
      </c>
      <c r="J634" s="47" t="s">
        <v>944</v>
      </c>
      <c r="K634" s="47" t="s">
        <v>163</v>
      </c>
      <c r="L634" s="47" t="s">
        <v>4142</v>
      </c>
      <c r="M634" s="47" t="s">
        <v>3377</v>
      </c>
      <c r="N634" s="47" t="s">
        <v>946</v>
      </c>
      <c r="O634" s="47" t="s">
        <v>930</v>
      </c>
      <c r="P634" s="47" t="s">
        <v>930</v>
      </c>
      <c r="Q634" s="47"/>
      <c r="R634" s="47"/>
      <c r="S634" s="47"/>
      <c r="T634" s="47" t="s">
        <v>4806</v>
      </c>
      <c r="U634" s="47" t="s">
        <v>4807</v>
      </c>
      <c r="V634" s="47" t="s">
        <v>378</v>
      </c>
      <c r="W634" s="47" t="s">
        <v>931</v>
      </c>
      <c r="X634" s="47" t="s">
        <v>932</v>
      </c>
      <c r="Y634" s="47" t="s">
        <v>451</v>
      </c>
      <c r="Z634" s="47" t="s">
        <v>1215</v>
      </c>
      <c r="AA634" s="47" t="s">
        <v>1216</v>
      </c>
      <c r="AB634" s="47" t="s">
        <v>931</v>
      </c>
      <c r="AC634" s="47" t="s">
        <v>451</v>
      </c>
      <c r="AD634" s="47" t="s">
        <v>4747</v>
      </c>
      <c r="AE634" s="47" t="s">
        <v>937</v>
      </c>
      <c r="AF634" s="47" t="s">
        <v>931</v>
      </c>
      <c r="AG634" s="47" t="s">
        <v>4808</v>
      </c>
      <c r="AH634" s="47" t="s">
        <v>364</v>
      </c>
      <c r="AI634" s="47" t="s">
        <v>931</v>
      </c>
      <c r="AJ634" s="47" t="s">
        <v>365</v>
      </c>
      <c r="AK634" s="47" t="s">
        <v>930</v>
      </c>
      <c r="AL634" s="47" t="s">
        <v>931</v>
      </c>
      <c r="AM634" s="47" t="s">
        <v>931</v>
      </c>
      <c r="AN634" s="37"/>
    </row>
    <row r="635" spans="1:40" hidden="1">
      <c r="A635" s="47" t="s">
        <v>982</v>
      </c>
      <c r="B635" s="47" t="s">
        <v>919</v>
      </c>
      <c r="C635" s="47" t="s">
        <v>4809</v>
      </c>
      <c r="D635" s="47">
        <f t="shared" si="16"/>
        <v>161358</v>
      </c>
      <c r="E635" s="47" t="s">
        <v>642</v>
      </c>
      <c r="F635" s="47" t="s">
        <v>643</v>
      </c>
      <c r="G635" s="47" t="s">
        <v>4665</v>
      </c>
      <c r="H635" s="47" t="s">
        <v>3368</v>
      </c>
      <c r="I635" s="47" t="s">
        <v>4810</v>
      </c>
      <c r="J635" s="47" t="s">
        <v>1055</v>
      </c>
      <c r="K635" s="47" t="s">
        <v>163</v>
      </c>
      <c r="L635" s="47" t="s">
        <v>1371</v>
      </c>
      <c r="M635" s="47" t="s">
        <v>1511</v>
      </c>
      <c r="N635" s="47" t="s">
        <v>1058</v>
      </c>
      <c r="O635" s="47" t="s">
        <v>930</v>
      </c>
      <c r="P635" s="47" t="s">
        <v>930</v>
      </c>
      <c r="Q635" s="47"/>
      <c r="R635" s="47"/>
      <c r="S635" s="47"/>
      <c r="T635" s="47" t="s">
        <v>4811</v>
      </c>
      <c r="U635" s="47" t="s">
        <v>4812</v>
      </c>
      <c r="V635" s="47" t="s">
        <v>645</v>
      </c>
      <c r="W635" s="47" t="s">
        <v>931</v>
      </c>
      <c r="X635" s="47" t="s">
        <v>1063</v>
      </c>
      <c r="Y635" s="47" t="s">
        <v>4665</v>
      </c>
      <c r="Z635" s="47" t="s">
        <v>4669</v>
      </c>
      <c r="AA635" s="47" t="s">
        <v>931</v>
      </c>
      <c r="AB635" s="47" t="s">
        <v>931</v>
      </c>
      <c r="AC635" s="47" t="s">
        <v>1052</v>
      </c>
      <c r="AD635" s="47" t="s">
        <v>4813</v>
      </c>
      <c r="AE635" s="47" t="s">
        <v>937</v>
      </c>
      <c r="AF635" s="47" t="s">
        <v>931</v>
      </c>
      <c r="AG635" s="47" t="s">
        <v>931</v>
      </c>
      <c r="AH635" s="47" t="s">
        <v>1067</v>
      </c>
      <c r="AI635" s="47" t="s">
        <v>931</v>
      </c>
      <c r="AJ635" s="47" t="s">
        <v>365</v>
      </c>
      <c r="AK635" s="47" t="s">
        <v>930</v>
      </c>
      <c r="AL635" s="47" t="s">
        <v>931</v>
      </c>
      <c r="AM635" s="47" t="s">
        <v>931</v>
      </c>
      <c r="AN635" s="37"/>
    </row>
    <row r="636" spans="1:40" hidden="1">
      <c r="A636" s="47" t="s">
        <v>982</v>
      </c>
      <c r="B636" s="47" t="s">
        <v>919</v>
      </c>
      <c r="C636" s="47" t="s">
        <v>4814</v>
      </c>
      <c r="D636" s="47">
        <f t="shared" si="16"/>
        <v>161359</v>
      </c>
      <c r="E636" s="47" t="s">
        <v>642</v>
      </c>
      <c r="F636" s="47" t="s">
        <v>643</v>
      </c>
      <c r="G636" s="47" t="s">
        <v>4646</v>
      </c>
      <c r="H636" s="47" t="s">
        <v>3368</v>
      </c>
      <c r="I636" s="47" t="s">
        <v>4815</v>
      </c>
      <c r="J636" s="47" t="s">
        <v>1055</v>
      </c>
      <c r="K636" s="47" t="s">
        <v>163</v>
      </c>
      <c r="L636" s="47" t="s">
        <v>2744</v>
      </c>
      <c r="M636" s="47" t="s">
        <v>1511</v>
      </c>
      <c r="N636" s="47" t="s">
        <v>1058</v>
      </c>
      <c r="O636" s="47" t="s">
        <v>930</v>
      </c>
      <c r="P636" s="47" t="s">
        <v>930</v>
      </c>
      <c r="Q636" s="47"/>
      <c r="R636" s="47"/>
      <c r="S636" s="47"/>
      <c r="T636" s="47" t="s">
        <v>4816</v>
      </c>
      <c r="U636" s="47" t="s">
        <v>4817</v>
      </c>
      <c r="V636" s="47" t="s">
        <v>647</v>
      </c>
      <c r="W636" s="47" t="s">
        <v>931</v>
      </c>
      <c r="X636" s="47" t="s">
        <v>1063</v>
      </c>
      <c r="Y636" s="47" t="s">
        <v>4646</v>
      </c>
      <c r="Z636" s="47" t="s">
        <v>4650</v>
      </c>
      <c r="AA636" s="47" t="s">
        <v>931</v>
      </c>
      <c r="AB636" s="47" t="s">
        <v>931</v>
      </c>
      <c r="AC636" s="47" t="s">
        <v>1052</v>
      </c>
      <c r="AD636" s="47" t="s">
        <v>4818</v>
      </c>
      <c r="AE636" s="47" t="s">
        <v>937</v>
      </c>
      <c r="AF636" s="47" t="s">
        <v>931</v>
      </c>
      <c r="AG636" s="47" t="s">
        <v>931</v>
      </c>
      <c r="AH636" s="47" t="s">
        <v>1067</v>
      </c>
      <c r="AI636" s="47" t="s">
        <v>931</v>
      </c>
      <c r="AJ636" s="47" t="s">
        <v>365</v>
      </c>
      <c r="AK636" s="47" t="s">
        <v>930</v>
      </c>
      <c r="AL636" s="47" t="s">
        <v>931</v>
      </c>
      <c r="AM636" s="47" t="s">
        <v>931</v>
      </c>
      <c r="AN636" s="37"/>
    </row>
    <row r="637" spans="1:40" hidden="1">
      <c r="A637" s="47" t="s">
        <v>982</v>
      </c>
      <c r="B637" s="47" t="s">
        <v>919</v>
      </c>
      <c r="C637" s="47" t="s">
        <v>4819</v>
      </c>
      <c r="D637" s="47">
        <f t="shared" si="16"/>
        <v>161356</v>
      </c>
      <c r="E637" s="47" t="s">
        <v>454</v>
      </c>
      <c r="F637" s="47" t="s">
        <v>455</v>
      </c>
      <c r="G637" s="47" t="s">
        <v>456</v>
      </c>
      <c r="H637" s="47" t="s">
        <v>924</v>
      </c>
      <c r="I637" s="47" t="s">
        <v>4744</v>
      </c>
      <c r="J637" s="47" t="s">
        <v>944</v>
      </c>
      <c r="K637" s="47" t="s">
        <v>163</v>
      </c>
      <c r="L637" s="47" t="s">
        <v>4820</v>
      </c>
      <c r="M637" s="47" t="s">
        <v>3311</v>
      </c>
      <c r="N637" s="47" t="s">
        <v>946</v>
      </c>
      <c r="O637" s="47" t="s">
        <v>930</v>
      </c>
      <c r="P637" s="47" t="s">
        <v>930</v>
      </c>
      <c r="Q637" s="47"/>
      <c r="R637" s="47"/>
      <c r="S637" s="47"/>
      <c r="T637" s="47" t="s">
        <v>4821</v>
      </c>
      <c r="U637" s="47" t="s">
        <v>4822</v>
      </c>
      <c r="V637" s="47" t="s">
        <v>378</v>
      </c>
      <c r="W637" s="47" t="s">
        <v>931</v>
      </c>
      <c r="X637" s="47" t="s">
        <v>995</v>
      </c>
      <c r="Y637" s="47" t="s">
        <v>456</v>
      </c>
      <c r="Z637" s="47" t="s">
        <v>3331</v>
      </c>
      <c r="AA637" s="47" t="s">
        <v>3332</v>
      </c>
      <c r="AB637" s="47" t="s">
        <v>931</v>
      </c>
      <c r="AC637" s="47" t="s">
        <v>441</v>
      </c>
      <c r="AD637" s="47" t="s">
        <v>4747</v>
      </c>
      <c r="AE637" s="47" t="s">
        <v>937</v>
      </c>
      <c r="AF637" s="47" t="s">
        <v>931</v>
      </c>
      <c r="AG637" s="47" t="s">
        <v>931</v>
      </c>
      <c r="AH637" s="47" t="s">
        <v>364</v>
      </c>
      <c r="AI637" s="47" t="s">
        <v>931</v>
      </c>
      <c r="AJ637" s="47" t="s">
        <v>365</v>
      </c>
      <c r="AK637" s="47" t="s">
        <v>930</v>
      </c>
      <c r="AL637" s="47" t="s">
        <v>931</v>
      </c>
      <c r="AM637" s="47" t="s">
        <v>931</v>
      </c>
      <c r="AN637" s="37"/>
    </row>
    <row r="638" spans="1:40" hidden="1">
      <c r="A638" s="47" t="s">
        <v>982</v>
      </c>
      <c r="B638" s="47" t="s">
        <v>919</v>
      </c>
      <c r="C638" s="47" t="s">
        <v>4823</v>
      </c>
      <c r="D638" s="47">
        <f t="shared" si="16"/>
        <v>161326</v>
      </c>
      <c r="E638" s="47" t="s">
        <v>603</v>
      </c>
      <c r="F638" s="47" t="s">
        <v>604</v>
      </c>
      <c r="G638" s="47" t="s">
        <v>4278</v>
      </c>
      <c r="H638" s="47" t="s">
        <v>1053</v>
      </c>
      <c r="I638" s="47" t="s">
        <v>4641</v>
      </c>
      <c r="J638" s="47" t="s">
        <v>1055</v>
      </c>
      <c r="K638" s="47" t="s">
        <v>163</v>
      </c>
      <c r="L638" s="47" t="s">
        <v>1057</v>
      </c>
      <c r="M638" s="47" t="s">
        <v>1057</v>
      </c>
      <c r="N638" s="47" t="s">
        <v>1058</v>
      </c>
      <c r="O638" s="47" t="s">
        <v>930</v>
      </c>
      <c r="P638" s="47" t="s">
        <v>930</v>
      </c>
      <c r="Q638" s="47" t="str">
        <f>LEFT(T638,9)</f>
        <v xml:space="preserve"> Chiều T4</v>
      </c>
      <c r="R638" s="47" t="s">
        <v>973</v>
      </c>
      <c r="S638" s="47" t="s">
        <v>1059</v>
      </c>
      <c r="T638" s="47" t="s">
        <v>4824</v>
      </c>
      <c r="U638" s="47" t="s">
        <v>4825</v>
      </c>
      <c r="V638" s="47" t="s">
        <v>23</v>
      </c>
      <c r="W638" s="47" t="s">
        <v>931</v>
      </c>
      <c r="X638" s="47" t="s">
        <v>1063</v>
      </c>
      <c r="Y638" s="47" t="s">
        <v>4278</v>
      </c>
      <c r="Z638" s="47" t="s">
        <v>4282</v>
      </c>
      <c r="AA638" s="47" t="s">
        <v>4283</v>
      </c>
      <c r="AB638" s="47" t="s">
        <v>931</v>
      </c>
      <c r="AC638" s="47" t="s">
        <v>1065</v>
      </c>
      <c r="AD638" s="47" t="s">
        <v>4644</v>
      </c>
      <c r="AE638" s="47" t="s">
        <v>937</v>
      </c>
      <c r="AF638" s="47" t="s">
        <v>931</v>
      </c>
      <c r="AG638" s="47" t="s">
        <v>931</v>
      </c>
      <c r="AH638" s="47" t="s">
        <v>931</v>
      </c>
      <c r="AI638" s="47" t="s">
        <v>931</v>
      </c>
      <c r="AJ638" s="47" t="s">
        <v>931</v>
      </c>
      <c r="AK638" s="47" t="s">
        <v>930</v>
      </c>
      <c r="AL638" s="47" t="s">
        <v>931</v>
      </c>
      <c r="AM638" s="47" t="s">
        <v>931</v>
      </c>
      <c r="AN638" s="37"/>
    </row>
    <row r="639" spans="1:40" hidden="1">
      <c r="A639" s="47" t="s">
        <v>982</v>
      </c>
      <c r="B639" s="47" t="s">
        <v>919</v>
      </c>
      <c r="C639" s="47" t="s">
        <v>4826</v>
      </c>
      <c r="D639" s="47">
        <f t="shared" si="16"/>
        <v>161322</v>
      </c>
      <c r="E639" s="47" t="s">
        <v>261</v>
      </c>
      <c r="F639" s="47" t="s">
        <v>262</v>
      </c>
      <c r="G639" s="47" t="s">
        <v>396</v>
      </c>
      <c r="H639" s="47" t="s">
        <v>1325</v>
      </c>
      <c r="I639" s="47" t="s">
        <v>4712</v>
      </c>
      <c r="J639" s="47" t="s">
        <v>1055</v>
      </c>
      <c r="K639" s="47" t="s">
        <v>163</v>
      </c>
      <c r="L639" s="47" t="s">
        <v>3311</v>
      </c>
      <c r="M639" s="47" t="s">
        <v>3311</v>
      </c>
      <c r="N639" s="47" t="s">
        <v>946</v>
      </c>
      <c r="O639" s="47" t="s">
        <v>930</v>
      </c>
      <c r="P639" s="47" t="s">
        <v>930</v>
      </c>
      <c r="Q639" s="47"/>
      <c r="R639" s="47"/>
      <c r="S639" s="47"/>
      <c r="T639" s="47" t="s">
        <v>4827</v>
      </c>
      <c r="U639" s="47" t="s">
        <v>4828</v>
      </c>
      <c r="V639" s="47" t="s">
        <v>363</v>
      </c>
      <c r="W639" s="47" t="s">
        <v>931</v>
      </c>
      <c r="X639" s="47" t="s">
        <v>932</v>
      </c>
      <c r="Y639" s="47" t="s">
        <v>396</v>
      </c>
      <c r="Z639" s="47" t="s">
        <v>1303</v>
      </c>
      <c r="AA639" s="47" t="s">
        <v>1304</v>
      </c>
      <c r="AB639" s="47" t="s">
        <v>931</v>
      </c>
      <c r="AC639" s="47" t="s">
        <v>438</v>
      </c>
      <c r="AD639" s="47" t="s">
        <v>4715</v>
      </c>
      <c r="AE639" s="47" t="s">
        <v>937</v>
      </c>
      <c r="AF639" s="47" t="s">
        <v>931</v>
      </c>
      <c r="AG639" s="47" t="s">
        <v>4829</v>
      </c>
      <c r="AH639" s="47" t="s">
        <v>364</v>
      </c>
      <c r="AI639" s="47" t="s">
        <v>931</v>
      </c>
      <c r="AJ639" s="47" t="s">
        <v>365</v>
      </c>
      <c r="AK639" s="47" t="s">
        <v>930</v>
      </c>
      <c r="AL639" s="47" t="s">
        <v>931</v>
      </c>
      <c r="AM639" s="47" t="s">
        <v>931</v>
      </c>
      <c r="AN639" s="37"/>
    </row>
    <row r="640" spans="1:40" hidden="1">
      <c r="A640" s="47" t="s">
        <v>982</v>
      </c>
      <c r="B640" s="47" t="s">
        <v>919</v>
      </c>
      <c r="C640" s="47" t="s">
        <v>4830</v>
      </c>
      <c r="D640" s="47">
        <f t="shared" si="16"/>
        <v>161710</v>
      </c>
      <c r="E640" s="47" t="s">
        <v>4831</v>
      </c>
      <c r="F640" s="47" t="s">
        <v>4832</v>
      </c>
      <c r="G640" s="47" t="s">
        <v>435</v>
      </c>
      <c r="H640" s="47" t="s">
        <v>924</v>
      </c>
      <c r="I640" s="47" t="s">
        <v>4833</v>
      </c>
      <c r="J640" s="47" t="s">
        <v>944</v>
      </c>
      <c r="K640" s="47" t="s">
        <v>163</v>
      </c>
      <c r="L640" s="47" t="s">
        <v>2718</v>
      </c>
      <c r="M640" s="47" t="s">
        <v>1173</v>
      </c>
      <c r="N640" s="47" t="s">
        <v>946</v>
      </c>
      <c r="O640" s="47" t="s">
        <v>930</v>
      </c>
      <c r="P640" s="47" t="s">
        <v>930</v>
      </c>
      <c r="Q640" s="47"/>
      <c r="R640" s="47"/>
      <c r="S640" s="47"/>
      <c r="T640" s="47" t="s">
        <v>4834</v>
      </c>
      <c r="U640" s="47" t="s">
        <v>4835</v>
      </c>
      <c r="V640" s="47" t="s">
        <v>4338</v>
      </c>
      <c r="W640" s="47" t="s">
        <v>931</v>
      </c>
      <c r="X640" s="47" t="s">
        <v>995</v>
      </c>
      <c r="Y640" s="47" t="s">
        <v>435</v>
      </c>
      <c r="Z640" s="47" t="s">
        <v>4417</v>
      </c>
      <c r="AA640" s="47" t="s">
        <v>4418</v>
      </c>
      <c r="AB640" s="47" t="s">
        <v>931</v>
      </c>
      <c r="AC640" s="47" t="s">
        <v>435</v>
      </c>
      <c r="AD640" s="47" t="s">
        <v>4836</v>
      </c>
      <c r="AE640" s="47" t="s">
        <v>937</v>
      </c>
      <c r="AF640" s="47" t="s">
        <v>931</v>
      </c>
      <c r="AG640" s="47" t="s">
        <v>931</v>
      </c>
      <c r="AH640" s="47" t="s">
        <v>1067</v>
      </c>
      <c r="AI640" s="47" t="s">
        <v>931</v>
      </c>
      <c r="AJ640" s="47" t="s">
        <v>365</v>
      </c>
      <c r="AK640" s="47" t="s">
        <v>930</v>
      </c>
      <c r="AL640" s="47" t="s">
        <v>931</v>
      </c>
      <c r="AM640" s="47" t="s">
        <v>931</v>
      </c>
      <c r="AN640" s="37"/>
    </row>
    <row r="641" spans="1:40" hidden="1">
      <c r="A641" s="47" t="s">
        <v>982</v>
      </c>
      <c r="B641" s="47" t="s">
        <v>919</v>
      </c>
      <c r="C641" s="47" t="s">
        <v>4837</v>
      </c>
      <c r="D641" s="47">
        <f t="shared" si="16"/>
        <v>161330</v>
      </c>
      <c r="E641" s="47" t="s">
        <v>603</v>
      </c>
      <c r="F641" s="47" t="s">
        <v>604</v>
      </c>
      <c r="G641" s="47" t="s">
        <v>4838</v>
      </c>
      <c r="H641" s="47" t="s">
        <v>1053</v>
      </c>
      <c r="I641" s="47" t="s">
        <v>4839</v>
      </c>
      <c r="J641" s="47" t="s">
        <v>1055</v>
      </c>
      <c r="K641" s="47" t="s">
        <v>163</v>
      </c>
      <c r="L641" s="47" t="s">
        <v>1056</v>
      </c>
      <c r="M641" s="47" t="s">
        <v>1057</v>
      </c>
      <c r="N641" s="47" t="s">
        <v>1058</v>
      </c>
      <c r="O641" s="47" t="s">
        <v>930</v>
      </c>
      <c r="P641" s="47" t="s">
        <v>930</v>
      </c>
      <c r="Q641" s="47" t="str">
        <f>LEFT(T641,9)</f>
        <v xml:space="preserve"> Sáng T5:</v>
      </c>
      <c r="R641" s="47" t="s">
        <v>973</v>
      </c>
      <c r="S641" s="47" t="s">
        <v>1027</v>
      </c>
      <c r="T641" s="47" t="s">
        <v>4840</v>
      </c>
      <c r="U641" s="47" t="s">
        <v>4841</v>
      </c>
      <c r="V641" s="47" t="s">
        <v>1062</v>
      </c>
      <c r="W641" s="47" t="s">
        <v>931</v>
      </c>
      <c r="X641" s="47" t="s">
        <v>1063</v>
      </c>
      <c r="Y641" s="47" t="s">
        <v>4838</v>
      </c>
      <c r="Z641" s="47" t="s">
        <v>4842</v>
      </c>
      <c r="AA641" s="47" t="s">
        <v>931</v>
      </c>
      <c r="AB641" s="47" t="s">
        <v>931</v>
      </c>
      <c r="AC641" s="47" t="s">
        <v>1065</v>
      </c>
      <c r="AD641" s="47" t="s">
        <v>4843</v>
      </c>
      <c r="AE641" s="47" t="s">
        <v>937</v>
      </c>
      <c r="AF641" s="47" t="s">
        <v>931</v>
      </c>
      <c r="AG641" s="47" t="s">
        <v>931</v>
      </c>
      <c r="AH641" s="47" t="s">
        <v>1067</v>
      </c>
      <c r="AI641" s="47" t="s">
        <v>931</v>
      </c>
      <c r="AJ641" s="47" t="s">
        <v>365</v>
      </c>
      <c r="AK641" s="47" t="s">
        <v>930</v>
      </c>
      <c r="AL641" s="47" t="s">
        <v>931</v>
      </c>
      <c r="AM641" s="47" t="s">
        <v>931</v>
      </c>
      <c r="AN641" s="37"/>
    </row>
    <row r="642" spans="1:40" hidden="1">
      <c r="A642" s="47" t="s">
        <v>982</v>
      </c>
      <c r="B642" s="47" t="s">
        <v>919</v>
      </c>
      <c r="C642" s="47" t="s">
        <v>4844</v>
      </c>
      <c r="D642" s="47">
        <f t="shared" si="16"/>
        <v>161338</v>
      </c>
      <c r="E642" s="47" t="s">
        <v>610</v>
      </c>
      <c r="F642" s="47" t="s">
        <v>611</v>
      </c>
      <c r="G642" s="47" t="s">
        <v>4845</v>
      </c>
      <c r="H642" s="47" t="s">
        <v>1053</v>
      </c>
      <c r="I642" s="47" t="s">
        <v>4846</v>
      </c>
      <c r="J642" s="47" t="s">
        <v>1055</v>
      </c>
      <c r="K642" s="47" t="s">
        <v>163</v>
      </c>
      <c r="L642" s="47" t="s">
        <v>1392</v>
      </c>
      <c r="M642" s="47" t="s">
        <v>1392</v>
      </c>
      <c r="N642" s="47" t="s">
        <v>1058</v>
      </c>
      <c r="O642" s="47" t="s">
        <v>930</v>
      </c>
      <c r="P642" s="47" t="s">
        <v>930</v>
      </c>
      <c r="Q642" s="47"/>
      <c r="R642" s="47"/>
      <c r="S642" s="47"/>
      <c r="T642" s="47" t="s">
        <v>4847</v>
      </c>
      <c r="U642" s="47" t="s">
        <v>4848</v>
      </c>
      <c r="V642" s="47" t="s">
        <v>612</v>
      </c>
      <c r="W642" s="47" t="s">
        <v>931</v>
      </c>
      <c r="X642" s="47" t="s">
        <v>1063</v>
      </c>
      <c r="Y642" s="47" t="s">
        <v>4845</v>
      </c>
      <c r="Z642" s="47" t="s">
        <v>4849</v>
      </c>
      <c r="AA642" s="47" t="s">
        <v>931</v>
      </c>
      <c r="AB642" s="47" t="s">
        <v>931</v>
      </c>
      <c r="AC642" s="47" t="s">
        <v>1052</v>
      </c>
      <c r="AD642" s="47" t="s">
        <v>4850</v>
      </c>
      <c r="AE642" s="47" t="s">
        <v>937</v>
      </c>
      <c r="AF642" s="47" t="s">
        <v>931</v>
      </c>
      <c r="AG642" s="47" t="s">
        <v>931</v>
      </c>
      <c r="AH642" s="47" t="s">
        <v>1067</v>
      </c>
      <c r="AI642" s="47" t="s">
        <v>931</v>
      </c>
      <c r="AJ642" s="47" t="s">
        <v>365</v>
      </c>
      <c r="AK642" s="47" t="s">
        <v>930</v>
      </c>
      <c r="AL642" s="47" t="s">
        <v>931</v>
      </c>
      <c r="AM642" s="47" t="s">
        <v>931</v>
      </c>
      <c r="AN642" s="37"/>
    </row>
    <row r="643" spans="1:40" hidden="1">
      <c r="A643" s="47" t="s">
        <v>982</v>
      </c>
      <c r="B643" s="47" t="s">
        <v>919</v>
      </c>
      <c r="C643" s="47" t="s">
        <v>4851</v>
      </c>
      <c r="D643" s="47">
        <f t="shared" ref="D643:D706" si="17">VALUE(C643)</f>
        <v>161339</v>
      </c>
      <c r="E643" s="47" t="s">
        <v>610</v>
      </c>
      <c r="F643" s="47" t="s">
        <v>611</v>
      </c>
      <c r="G643" s="47" t="s">
        <v>4852</v>
      </c>
      <c r="H643" s="47" t="s">
        <v>1053</v>
      </c>
      <c r="I643" s="47" t="s">
        <v>1054</v>
      </c>
      <c r="J643" s="47" t="s">
        <v>1055</v>
      </c>
      <c r="K643" s="47" t="s">
        <v>163</v>
      </c>
      <c r="L643" s="47" t="s">
        <v>1392</v>
      </c>
      <c r="M643" s="47" t="s">
        <v>1392</v>
      </c>
      <c r="N643" s="47" t="s">
        <v>1058</v>
      </c>
      <c r="O643" s="47" t="s">
        <v>930</v>
      </c>
      <c r="P643" s="47" t="s">
        <v>930</v>
      </c>
      <c r="Q643" s="47"/>
      <c r="R643" s="47"/>
      <c r="S643" s="47"/>
      <c r="T643" s="47" t="s">
        <v>4853</v>
      </c>
      <c r="U643" s="47" t="s">
        <v>4854</v>
      </c>
      <c r="V643" s="47" t="s">
        <v>613</v>
      </c>
      <c r="W643" s="47" t="s">
        <v>931</v>
      </c>
      <c r="X643" s="47" t="s">
        <v>1063</v>
      </c>
      <c r="Y643" s="47" t="s">
        <v>4852</v>
      </c>
      <c r="Z643" s="47" t="s">
        <v>4855</v>
      </c>
      <c r="AA643" s="47" t="s">
        <v>931</v>
      </c>
      <c r="AB643" s="47" t="s">
        <v>931</v>
      </c>
      <c r="AC643" s="47" t="s">
        <v>1052</v>
      </c>
      <c r="AD643" s="47" t="s">
        <v>1066</v>
      </c>
      <c r="AE643" s="47" t="s">
        <v>937</v>
      </c>
      <c r="AF643" s="47" t="s">
        <v>931</v>
      </c>
      <c r="AG643" s="47" t="s">
        <v>931</v>
      </c>
      <c r="AH643" s="47" t="s">
        <v>1067</v>
      </c>
      <c r="AI643" s="47" t="s">
        <v>931</v>
      </c>
      <c r="AJ643" s="47" t="s">
        <v>365</v>
      </c>
      <c r="AK643" s="47" t="s">
        <v>930</v>
      </c>
      <c r="AL643" s="47" t="s">
        <v>931</v>
      </c>
      <c r="AM643" s="47" t="s">
        <v>931</v>
      </c>
      <c r="AN643" s="37"/>
    </row>
    <row r="644" spans="1:40" hidden="1">
      <c r="A644" s="47" t="s">
        <v>982</v>
      </c>
      <c r="B644" s="47" t="s">
        <v>919</v>
      </c>
      <c r="C644" s="47" t="s">
        <v>4856</v>
      </c>
      <c r="D644" s="47">
        <f t="shared" si="17"/>
        <v>161705</v>
      </c>
      <c r="E644" s="47" t="s">
        <v>341</v>
      </c>
      <c r="F644" s="47" t="s">
        <v>342</v>
      </c>
      <c r="G644" s="47" t="s">
        <v>1164</v>
      </c>
      <c r="H644" s="47" t="s">
        <v>969</v>
      </c>
      <c r="I644" s="47" t="s">
        <v>4857</v>
      </c>
      <c r="J644" s="47" t="s">
        <v>944</v>
      </c>
      <c r="K644" s="47" t="s">
        <v>163</v>
      </c>
      <c r="L644" s="47" t="s">
        <v>4601</v>
      </c>
      <c r="M644" s="47" t="s">
        <v>2248</v>
      </c>
      <c r="N644" s="47" t="s">
        <v>946</v>
      </c>
      <c r="O644" s="47" t="s">
        <v>930</v>
      </c>
      <c r="P644" s="47" t="s">
        <v>930</v>
      </c>
      <c r="Q644" s="47"/>
      <c r="R644" s="47"/>
      <c r="S644" s="47"/>
      <c r="T644" s="47" t="s">
        <v>4858</v>
      </c>
      <c r="U644" s="47" t="s">
        <v>4859</v>
      </c>
      <c r="V644" s="47" t="s">
        <v>4860</v>
      </c>
      <c r="W644" s="47" t="s">
        <v>931</v>
      </c>
      <c r="X644" s="47" t="s">
        <v>932</v>
      </c>
      <c r="Y644" s="47" t="s">
        <v>1164</v>
      </c>
      <c r="Z644" s="47" t="s">
        <v>1165</v>
      </c>
      <c r="AA644" s="47" t="s">
        <v>1166</v>
      </c>
      <c r="AB644" s="47" t="s">
        <v>931</v>
      </c>
      <c r="AC644" s="47" t="s">
        <v>515</v>
      </c>
      <c r="AD644" s="47" t="s">
        <v>4861</v>
      </c>
      <c r="AE644" s="47" t="s">
        <v>937</v>
      </c>
      <c r="AF644" s="47" t="s">
        <v>931</v>
      </c>
      <c r="AG644" s="47" t="s">
        <v>4862</v>
      </c>
      <c r="AH644" s="47" t="s">
        <v>364</v>
      </c>
      <c r="AI644" s="47" t="s">
        <v>931</v>
      </c>
      <c r="AJ644" s="47" t="s">
        <v>365</v>
      </c>
      <c r="AK644" s="47" t="s">
        <v>930</v>
      </c>
      <c r="AL644" s="47" t="s">
        <v>931</v>
      </c>
      <c r="AM644" s="47" t="s">
        <v>931</v>
      </c>
      <c r="AN644" s="37"/>
    </row>
    <row r="645" spans="1:40" hidden="1">
      <c r="A645" s="47" t="s">
        <v>982</v>
      </c>
      <c r="B645" s="47" t="s">
        <v>919</v>
      </c>
      <c r="C645" s="47" t="s">
        <v>4863</v>
      </c>
      <c r="D645" s="47">
        <f t="shared" si="17"/>
        <v>161321</v>
      </c>
      <c r="E645" s="47" t="s">
        <v>261</v>
      </c>
      <c r="F645" s="47" t="s">
        <v>262</v>
      </c>
      <c r="G645" s="47" t="s">
        <v>437</v>
      </c>
      <c r="H645" s="47" t="s">
        <v>1325</v>
      </c>
      <c r="I645" s="47" t="s">
        <v>4725</v>
      </c>
      <c r="J645" s="47" t="s">
        <v>1055</v>
      </c>
      <c r="K645" s="47" t="s">
        <v>163</v>
      </c>
      <c r="L645" s="47" t="s">
        <v>3716</v>
      </c>
      <c r="M645" s="47" t="s">
        <v>3311</v>
      </c>
      <c r="N645" s="47" t="s">
        <v>946</v>
      </c>
      <c r="O645" s="47" t="s">
        <v>930</v>
      </c>
      <c r="P645" s="47" t="s">
        <v>930</v>
      </c>
      <c r="Q645" s="47"/>
      <c r="R645" s="47"/>
      <c r="S645" s="47"/>
      <c r="T645" s="47" t="s">
        <v>4864</v>
      </c>
      <c r="U645" s="47" t="s">
        <v>4865</v>
      </c>
      <c r="V645" s="47" t="s">
        <v>378</v>
      </c>
      <c r="W645" s="47" t="s">
        <v>931</v>
      </c>
      <c r="X645" s="47" t="s">
        <v>932</v>
      </c>
      <c r="Y645" s="47" t="s">
        <v>437</v>
      </c>
      <c r="Z645" s="47" t="s">
        <v>1320</v>
      </c>
      <c r="AA645" s="47" t="s">
        <v>1321</v>
      </c>
      <c r="AB645" s="47" t="s">
        <v>931</v>
      </c>
      <c r="AC645" s="47" t="s">
        <v>438</v>
      </c>
      <c r="AD645" s="47" t="s">
        <v>4728</v>
      </c>
      <c r="AE645" s="47" t="s">
        <v>937</v>
      </c>
      <c r="AF645" s="47" t="s">
        <v>931</v>
      </c>
      <c r="AG645" s="47" t="s">
        <v>4866</v>
      </c>
      <c r="AH645" s="47" t="s">
        <v>364</v>
      </c>
      <c r="AI645" s="47" t="s">
        <v>931</v>
      </c>
      <c r="AJ645" s="47" t="s">
        <v>365</v>
      </c>
      <c r="AK645" s="47" t="s">
        <v>930</v>
      </c>
      <c r="AL645" s="47" t="s">
        <v>931</v>
      </c>
      <c r="AM645" s="47" t="s">
        <v>931</v>
      </c>
      <c r="AN645" s="37"/>
    </row>
    <row r="646" spans="1:40" hidden="1">
      <c r="A646" s="47" t="s">
        <v>982</v>
      </c>
      <c r="B646" s="47" t="s">
        <v>919</v>
      </c>
      <c r="C646" s="47" t="s">
        <v>4867</v>
      </c>
      <c r="D646" s="47">
        <f t="shared" si="17"/>
        <v>161702</v>
      </c>
      <c r="E646" s="47" t="s">
        <v>70</v>
      </c>
      <c r="F646" s="47" t="s">
        <v>252</v>
      </c>
      <c r="G646" s="47" t="s">
        <v>847</v>
      </c>
      <c r="H646" s="47" t="s">
        <v>924</v>
      </c>
      <c r="I646" s="47" t="s">
        <v>4868</v>
      </c>
      <c r="J646" s="47" t="s">
        <v>944</v>
      </c>
      <c r="K646" s="47" t="s">
        <v>163</v>
      </c>
      <c r="L646" s="47" t="s">
        <v>4869</v>
      </c>
      <c r="M646" s="47" t="s">
        <v>2719</v>
      </c>
      <c r="N646" s="47" t="s">
        <v>946</v>
      </c>
      <c r="O646" s="47" t="s">
        <v>930</v>
      </c>
      <c r="P646" s="47" t="s">
        <v>930</v>
      </c>
      <c r="Q646" s="47"/>
      <c r="R646" s="47"/>
      <c r="S646" s="47"/>
      <c r="T646" s="47" t="s">
        <v>4870</v>
      </c>
      <c r="U646" s="47" t="s">
        <v>4871</v>
      </c>
      <c r="V646" s="47" t="s">
        <v>428</v>
      </c>
      <c r="W646" s="47" t="s">
        <v>931</v>
      </c>
      <c r="X646" s="47" t="s">
        <v>932</v>
      </c>
      <c r="Y646" s="47" t="s">
        <v>847</v>
      </c>
      <c r="Z646" s="47" t="s">
        <v>3322</v>
      </c>
      <c r="AA646" s="47" t="s">
        <v>3323</v>
      </c>
      <c r="AB646" s="47" t="s">
        <v>4872</v>
      </c>
      <c r="AC646" s="47" t="s">
        <v>396</v>
      </c>
      <c r="AD646" s="47" t="s">
        <v>4873</v>
      </c>
      <c r="AE646" s="47" t="s">
        <v>937</v>
      </c>
      <c r="AF646" s="47" t="s">
        <v>931</v>
      </c>
      <c r="AG646" s="47" t="s">
        <v>4874</v>
      </c>
      <c r="AH646" s="47" t="s">
        <v>364</v>
      </c>
      <c r="AI646" s="47" t="s">
        <v>931</v>
      </c>
      <c r="AJ646" s="47" t="s">
        <v>365</v>
      </c>
      <c r="AK646" s="47" t="s">
        <v>930</v>
      </c>
      <c r="AL646" s="47" t="s">
        <v>931</v>
      </c>
      <c r="AM646" s="47" t="s">
        <v>931</v>
      </c>
      <c r="AN646" s="37"/>
    </row>
    <row r="647" spans="1:40" hidden="1">
      <c r="A647" s="47" t="s">
        <v>982</v>
      </c>
      <c r="B647" s="47" t="s">
        <v>919</v>
      </c>
      <c r="C647" s="47" t="s">
        <v>4875</v>
      </c>
      <c r="D647" s="47">
        <f t="shared" si="17"/>
        <v>161704</v>
      </c>
      <c r="E647" s="47" t="s">
        <v>4876</v>
      </c>
      <c r="F647" s="47" t="s">
        <v>4877</v>
      </c>
      <c r="G647" s="47" t="s">
        <v>1049</v>
      </c>
      <c r="H647" s="47" t="s">
        <v>924</v>
      </c>
      <c r="I647" s="47" t="s">
        <v>4857</v>
      </c>
      <c r="J647" s="47" t="s">
        <v>944</v>
      </c>
      <c r="K647" s="47" t="s">
        <v>163</v>
      </c>
      <c r="L647" s="47" t="s">
        <v>3839</v>
      </c>
      <c r="M647" s="47" t="s">
        <v>2753</v>
      </c>
      <c r="N647" s="47" t="s">
        <v>946</v>
      </c>
      <c r="O647" s="47" t="s">
        <v>930</v>
      </c>
      <c r="P647" s="47" t="s">
        <v>930</v>
      </c>
      <c r="Q647" s="47"/>
      <c r="R647" s="47"/>
      <c r="S647" s="47"/>
      <c r="T647" s="47" t="s">
        <v>4878</v>
      </c>
      <c r="U647" s="47" t="s">
        <v>4879</v>
      </c>
      <c r="V647" s="47" t="s">
        <v>4880</v>
      </c>
      <c r="W647" s="47" t="s">
        <v>931</v>
      </c>
      <c r="X647" s="47" t="s">
        <v>932</v>
      </c>
      <c r="Y647" s="47" t="s">
        <v>1049</v>
      </c>
      <c r="Z647" s="47" t="s">
        <v>3220</v>
      </c>
      <c r="AA647" s="47" t="s">
        <v>3221</v>
      </c>
      <c r="AB647" s="47" t="s">
        <v>931</v>
      </c>
      <c r="AC647" s="47" t="s">
        <v>470</v>
      </c>
      <c r="AD647" s="47" t="s">
        <v>4861</v>
      </c>
      <c r="AE647" s="47" t="s">
        <v>937</v>
      </c>
      <c r="AF647" s="47" t="s">
        <v>931</v>
      </c>
      <c r="AG647" s="47" t="s">
        <v>4881</v>
      </c>
      <c r="AH647" s="47" t="s">
        <v>1067</v>
      </c>
      <c r="AI647" s="47" t="s">
        <v>931</v>
      </c>
      <c r="AJ647" s="47" t="s">
        <v>365</v>
      </c>
      <c r="AK647" s="47" t="s">
        <v>930</v>
      </c>
      <c r="AL647" s="47" t="s">
        <v>931</v>
      </c>
      <c r="AM647" s="47" t="s">
        <v>931</v>
      </c>
      <c r="AN647" s="37"/>
    </row>
    <row r="648" spans="1:40" hidden="1">
      <c r="A648" s="47" t="s">
        <v>982</v>
      </c>
      <c r="B648" s="47" t="s">
        <v>919</v>
      </c>
      <c r="C648" s="47" t="s">
        <v>4882</v>
      </c>
      <c r="D648" s="47">
        <f t="shared" si="17"/>
        <v>161327</v>
      </c>
      <c r="E648" s="47" t="s">
        <v>603</v>
      </c>
      <c r="F648" s="47" t="s">
        <v>604</v>
      </c>
      <c r="G648" s="47" t="s">
        <v>4838</v>
      </c>
      <c r="H648" s="47" t="s">
        <v>1053</v>
      </c>
      <c r="I648" s="47" t="s">
        <v>4712</v>
      </c>
      <c r="J648" s="47" t="s">
        <v>1055</v>
      </c>
      <c r="K648" s="47" t="s">
        <v>163</v>
      </c>
      <c r="L648" s="47" t="s">
        <v>1057</v>
      </c>
      <c r="M648" s="47" t="s">
        <v>1057</v>
      </c>
      <c r="N648" s="47" t="s">
        <v>1058</v>
      </c>
      <c r="O648" s="47" t="s">
        <v>930</v>
      </c>
      <c r="P648" s="47" t="s">
        <v>930</v>
      </c>
      <c r="Q648" s="47" t="str">
        <f>LEFT(T648,9)</f>
        <v xml:space="preserve"> Chiều T4</v>
      </c>
      <c r="R648" s="47" t="s">
        <v>973</v>
      </c>
      <c r="S648" s="47" t="s">
        <v>1059</v>
      </c>
      <c r="T648" s="47" t="s">
        <v>4883</v>
      </c>
      <c r="U648" s="47" t="s">
        <v>4884</v>
      </c>
      <c r="V648" s="47" t="s">
        <v>21</v>
      </c>
      <c r="W648" s="47" t="s">
        <v>931</v>
      </c>
      <c r="X648" s="47" t="s">
        <v>1063</v>
      </c>
      <c r="Y648" s="47" t="s">
        <v>4838</v>
      </c>
      <c r="Z648" s="47" t="s">
        <v>4842</v>
      </c>
      <c r="AA648" s="47" t="s">
        <v>931</v>
      </c>
      <c r="AB648" s="47" t="s">
        <v>931</v>
      </c>
      <c r="AC648" s="47" t="s">
        <v>1065</v>
      </c>
      <c r="AD648" s="47" t="s">
        <v>4715</v>
      </c>
      <c r="AE648" s="47" t="s">
        <v>937</v>
      </c>
      <c r="AF648" s="47" t="s">
        <v>931</v>
      </c>
      <c r="AG648" s="47" t="s">
        <v>931</v>
      </c>
      <c r="AH648" s="47" t="s">
        <v>1067</v>
      </c>
      <c r="AI648" s="47" t="s">
        <v>931</v>
      </c>
      <c r="AJ648" s="47" t="s">
        <v>365</v>
      </c>
      <c r="AK648" s="47" t="s">
        <v>930</v>
      </c>
      <c r="AL648" s="47" t="s">
        <v>931</v>
      </c>
      <c r="AM648" s="47" t="s">
        <v>931</v>
      </c>
      <c r="AN648" s="37"/>
    </row>
    <row r="649" spans="1:40" hidden="1">
      <c r="A649" s="47" t="s">
        <v>982</v>
      </c>
      <c r="B649" s="47" t="s">
        <v>919</v>
      </c>
      <c r="C649" s="47" t="s">
        <v>4885</v>
      </c>
      <c r="D649" s="47">
        <f t="shared" si="17"/>
        <v>161701</v>
      </c>
      <c r="E649" s="47" t="s">
        <v>70</v>
      </c>
      <c r="F649" s="47" t="s">
        <v>252</v>
      </c>
      <c r="G649" s="47" t="s">
        <v>847</v>
      </c>
      <c r="H649" s="47" t="s">
        <v>924</v>
      </c>
      <c r="I649" s="47" t="s">
        <v>4868</v>
      </c>
      <c r="J649" s="47" t="s">
        <v>944</v>
      </c>
      <c r="K649" s="47" t="s">
        <v>163</v>
      </c>
      <c r="L649" s="47" t="s">
        <v>4108</v>
      </c>
      <c r="M649" s="47" t="s">
        <v>2719</v>
      </c>
      <c r="N649" s="47" t="s">
        <v>946</v>
      </c>
      <c r="O649" s="47" t="s">
        <v>930</v>
      </c>
      <c r="P649" s="47" t="s">
        <v>930</v>
      </c>
      <c r="Q649" s="47"/>
      <c r="R649" s="47"/>
      <c r="S649" s="47"/>
      <c r="T649" s="47" t="s">
        <v>4886</v>
      </c>
      <c r="U649" s="47" t="s">
        <v>4887</v>
      </c>
      <c r="V649" s="47" t="s">
        <v>428</v>
      </c>
      <c r="W649" s="47" t="s">
        <v>931</v>
      </c>
      <c r="X649" s="47" t="s">
        <v>932</v>
      </c>
      <c r="Y649" s="47" t="s">
        <v>847</v>
      </c>
      <c r="Z649" s="47" t="s">
        <v>3322</v>
      </c>
      <c r="AA649" s="47" t="s">
        <v>3323</v>
      </c>
      <c r="AB649" s="47" t="s">
        <v>4888</v>
      </c>
      <c r="AC649" s="47" t="s">
        <v>396</v>
      </c>
      <c r="AD649" s="47" t="s">
        <v>4873</v>
      </c>
      <c r="AE649" s="47" t="s">
        <v>937</v>
      </c>
      <c r="AF649" s="47" t="s">
        <v>931</v>
      </c>
      <c r="AG649" s="47" t="s">
        <v>4889</v>
      </c>
      <c r="AH649" s="47" t="s">
        <v>364</v>
      </c>
      <c r="AI649" s="47" t="s">
        <v>931</v>
      </c>
      <c r="AJ649" s="47" t="s">
        <v>365</v>
      </c>
      <c r="AK649" s="47" t="s">
        <v>930</v>
      </c>
      <c r="AL649" s="47" t="s">
        <v>931</v>
      </c>
      <c r="AM649" s="47" t="s">
        <v>931</v>
      </c>
      <c r="AN649" s="37"/>
    </row>
    <row r="650" spans="1:40" hidden="1">
      <c r="A650" s="47" t="s">
        <v>982</v>
      </c>
      <c r="B650" s="47" t="s">
        <v>919</v>
      </c>
      <c r="C650" s="47" t="s">
        <v>4890</v>
      </c>
      <c r="D650" s="47">
        <f t="shared" si="17"/>
        <v>161333</v>
      </c>
      <c r="E650" s="47" t="s">
        <v>610</v>
      </c>
      <c r="F650" s="47" t="s">
        <v>611</v>
      </c>
      <c r="G650" s="47" t="s">
        <v>4845</v>
      </c>
      <c r="H650" s="47" t="s">
        <v>1053</v>
      </c>
      <c r="I650" s="47" t="s">
        <v>4725</v>
      </c>
      <c r="J650" s="47" t="s">
        <v>1055</v>
      </c>
      <c r="K650" s="47" t="s">
        <v>163</v>
      </c>
      <c r="L650" s="47" t="s">
        <v>1246</v>
      </c>
      <c r="M650" s="47" t="s">
        <v>1511</v>
      </c>
      <c r="N650" s="47" t="s">
        <v>1058</v>
      </c>
      <c r="O650" s="47" t="s">
        <v>930</v>
      </c>
      <c r="P650" s="47" t="s">
        <v>930</v>
      </c>
      <c r="Q650" s="47"/>
      <c r="R650" s="47"/>
      <c r="S650" s="47"/>
      <c r="T650" s="47" t="s">
        <v>4891</v>
      </c>
      <c r="U650" s="47" t="s">
        <v>4892</v>
      </c>
      <c r="V650" s="47" t="s">
        <v>612</v>
      </c>
      <c r="W650" s="47" t="s">
        <v>931</v>
      </c>
      <c r="X650" s="47" t="s">
        <v>1063</v>
      </c>
      <c r="Y650" s="47" t="s">
        <v>4845</v>
      </c>
      <c r="Z650" s="47" t="s">
        <v>4849</v>
      </c>
      <c r="AA650" s="47" t="s">
        <v>931</v>
      </c>
      <c r="AB650" s="47" t="s">
        <v>931</v>
      </c>
      <c r="AC650" s="47" t="s">
        <v>1052</v>
      </c>
      <c r="AD650" s="47" t="s">
        <v>4728</v>
      </c>
      <c r="AE650" s="47" t="s">
        <v>937</v>
      </c>
      <c r="AF650" s="47" t="s">
        <v>931</v>
      </c>
      <c r="AG650" s="47" t="s">
        <v>931</v>
      </c>
      <c r="AH650" s="47" t="s">
        <v>1067</v>
      </c>
      <c r="AI650" s="47" t="s">
        <v>931</v>
      </c>
      <c r="AJ650" s="47" t="s">
        <v>365</v>
      </c>
      <c r="AK650" s="47" t="s">
        <v>930</v>
      </c>
      <c r="AL650" s="47" t="s">
        <v>931</v>
      </c>
      <c r="AM650" s="47" t="s">
        <v>931</v>
      </c>
      <c r="AN650" s="37"/>
    </row>
    <row r="651" spans="1:40" hidden="1">
      <c r="A651" s="47" t="s">
        <v>982</v>
      </c>
      <c r="B651" s="47" t="s">
        <v>919</v>
      </c>
      <c r="C651" s="47" t="s">
        <v>4893</v>
      </c>
      <c r="D651" s="47">
        <f t="shared" si="17"/>
        <v>161335</v>
      </c>
      <c r="E651" s="47" t="s">
        <v>610</v>
      </c>
      <c r="F651" s="47" t="s">
        <v>611</v>
      </c>
      <c r="G651" s="47" t="s">
        <v>4793</v>
      </c>
      <c r="H651" s="47" t="s">
        <v>1053</v>
      </c>
      <c r="I651" s="47" t="s">
        <v>4894</v>
      </c>
      <c r="J651" s="47" t="s">
        <v>1055</v>
      </c>
      <c r="K651" s="47" t="s">
        <v>163</v>
      </c>
      <c r="L651" s="47" t="s">
        <v>1909</v>
      </c>
      <c r="M651" s="47" t="s">
        <v>1511</v>
      </c>
      <c r="N651" s="47" t="s">
        <v>1058</v>
      </c>
      <c r="O651" s="47" t="s">
        <v>930</v>
      </c>
      <c r="P651" s="47" t="s">
        <v>930</v>
      </c>
      <c r="Q651" s="47"/>
      <c r="R651" s="47"/>
      <c r="S651" s="47"/>
      <c r="T651" s="47" t="s">
        <v>4895</v>
      </c>
      <c r="U651" s="47" t="s">
        <v>4896</v>
      </c>
      <c r="V651" s="47" t="s">
        <v>614</v>
      </c>
      <c r="W651" s="47" t="s">
        <v>931</v>
      </c>
      <c r="X651" s="47" t="s">
        <v>1063</v>
      </c>
      <c r="Y651" s="47" t="s">
        <v>4793</v>
      </c>
      <c r="Z651" s="47" t="s">
        <v>4797</v>
      </c>
      <c r="AA651" s="47" t="s">
        <v>931</v>
      </c>
      <c r="AB651" s="47" t="s">
        <v>931</v>
      </c>
      <c r="AC651" s="47" t="s">
        <v>1052</v>
      </c>
      <c r="AD651" s="47" t="s">
        <v>4897</v>
      </c>
      <c r="AE651" s="47" t="s">
        <v>937</v>
      </c>
      <c r="AF651" s="47" t="s">
        <v>931</v>
      </c>
      <c r="AG651" s="47" t="s">
        <v>931</v>
      </c>
      <c r="AH651" s="47" t="s">
        <v>931</v>
      </c>
      <c r="AI651" s="47" t="s">
        <v>931</v>
      </c>
      <c r="AJ651" s="47" t="s">
        <v>931</v>
      </c>
      <c r="AK651" s="47" t="s">
        <v>930</v>
      </c>
      <c r="AL651" s="47" t="s">
        <v>931</v>
      </c>
      <c r="AM651" s="47" t="s">
        <v>931</v>
      </c>
      <c r="AN651" s="37"/>
    </row>
    <row r="652" spans="1:40" hidden="1">
      <c r="A652" s="47" t="s">
        <v>982</v>
      </c>
      <c r="B652" s="47" t="s">
        <v>919</v>
      </c>
      <c r="C652" s="47" t="s">
        <v>4898</v>
      </c>
      <c r="D652" s="47">
        <f t="shared" si="17"/>
        <v>161709</v>
      </c>
      <c r="E652" s="47" t="s">
        <v>4899</v>
      </c>
      <c r="F652" s="47" t="s">
        <v>4900</v>
      </c>
      <c r="G652" s="47" t="s">
        <v>410</v>
      </c>
      <c r="H652" s="47" t="s">
        <v>924</v>
      </c>
      <c r="I652" s="47" t="s">
        <v>4833</v>
      </c>
      <c r="J652" s="47" t="s">
        <v>944</v>
      </c>
      <c r="K652" s="47" t="s">
        <v>163</v>
      </c>
      <c r="L652" s="47" t="s">
        <v>1506</v>
      </c>
      <c r="M652" s="47" t="s">
        <v>1173</v>
      </c>
      <c r="N652" s="47" t="s">
        <v>946</v>
      </c>
      <c r="O652" s="47" t="s">
        <v>930</v>
      </c>
      <c r="P652" s="47" t="s">
        <v>930</v>
      </c>
      <c r="Q652" s="47"/>
      <c r="R652" s="47"/>
      <c r="S652" s="47"/>
      <c r="T652" s="47" t="s">
        <v>4901</v>
      </c>
      <c r="U652" s="47" t="s">
        <v>4902</v>
      </c>
      <c r="V652" s="47" t="s">
        <v>4338</v>
      </c>
      <c r="W652" s="47" t="s">
        <v>931</v>
      </c>
      <c r="X652" s="47" t="s">
        <v>995</v>
      </c>
      <c r="Y652" s="47" t="s">
        <v>410</v>
      </c>
      <c r="Z652" s="47" t="s">
        <v>4604</v>
      </c>
      <c r="AA652" s="47" t="s">
        <v>4605</v>
      </c>
      <c r="AB652" s="47" t="s">
        <v>931</v>
      </c>
      <c r="AC652" s="47" t="s">
        <v>410</v>
      </c>
      <c r="AD652" s="47" t="s">
        <v>4836</v>
      </c>
      <c r="AE652" s="47" t="s">
        <v>937</v>
      </c>
      <c r="AF652" s="47" t="s">
        <v>931</v>
      </c>
      <c r="AG652" s="47" t="s">
        <v>931</v>
      </c>
      <c r="AH652" s="47" t="s">
        <v>1067</v>
      </c>
      <c r="AI652" s="47" t="s">
        <v>931</v>
      </c>
      <c r="AJ652" s="47" t="s">
        <v>365</v>
      </c>
      <c r="AK652" s="47" t="s">
        <v>930</v>
      </c>
      <c r="AL652" s="47" t="s">
        <v>931</v>
      </c>
      <c r="AM652" s="47" t="s">
        <v>931</v>
      </c>
      <c r="AN652" s="37"/>
    </row>
    <row r="653" spans="1:40" hidden="1">
      <c r="A653" s="47" t="s">
        <v>982</v>
      </c>
      <c r="B653" s="47" t="s">
        <v>919</v>
      </c>
      <c r="C653" s="47" t="s">
        <v>4903</v>
      </c>
      <c r="D653" s="47">
        <f t="shared" si="17"/>
        <v>161703</v>
      </c>
      <c r="E653" s="47" t="s">
        <v>69</v>
      </c>
      <c r="F653" s="47" t="s">
        <v>281</v>
      </c>
      <c r="G653" s="47" t="s">
        <v>990</v>
      </c>
      <c r="H653" s="47" t="s">
        <v>969</v>
      </c>
      <c r="I653" s="47" t="s">
        <v>4857</v>
      </c>
      <c r="J653" s="47" t="s">
        <v>944</v>
      </c>
      <c r="K653" s="47" t="s">
        <v>163</v>
      </c>
      <c r="L653" s="47" t="s">
        <v>4820</v>
      </c>
      <c r="M653" s="47" t="s">
        <v>2753</v>
      </c>
      <c r="N653" s="47" t="s">
        <v>946</v>
      </c>
      <c r="O653" s="47" t="s">
        <v>930</v>
      </c>
      <c r="P653" s="47" t="s">
        <v>930</v>
      </c>
      <c r="Q653" s="47"/>
      <c r="R653" s="47"/>
      <c r="S653" s="47"/>
      <c r="T653" s="47" t="s">
        <v>4904</v>
      </c>
      <c r="U653" s="47" t="s">
        <v>4905</v>
      </c>
      <c r="V653" s="47" t="s">
        <v>4880</v>
      </c>
      <c r="W653" s="47" t="s">
        <v>931</v>
      </c>
      <c r="X653" s="47" t="s">
        <v>932</v>
      </c>
      <c r="Y653" s="47" t="s">
        <v>990</v>
      </c>
      <c r="Z653" s="47" t="s">
        <v>4906</v>
      </c>
      <c r="AA653" s="47" t="s">
        <v>4907</v>
      </c>
      <c r="AB653" s="47" t="s">
        <v>931</v>
      </c>
      <c r="AC653" s="47" t="s">
        <v>990</v>
      </c>
      <c r="AD653" s="47" t="s">
        <v>4861</v>
      </c>
      <c r="AE653" s="47" t="s">
        <v>937</v>
      </c>
      <c r="AF653" s="47" t="s">
        <v>931</v>
      </c>
      <c r="AG653" s="47" t="s">
        <v>4908</v>
      </c>
      <c r="AH653" s="47" t="s">
        <v>364</v>
      </c>
      <c r="AI653" s="47" t="s">
        <v>931</v>
      </c>
      <c r="AJ653" s="47" t="s">
        <v>365</v>
      </c>
      <c r="AK653" s="47" t="s">
        <v>930</v>
      </c>
      <c r="AL653" s="47" t="s">
        <v>931</v>
      </c>
      <c r="AM653" s="47" t="s">
        <v>931</v>
      </c>
      <c r="AN653" s="37"/>
    </row>
    <row r="654" spans="1:40" hidden="1">
      <c r="A654" s="47" t="s">
        <v>982</v>
      </c>
      <c r="B654" s="47" t="s">
        <v>919</v>
      </c>
      <c r="C654" s="47" t="s">
        <v>4909</v>
      </c>
      <c r="D654" s="47">
        <f t="shared" si="17"/>
        <v>161337</v>
      </c>
      <c r="E654" s="47" t="s">
        <v>610</v>
      </c>
      <c r="F654" s="47" t="s">
        <v>611</v>
      </c>
      <c r="G654" s="47" t="s">
        <v>3663</v>
      </c>
      <c r="H654" s="47" t="s">
        <v>1053</v>
      </c>
      <c r="I654" s="47" t="s">
        <v>4839</v>
      </c>
      <c r="J654" s="47" t="s">
        <v>1055</v>
      </c>
      <c r="K654" s="47" t="s">
        <v>163</v>
      </c>
      <c r="L654" s="47" t="s">
        <v>1447</v>
      </c>
      <c r="M654" s="47" t="s">
        <v>1392</v>
      </c>
      <c r="N654" s="47" t="s">
        <v>1058</v>
      </c>
      <c r="O654" s="47" t="s">
        <v>930</v>
      </c>
      <c r="P654" s="47" t="s">
        <v>930</v>
      </c>
      <c r="Q654" s="47"/>
      <c r="R654" s="47"/>
      <c r="S654" s="47"/>
      <c r="T654" s="47" t="s">
        <v>4910</v>
      </c>
      <c r="U654" s="47" t="s">
        <v>4911</v>
      </c>
      <c r="V654" s="47" t="s">
        <v>615</v>
      </c>
      <c r="W654" s="47" t="s">
        <v>931</v>
      </c>
      <c r="X654" s="47" t="s">
        <v>1063</v>
      </c>
      <c r="Y654" s="47" t="s">
        <v>3663</v>
      </c>
      <c r="Z654" s="47" t="s">
        <v>3668</v>
      </c>
      <c r="AA654" s="47" t="s">
        <v>931</v>
      </c>
      <c r="AB654" s="47" t="s">
        <v>931</v>
      </c>
      <c r="AC654" s="47" t="s">
        <v>1052</v>
      </c>
      <c r="AD654" s="47" t="s">
        <v>4843</v>
      </c>
      <c r="AE654" s="47" t="s">
        <v>937</v>
      </c>
      <c r="AF654" s="47" t="s">
        <v>931</v>
      </c>
      <c r="AG654" s="47" t="s">
        <v>931</v>
      </c>
      <c r="AH654" s="47" t="s">
        <v>1067</v>
      </c>
      <c r="AI654" s="47" t="s">
        <v>931</v>
      </c>
      <c r="AJ654" s="47" t="s">
        <v>365</v>
      </c>
      <c r="AK654" s="47" t="s">
        <v>930</v>
      </c>
      <c r="AL654" s="47" t="s">
        <v>931</v>
      </c>
      <c r="AM654" s="47" t="s">
        <v>931</v>
      </c>
      <c r="AN654" s="37"/>
    </row>
    <row r="655" spans="1:40" hidden="1">
      <c r="A655" s="47" t="s">
        <v>982</v>
      </c>
      <c r="B655" s="47" t="s">
        <v>919</v>
      </c>
      <c r="C655" s="47" t="s">
        <v>4912</v>
      </c>
      <c r="D655" s="47">
        <f t="shared" si="17"/>
        <v>161324</v>
      </c>
      <c r="E655" s="47" t="s">
        <v>309</v>
      </c>
      <c r="F655" s="47" t="s">
        <v>310</v>
      </c>
      <c r="G655" s="47" t="s">
        <v>441</v>
      </c>
      <c r="H655" s="47" t="s">
        <v>924</v>
      </c>
      <c r="I655" s="47" t="s">
        <v>4913</v>
      </c>
      <c r="J655" s="47" t="s">
        <v>1055</v>
      </c>
      <c r="K655" s="47" t="s">
        <v>163</v>
      </c>
      <c r="L655" s="47" t="s">
        <v>2753</v>
      </c>
      <c r="M655" s="47" t="s">
        <v>2753</v>
      </c>
      <c r="N655" s="47" t="s">
        <v>1058</v>
      </c>
      <c r="O655" s="47" t="s">
        <v>930</v>
      </c>
      <c r="P655" s="47" t="s">
        <v>930</v>
      </c>
      <c r="Q655" s="47"/>
      <c r="R655" s="47"/>
      <c r="S655" s="47"/>
      <c r="T655" s="47" t="s">
        <v>4914</v>
      </c>
      <c r="U655" s="47" t="s">
        <v>4915</v>
      </c>
      <c r="V655" s="47" t="s">
        <v>444</v>
      </c>
      <c r="W655" s="47" t="s">
        <v>931</v>
      </c>
      <c r="X655" s="47" t="s">
        <v>995</v>
      </c>
      <c r="Y655" s="47" t="s">
        <v>441</v>
      </c>
      <c r="Z655" s="47" t="s">
        <v>3027</v>
      </c>
      <c r="AA655" s="47" t="s">
        <v>3028</v>
      </c>
      <c r="AB655" s="47" t="s">
        <v>4015</v>
      </c>
      <c r="AC655" s="47" t="s">
        <v>441</v>
      </c>
      <c r="AD655" s="47" t="s">
        <v>4916</v>
      </c>
      <c r="AE655" s="47" t="s">
        <v>937</v>
      </c>
      <c r="AF655" s="47" t="s">
        <v>931</v>
      </c>
      <c r="AG655" s="47" t="s">
        <v>931</v>
      </c>
      <c r="AH655" s="47" t="s">
        <v>364</v>
      </c>
      <c r="AI655" s="47" t="s">
        <v>931</v>
      </c>
      <c r="AJ655" s="47" t="s">
        <v>365</v>
      </c>
      <c r="AK655" s="47" t="s">
        <v>930</v>
      </c>
      <c r="AL655" s="47" t="s">
        <v>931</v>
      </c>
      <c r="AM655" s="47" t="s">
        <v>931</v>
      </c>
      <c r="AN655" s="37"/>
    </row>
    <row r="656" spans="1:40" hidden="1">
      <c r="A656" s="47" t="s">
        <v>982</v>
      </c>
      <c r="B656" s="47" t="s">
        <v>919</v>
      </c>
      <c r="C656" s="47" t="s">
        <v>4917</v>
      </c>
      <c r="D656" s="47">
        <f t="shared" si="17"/>
        <v>161323</v>
      </c>
      <c r="E656" s="47" t="s">
        <v>309</v>
      </c>
      <c r="F656" s="47" t="s">
        <v>310</v>
      </c>
      <c r="G656" s="47" t="s">
        <v>441</v>
      </c>
      <c r="H656" s="47" t="s">
        <v>924</v>
      </c>
      <c r="I656" s="47" t="s">
        <v>4918</v>
      </c>
      <c r="J656" s="47" t="s">
        <v>1354</v>
      </c>
      <c r="K656" s="47" t="s">
        <v>163</v>
      </c>
      <c r="L656" s="47" t="s">
        <v>4919</v>
      </c>
      <c r="M656" s="47" t="s">
        <v>4920</v>
      </c>
      <c r="N656" s="47" t="s">
        <v>3157</v>
      </c>
      <c r="O656" s="47" t="s">
        <v>930</v>
      </c>
      <c r="P656" s="47" t="s">
        <v>930</v>
      </c>
      <c r="Q656" s="47"/>
      <c r="R656" s="47"/>
      <c r="S656" s="47"/>
      <c r="T656" s="47" t="s">
        <v>4921</v>
      </c>
      <c r="U656" s="47" t="s">
        <v>4922</v>
      </c>
      <c r="V656" s="47" t="s">
        <v>442</v>
      </c>
      <c r="W656" s="47" t="s">
        <v>931</v>
      </c>
      <c r="X656" s="47" t="s">
        <v>995</v>
      </c>
      <c r="Y656" s="47" t="s">
        <v>441</v>
      </c>
      <c r="Z656" s="47" t="s">
        <v>3027</v>
      </c>
      <c r="AA656" s="47" t="s">
        <v>3028</v>
      </c>
      <c r="AB656" s="47" t="s">
        <v>3649</v>
      </c>
      <c r="AC656" s="47" t="s">
        <v>441</v>
      </c>
      <c r="AD656" s="47" t="s">
        <v>4923</v>
      </c>
      <c r="AE656" s="47" t="s">
        <v>937</v>
      </c>
      <c r="AF656" s="47" t="s">
        <v>931</v>
      </c>
      <c r="AG656" s="47" t="s">
        <v>931</v>
      </c>
      <c r="AH656" s="47" t="s">
        <v>364</v>
      </c>
      <c r="AI656" s="47" t="s">
        <v>931</v>
      </c>
      <c r="AJ656" s="47" t="s">
        <v>365</v>
      </c>
      <c r="AK656" s="47" t="s">
        <v>930</v>
      </c>
      <c r="AL656" s="47" t="s">
        <v>931</v>
      </c>
      <c r="AM656" s="47" t="s">
        <v>931</v>
      </c>
      <c r="AN656" s="37"/>
    </row>
    <row r="657" spans="1:40" hidden="1">
      <c r="A657" s="47" t="s">
        <v>982</v>
      </c>
      <c r="B657" s="47" t="s">
        <v>919</v>
      </c>
      <c r="C657" s="47" t="s">
        <v>4924</v>
      </c>
      <c r="D657" s="47">
        <f t="shared" si="17"/>
        <v>161329</v>
      </c>
      <c r="E657" s="47" t="s">
        <v>603</v>
      </c>
      <c r="F657" s="47" t="s">
        <v>604</v>
      </c>
      <c r="G657" s="47" t="s">
        <v>4838</v>
      </c>
      <c r="H657" s="47" t="s">
        <v>1053</v>
      </c>
      <c r="I657" s="47" t="s">
        <v>4925</v>
      </c>
      <c r="J657" s="47" t="s">
        <v>1055</v>
      </c>
      <c r="K657" s="47" t="s">
        <v>163</v>
      </c>
      <c r="L657" s="47" t="s">
        <v>1056</v>
      </c>
      <c r="M657" s="47" t="s">
        <v>1057</v>
      </c>
      <c r="N657" s="47" t="s">
        <v>1058</v>
      </c>
      <c r="O657" s="47" t="s">
        <v>930</v>
      </c>
      <c r="P657" s="47" t="s">
        <v>930</v>
      </c>
      <c r="Q657" s="47" t="str">
        <f>LEFT(T657,9)</f>
        <v xml:space="preserve"> Chiều T5</v>
      </c>
      <c r="R657" s="47" t="s">
        <v>973</v>
      </c>
      <c r="S657" s="47" t="s">
        <v>1027</v>
      </c>
      <c r="T657" s="47" t="s">
        <v>4926</v>
      </c>
      <c r="U657" s="47" t="s">
        <v>4927</v>
      </c>
      <c r="V657" s="47" t="s">
        <v>21</v>
      </c>
      <c r="W657" s="47" t="s">
        <v>931</v>
      </c>
      <c r="X657" s="47" t="s">
        <v>1063</v>
      </c>
      <c r="Y657" s="47" t="s">
        <v>4838</v>
      </c>
      <c r="Z657" s="47" t="s">
        <v>4842</v>
      </c>
      <c r="AA657" s="47" t="s">
        <v>931</v>
      </c>
      <c r="AB657" s="47" t="s">
        <v>931</v>
      </c>
      <c r="AC657" s="47" t="s">
        <v>1065</v>
      </c>
      <c r="AD657" s="47" t="s">
        <v>4928</v>
      </c>
      <c r="AE657" s="47" t="s">
        <v>937</v>
      </c>
      <c r="AF657" s="47" t="s">
        <v>931</v>
      </c>
      <c r="AG657" s="47" t="s">
        <v>931</v>
      </c>
      <c r="AH657" s="47" t="s">
        <v>1067</v>
      </c>
      <c r="AI657" s="47" t="s">
        <v>931</v>
      </c>
      <c r="AJ657" s="47" t="s">
        <v>365</v>
      </c>
      <c r="AK657" s="47" t="s">
        <v>930</v>
      </c>
      <c r="AL657" s="47" t="s">
        <v>931</v>
      </c>
      <c r="AM657" s="47" t="s">
        <v>931</v>
      </c>
      <c r="AN657" s="37"/>
    </row>
    <row r="658" spans="1:40" hidden="1">
      <c r="A658" s="47" t="s">
        <v>982</v>
      </c>
      <c r="B658" s="47" t="s">
        <v>919</v>
      </c>
      <c r="C658" s="47" t="s">
        <v>4929</v>
      </c>
      <c r="D658" s="47">
        <f t="shared" si="17"/>
        <v>161708</v>
      </c>
      <c r="E658" s="47" t="s">
        <v>306</v>
      </c>
      <c r="F658" s="47" t="s">
        <v>307</v>
      </c>
      <c r="G658" s="47" t="s">
        <v>985</v>
      </c>
      <c r="H658" s="47" t="s">
        <v>924</v>
      </c>
      <c r="I658" s="47" t="s">
        <v>4833</v>
      </c>
      <c r="J658" s="47" t="s">
        <v>944</v>
      </c>
      <c r="K658" s="47" t="s">
        <v>163</v>
      </c>
      <c r="L658" s="47" t="s">
        <v>3201</v>
      </c>
      <c r="M658" s="47" t="s">
        <v>1173</v>
      </c>
      <c r="N658" s="47" t="s">
        <v>946</v>
      </c>
      <c r="O658" s="47" t="s">
        <v>930</v>
      </c>
      <c r="P658" s="47" t="s">
        <v>930</v>
      </c>
      <c r="Q658" s="47"/>
      <c r="R658" s="47"/>
      <c r="S658" s="47"/>
      <c r="T658" s="47" t="s">
        <v>4930</v>
      </c>
      <c r="U658" s="47" t="s">
        <v>4931</v>
      </c>
      <c r="V658" s="47" t="s">
        <v>4338</v>
      </c>
      <c r="W658" s="47" t="s">
        <v>931</v>
      </c>
      <c r="X658" s="47" t="s">
        <v>932</v>
      </c>
      <c r="Y658" s="47" t="s">
        <v>985</v>
      </c>
      <c r="Z658" s="47" t="s">
        <v>988</v>
      </c>
      <c r="AA658" s="47" t="s">
        <v>989</v>
      </c>
      <c r="AB658" s="47" t="s">
        <v>931</v>
      </c>
      <c r="AC658" s="47" t="s">
        <v>985</v>
      </c>
      <c r="AD658" s="47" t="s">
        <v>4836</v>
      </c>
      <c r="AE658" s="47" t="s">
        <v>937</v>
      </c>
      <c r="AF658" s="47" t="s">
        <v>3142</v>
      </c>
      <c r="AG658" s="47" t="s">
        <v>4932</v>
      </c>
      <c r="AH658" s="47" t="s">
        <v>364</v>
      </c>
      <c r="AI658" s="47" t="s">
        <v>931</v>
      </c>
      <c r="AJ658" s="47" t="s">
        <v>365</v>
      </c>
      <c r="AK658" s="47" t="s">
        <v>930</v>
      </c>
      <c r="AL658" s="47" t="s">
        <v>931</v>
      </c>
      <c r="AM658" s="47" t="s">
        <v>931</v>
      </c>
      <c r="AN658" s="37"/>
    </row>
    <row r="659" spans="1:40" hidden="1">
      <c r="A659" s="47" t="s">
        <v>982</v>
      </c>
      <c r="B659" s="47" t="s">
        <v>919</v>
      </c>
      <c r="C659" s="47" t="s">
        <v>4933</v>
      </c>
      <c r="D659" s="47">
        <f t="shared" si="17"/>
        <v>161706</v>
      </c>
      <c r="E659" s="47" t="s">
        <v>339</v>
      </c>
      <c r="F659" s="47" t="s">
        <v>340</v>
      </c>
      <c r="G659" s="47" t="s">
        <v>865</v>
      </c>
      <c r="H659" s="47" t="s">
        <v>1325</v>
      </c>
      <c r="I659" s="47" t="s">
        <v>4833</v>
      </c>
      <c r="J659" s="47" t="s">
        <v>944</v>
      </c>
      <c r="K659" s="47" t="s">
        <v>163</v>
      </c>
      <c r="L659" s="47" t="s">
        <v>1015</v>
      </c>
      <c r="M659" s="47" t="s">
        <v>1173</v>
      </c>
      <c r="N659" s="47" t="s">
        <v>946</v>
      </c>
      <c r="O659" s="47" t="s">
        <v>930</v>
      </c>
      <c r="P659" s="47" t="s">
        <v>930</v>
      </c>
      <c r="Q659" s="47"/>
      <c r="R659" s="47"/>
      <c r="S659" s="47"/>
      <c r="T659" s="47" t="s">
        <v>4934</v>
      </c>
      <c r="U659" s="47" t="s">
        <v>4935</v>
      </c>
      <c r="V659" s="47" t="s">
        <v>4338</v>
      </c>
      <c r="W659" s="47" t="s">
        <v>931</v>
      </c>
      <c r="X659" s="47" t="s">
        <v>995</v>
      </c>
      <c r="Y659" s="47" t="s">
        <v>865</v>
      </c>
      <c r="Z659" s="47" t="s">
        <v>3565</v>
      </c>
      <c r="AA659" s="47" t="s">
        <v>3566</v>
      </c>
      <c r="AB659" s="47" t="s">
        <v>931</v>
      </c>
      <c r="AC659" s="47" t="s">
        <v>2038</v>
      </c>
      <c r="AD659" s="47" t="s">
        <v>4836</v>
      </c>
      <c r="AE659" s="47" t="s">
        <v>937</v>
      </c>
      <c r="AF659" s="47" t="s">
        <v>4936</v>
      </c>
      <c r="AG659" s="47" t="s">
        <v>4937</v>
      </c>
      <c r="AH659" s="47" t="s">
        <v>364</v>
      </c>
      <c r="AI659" s="47" t="s">
        <v>931</v>
      </c>
      <c r="AJ659" s="47" t="s">
        <v>365</v>
      </c>
      <c r="AK659" s="47" t="s">
        <v>930</v>
      </c>
      <c r="AL659" s="47" t="s">
        <v>931</v>
      </c>
      <c r="AM659" s="47" t="s">
        <v>931</v>
      </c>
      <c r="AN659" s="37"/>
    </row>
    <row r="660" spans="1:40" hidden="1">
      <c r="A660" s="47" t="s">
        <v>982</v>
      </c>
      <c r="B660" s="47" t="s">
        <v>919</v>
      </c>
      <c r="C660" s="47" t="s">
        <v>4938</v>
      </c>
      <c r="D660" s="47">
        <f t="shared" si="17"/>
        <v>161707</v>
      </c>
      <c r="E660" s="47" t="s">
        <v>4939</v>
      </c>
      <c r="F660" s="47" t="s">
        <v>4940</v>
      </c>
      <c r="G660" s="47" t="s">
        <v>4941</v>
      </c>
      <c r="H660" s="47" t="s">
        <v>924</v>
      </c>
      <c r="I660" s="47" t="s">
        <v>4833</v>
      </c>
      <c r="J660" s="47" t="s">
        <v>944</v>
      </c>
      <c r="K660" s="47" t="s">
        <v>163</v>
      </c>
      <c r="L660" s="47" t="s">
        <v>4088</v>
      </c>
      <c r="M660" s="47" t="s">
        <v>1173</v>
      </c>
      <c r="N660" s="47" t="s">
        <v>946</v>
      </c>
      <c r="O660" s="47" t="s">
        <v>930</v>
      </c>
      <c r="P660" s="47" t="s">
        <v>930</v>
      </c>
      <c r="Q660" s="47"/>
      <c r="R660" s="47"/>
      <c r="S660" s="47"/>
      <c r="T660" s="47" t="s">
        <v>4942</v>
      </c>
      <c r="U660" s="47" t="s">
        <v>4943</v>
      </c>
      <c r="V660" s="47" t="s">
        <v>4338</v>
      </c>
      <c r="W660" s="47" t="s">
        <v>931</v>
      </c>
      <c r="X660" s="47" t="s">
        <v>995</v>
      </c>
      <c r="Y660" s="47" t="s">
        <v>4941</v>
      </c>
      <c r="Z660" s="47" t="s">
        <v>4944</v>
      </c>
      <c r="AA660" s="47" t="s">
        <v>4945</v>
      </c>
      <c r="AB660" s="47" t="s">
        <v>931</v>
      </c>
      <c r="AC660" s="47" t="s">
        <v>414</v>
      </c>
      <c r="AD660" s="47" t="s">
        <v>4836</v>
      </c>
      <c r="AE660" s="47" t="s">
        <v>937</v>
      </c>
      <c r="AF660" s="47" t="s">
        <v>931</v>
      </c>
      <c r="AG660" s="47" t="s">
        <v>4946</v>
      </c>
      <c r="AH660" s="47" t="s">
        <v>1067</v>
      </c>
      <c r="AI660" s="47" t="s">
        <v>931</v>
      </c>
      <c r="AJ660" s="47" t="s">
        <v>365</v>
      </c>
      <c r="AK660" s="47" t="s">
        <v>930</v>
      </c>
      <c r="AL660" s="47" t="s">
        <v>931</v>
      </c>
      <c r="AM660" s="47" t="s">
        <v>931</v>
      </c>
      <c r="AN660" s="37"/>
    </row>
    <row r="661" spans="1:40" hidden="1">
      <c r="A661" s="47" t="s">
        <v>982</v>
      </c>
      <c r="B661" s="47" t="s">
        <v>919</v>
      </c>
      <c r="C661" s="47" t="s">
        <v>4947</v>
      </c>
      <c r="D661" s="47">
        <f t="shared" si="17"/>
        <v>161325</v>
      </c>
      <c r="E661" s="47" t="s">
        <v>309</v>
      </c>
      <c r="F661" s="47" t="s">
        <v>310</v>
      </c>
      <c r="G661" s="47" t="s">
        <v>441</v>
      </c>
      <c r="H661" s="47" t="s">
        <v>924</v>
      </c>
      <c r="I661" s="47" t="s">
        <v>4948</v>
      </c>
      <c r="J661" s="47" t="s">
        <v>1055</v>
      </c>
      <c r="K661" s="47" t="s">
        <v>163</v>
      </c>
      <c r="L661" s="47" t="s">
        <v>3407</v>
      </c>
      <c r="M661" s="47" t="s">
        <v>2753</v>
      </c>
      <c r="N661" s="47" t="s">
        <v>1058</v>
      </c>
      <c r="O661" s="47" t="s">
        <v>930</v>
      </c>
      <c r="P661" s="47" t="s">
        <v>930</v>
      </c>
      <c r="Q661" s="47"/>
      <c r="R661" s="47"/>
      <c r="S661" s="47"/>
      <c r="T661" s="47" t="s">
        <v>4949</v>
      </c>
      <c r="U661" s="47" t="s">
        <v>4950</v>
      </c>
      <c r="V661" s="47" t="s">
        <v>444</v>
      </c>
      <c r="W661" s="47" t="s">
        <v>931</v>
      </c>
      <c r="X661" s="47" t="s">
        <v>995</v>
      </c>
      <c r="Y661" s="47" t="s">
        <v>441</v>
      </c>
      <c r="Z661" s="47" t="s">
        <v>3027</v>
      </c>
      <c r="AA661" s="47" t="s">
        <v>3028</v>
      </c>
      <c r="AB661" s="47" t="s">
        <v>4951</v>
      </c>
      <c r="AC661" s="47" t="s">
        <v>441</v>
      </c>
      <c r="AD661" s="47" t="s">
        <v>4952</v>
      </c>
      <c r="AE661" s="47" t="s">
        <v>937</v>
      </c>
      <c r="AF661" s="47" t="s">
        <v>931</v>
      </c>
      <c r="AG661" s="47" t="s">
        <v>931</v>
      </c>
      <c r="AH661" s="47" t="s">
        <v>364</v>
      </c>
      <c r="AI661" s="47" t="s">
        <v>931</v>
      </c>
      <c r="AJ661" s="47" t="s">
        <v>365</v>
      </c>
      <c r="AK661" s="47" t="s">
        <v>930</v>
      </c>
      <c r="AL661" s="47" t="s">
        <v>931</v>
      </c>
      <c r="AM661" s="47" t="s">
        <v>931</v>
      </c>
      <c r="AN661" s="37"/>
    </row>
    <row r="662" spans="1:40" hidden="1">
      <c r="A662" s="47" t="s">
        <v>982</v>
      </c>
      <c r="B662" s="47" t="s">
        <v>919</v>
      </c>
      <c r="C662" s="47" t="s">
        <v>4953</v>
      </c>
      <c r="D662" s="47">
        <f t="shared" si="17"/>
        <v>161334</v>
      </c>
      <c r="E662" s="47" t="s">
        <v>610</v>
      </c>
      <c r="F662" s="47" t="s">
        <v>611</v>
      </c>
      <c r="G662" s="47" t="s">
        <v>4852</v>
      </c>
      <c r="H662" s="47" t="s">
        <v>1053</v>
      </c>
      <c r="I662" s="47" t="s">
        <v>4624</v>
      </c>
      <c r="J662" s="47" t="s">
        <v>1055</v>
      </c>
      <c r="K662" s="47" t="s">
        <v>163</v>
      </c>
      <c r="L662" s="47" t="s">
        <v>1246</v>
      </c>
      <c r="M662" s="47" t="s">
        <v>1511</v>
      </c>
      <c r="N662" s="47" t="s">
        <v>1058</v>
      </c>
      <c r="O662" s="47" t="s">
        <v>930</v>
      </c>
      <c r="P662" s="47" t="s">
        <v>930</v>
      </c>
      <c r="Q662" s="47"/>
      <c r="R662" s="47"/>
      <c r="S662" s="47"/>
      <c r="T662" s="47" t="s">
        <v>4954</v>
      </c>
      <c r="U662" s="47" t="s">
        <v>4955</v>
      </c>
      <c r="V662" s="47" t="s">
        <v>613</v>
      </c>
      <c r="W662" s="47" t="s">
        <v>931</v>
      </c>
      <c r="X662" s="47" t="s">
        <v>1063</v>
      </c>
      <c r="Y662" s="47" t="s">
        <v>4852</v>
      </c>
      <c r="Z662" s="47" t="s">
        <v>4855</v>
      </c>
      <c r="AA662" s="47" t="s">
        <v>931</v>
      </c>
      <c r="AB662" s="47" t="s">
        <v>931</v>
      </c>
      <c r="AC662" s="47" t="s">
        <v>1052</v>
      </c>
      <c r="AD662" s="47" t="s">
        <v>4627</v>
      </c>
      <c r="AE662" s="47" t="s">
        <v>937</v>
      </c>
      <c r="AF662" s="47" t="s">
        <v>931</v>
      </c>
      <c r="AG662" s="47" t="s">
        <v>931</v>
      </c>
      <c r="AH662" s="47" t="s">
        <v>1067</v>
      </c>
      <c r="AI662" s="47" t="s">
        <v>931</v>
      </c>
      <c r="AJ662" s="47" t="s">
        <v>365</v>
      </c>
      <c r="AK662" s="47" t="s">
        <v>930</v>
      </c>
      <c r="AL662" s="47" t="s">
        <v>931</v>
      </c>
      <c r="AM662" s="47" t="s">
        <v>931</v>
      </c>
      <c r="AN662" s="37"/>
    </row>
    <row r="663" spans="1:40" hidden="1">
      <c r="A663" s="47" t="s">
        <v>982</v>
      </c>
      <c r="B663" s="47" t="s">
        <v>919</v>
      </c>
      <c r="C663" s="47" t="s">
        <v>4956</v>
      </c>
      <c r="D663" s="47">
        <f t="shared" si="17"/>
        <v>161320</v>
      </c>
      <c r="E663" s="47" t="s">
        <v>431</v>
      </c>
      <c r="F663" s="47" t="s">
        <v>432</v>
      </c>
      <c r="G663" s="47" t="s">
        <v>410</v>
      </c>
      <c r="H663" s="47" t="s">
        <v>1194</v>
      </c>
      <c r="I663" s="47" t="s">
        <v>4706</v>
      </c>
      <c r="J663" s="47" t="s">
        <v>1354</v>
      </c>
      <c r="K663" s="47" t="s">
        <v>163</v>
      </c>
      <c r="L663" s="47" t="s">
        <v>3683</v>
      </c>
      <c r="M663" s="47" t="s">
        <v>2753</v>
      </c>
      <c r="N663" s="47" t="s">
        <v>946</v>
      </c>
      <c r="O663" s="47" t="s">
        <v>930</v>
      </c>
      <c r="P663" s="47" t="s">
        <v>930</v>
      </c>
      <c r="Q663" s="47"/>
      <c r="R663" s="47"/>
      <c r="S663" s="47"/>
      <c r="T663" s="47" t="s">
        <v>4957</v>
      </c>
      <c r="U663" s="47" t="s">
        <v>4958</v>
      </c>
      <c r="V663" s="47" t="s">
        <v>425</v>
      </c>
      <c r="W663" s="47" t="s">
        <v>931</v>
      </c>
      <c r="X663" s="47" t="s">
        <v>995</v>
      </c>
      <c r="Y663" s="47" t="s">
        <v>410</v>
      </c>
      <c r="Z663" s="47" t="s">
        <v>4604</v>
      </c>
      <c r="AA663" s="47" t="s">
        <v>4605</v>
      </c>
      <c r="AB663" s="47" t="s">
        <v>931</v>
      </c>
      <c r="AC663" s="47" t="s">
        <v>1202</v>
      </c>
      <c r="AD663" s="47" t="s">
        <v>4709</v>
      </c>
      <c r="AE663" s="47" t="s">
        <v>937</v>
      </c>
      <c r="AF663" s="47" t="s">
        <v>931</v>
      </c>
      <c r="AG663" s="47" t="s">
        <v>931</v>
      </c>
      <c r="AH663" s="47" t="s">
        <v>364</v>
      </c>
      <c r="AI663" s="47" t="s">
        <v>931</v>
      </c>
      <c r="AJ663" s="47" t="s">
        <v>365</v>
      </c>
      <c r="AK663" s="47" t="s">
        <v>930</v>
      </c>
      <c r="AL663" s="47" t="s">
        <v>931</v>
      </c>
      <c r="AM663" s="47" t="s">
        <v>931</v>
      </c>
      <c r="AN663" s="37"/>
    </row>
    <row r="664" spans="1:40">
      <c r="A664" s="47" t="s">
        <v>982</v>
      </c>
      <c r="B664" s="47" t="s">
        <v>919</v>
      </c>
      <c r="C664" s="47" t="s">
        <v>4959</v>
      </c>
      <c r="D664" s="47">
        <f t="shared" si="17"/>
        <v>162604</v>
      </c>
      <c r="E664" s="47" t="s">
        <v>200</v>
      </c>
      <c r="F664" s="47" t="s">
        <v>191</v>
      </c>
      <c r="G664" s="47" t="s">
        <v>875</v>
      </c>
      <c r="H664" s="47" t="s">
        <v>1518</v>
      </c>
      <c r="I664" s="47" t="s">
        <v>4960</v>
      </c>
      <c r="J664" s="47" t="s">
        <v>1024</v>
      </c>
      <c r="K664" s="47" t="s">
        <v>163</v>
      </c>
      <c r="L664" s="47" t="s">
        <v>3756</v>
      </c>
      <c r="M664" s="47" t="s">
        <v>3083</v>
      </c>
      <c r="N664" s="47" t="s">
        <v>946</v>
      </c>
      <c r="O664" s="47" t="s">
        <v>930</v>
      </c>
      <c r="P664" s="47" t="s">
        <v>930</v>
      </c>
      <c r="Q664" s="47"/>
      <c r="R664" s="47"/>
      <c r="S664" s="47"/>
      <c r="T664" s="47" t="s">
        <v>4961</v>
      </c>
      <c r="U664" s="47" t="s">
        <v>4962</v>
      </c>
      <c r="V664" s="47" t="s">
        <v>521</v>
      </c>
      <c r="W664" s="47" t="s">
        <v>931</v>
      </c>
      <c r="X664" s="47" t="s">
        <v>995</v>
      </c>
      <c r="Y664" s="47" t="s">
        <v>875</v>
      </c>
      <c r="Z664" s="47" t="s">
        <v>2949</v>
      </c>
      <c r="AA664" s="47" t="s">
        <v>2950</v>
      </c>
      <c r="AB664" s="47" t="s">
        <v>931</v>
      </c>
      <c r="AC664" s="47" t="s">
        <v>447</v>
      </c>
      <c r="AD664" s="47" t="s">
        <v>4963</v>
      </c>
      <c r="AE664" s="47" t="s">
        <v>937</v>
      </c>
      <c r="AF664" s="47" t="s">
        <v>931</v>
      </c>
      <c r="AG664" s="47" t="s">
        <v>4964</v>
      </c>
      <c r="AH664" s="47" t="s">
        <v>931</v>
      </c>
      <c r="AI664" s="47" t="s">
        <v>931</v>
      </c>
      <c r="AJ664" s="47" t="s">
        <v>931</v>
      </c>
      <c r="AK664" s="47" t="s">
        <v>930</v>
      </c>
      <c r="AL664" s="47" t="s">
        <v>931</v>
      </c>
      <c r="AM664" s="47" t="s">
        <v>931</v>
      </c>
      <c r="AN664" s="37"/>
    </row>
    <row r="665" spans="1:40">
      <c r="A665" s="47" t="s">
        <v>982</v>
      </c>
      <c r="B665" s="47" t="s">
        <v>919</v>
      </c>
      <c r="C665" s="47" t="s">
        <v>4965</v>
      </c>
      <c r="D665" s="47">
        <f t="shared" si="17"/>
        <v>162603</v>
      </c>
      <c r="E665" s="47" t="s">
        <v>200</v>
      </c>
      <c r="F665" s="47" t="s">
        <v>191</v>
      </c>
      <c r="G665" s="47" t="s">
        <v>489</v>
      </c>
      <c r="H665" s="47" t="s">
        <v>1518</v>
      </c>
      <c r="I665" s="47" t="s">
        <v>4966</v>
      </c>
      <c r="J665" s="47" t="s">
        <v>1024</v>
      </c>
      <c r="K665" s="47" t="s">
        <v>163</v>
      </c>
      <c r="L665" s="47" t="s">
        <v>3127</v>
      </c>
      <c r="M665" s="47" t="s">
        <v>3083</v>
      </c>
      <c r="N665" s="47" t="s">
        <v>946</v>
      </c>
      <c r="O665" s="47" t="s">
        <v>930</v>
      </c>
      <c r="P665" s="47" t="s">
        <v>930</v>
      </c>
      <c r="Q665" s="47"/>
      <c r="R665" s="47"/>
      <c r="S665" s="47"/>
      <c r="T665" s="47" t="s">
        <v>4967</v>
      </c>
      <c r="U665" s="47" t="s">
        <v>4968</v>
      </c>
      <c r="V665" s="47" t="s">
        <v>521</v>
      </c>
      <c r="W665" s="47" t="s">
        <v>931</v>
      </c>
      <c r="X665" s="47" t="s">
        <v>932</v>
      </c>
      <c r="Y665" s="47" t="s">
        <v>489</v>
      </c>
      <c r="Z665" s="47" t="s">
        <v>1326</v>
      </c>
      <c r="AA665" s="47" t="s">
        <v>1327</v>
      </c>
      <c r="AB665" s="47" t="s">
        <v>931</v>
      </c>
      <c r="AC665" s="47" t="s">
        <v>447</v>
      </c>
      <c r="AD665" s="47" t="s">
        <v>4969</v>
      </c>
      <c r="AE665" s="47" t="s">
        <v>937</v>
      </c>
      <c r="AF665" s="47" t="s">
        <v>3189</v>
      </c>
      <c r="AG665" s="47" t="s">
        <v>3190</v>
      </c>
      <c r="AH665" s="47" t="s">
        <v>931</v>
      </c>
      <c r="AI665" s="47" t="s">
        <v>931</v>
      </c>
      <c r="AJ665" s="47" t="s">
        <v>931</v>
      </c>
      <c r="AK665" s="47" t="s">
        <v>930</v>
      </c>
      <c r="AL665" s="47" t="s">
        <v>931</v>
      </c>
      <c r="AM665" s="47" t="s">
        <v>931</v>
      </c>
      <c r="AN665" s="37"/>
    </row>
    <row r="666" spans="1:40" hidden="1">
      <c r="A666" s="47" t="s">
        <v>982</v>
      </c>
      <c r="B666" s="47" t="s">
        <v>919</v>
      </c>
      <c r="C666" s="47" t="s">
        <v>4970</v>
      </c>
      <c r="D666" s="47">
        <f t="shared" si="17"/>
        <v>161738</v>
      </c>
      <c r="E666" s="47" t="s">
        <v>221</v>
      </c>
      <c r="F666" s="47" t="s">
        <v>217</v>
      </c>
      <c r="G666" s="47" t="s">
        <v>4086</v>
      </c>
      <c r="H666" s="47" t="s">
        <v>924</v>
      </c>
      <c r="I666" s="47" t="s">
        <v>4971</v>
      </c>
      <c r="J666" s="47" t="s">
        <v>944</v>
      </c>
      <c r="K666" s="47" t="s">
        <v>163</v>
      </c>
      <c r="L666" s="47" t="s">
        <v>1442</v>
      </c>
      <c r="M666" s="47" t="s">
        <v>1004</v>
      </c>
      <c r="N666" s="47" t="s">
        <v>946</v>
      </c>
      <c r="O666" s="47" t="s">
        <v>930</v>
      </c>
      <c r="P666" s="47" t="s">
        <v>930</v>
      </c>
      <c r="Q666" s="47"/>
      <c r="R666" s="47"/>
      <c r="S666" s="47"/>
      <c r="T666" s="47" t="s">
        <v>4972</v>
      </c>
      <c r="U666" s="47" t="s">
        <v>4973</v>
      </c>
      <c r="V666" s="47" t="s">
        <v>4974</v>
      </c>
      <c r="W666" s="47" t="s">
        <v>931</v>
      </c>
      <c r="X666" s="47" t="s">
        <v>932</v>
      </c>
      <c r="Y666" s="47" t="s">
        <v>4086</v>
      </c>
      <c r="Z666" s="47" t="s">
        <v>4092</v>
      </c>
      <c r="AA666" s="47" t="s">
        <v>4093</v>
      </c>
      <c r="AB666" s="47" t="s">
        <v>931</v>
      </c>
      <c r="AC666" s="47" t="s">
        <v>438</v>
      </c>
      <c r="AD666" s="47" t="s">
        <v>4975</v>
      </c>
      <c r="AE666" s="47" t="s">
        <v>937</v>
      </c>
      <c r="AF666" s="47" t="s">
        <v>931</v>
      </c>
      <c r="AG666" s="47" t="s">
        <v>4976</v>
      </c>
      <c r="AH666" s="47" t="s">
        <v>364</v>
      </c>
      <c r="AI666" s="47" t="s">
        <v>931</v>
      </c>
      <c r="AJ666" s="47" t="s">
        <v>365</v>
      </c>
      <c r="AK666" s="47" t="s">
        <v>930</v>
      </c>
      <c r="AL666" s="47" t="s">
        <v>931</v>
      </c>
      <c r="AM666" s="47" t="s">
        <v>931</v>
      </c>
      <c r="AN666" s="37"/>
    </row>
    <row r="667" spans="1:40" hidden="1">
      <c r="A667" s="47" t="s">
        <v>982</v>
      </c>
      <c r="B667" s="47" t="s">
        <v>919</v>
      </c>
      <c r="C667" s="47" t="s">
        <v>4977</v>
      </c>
      <c r="D667" s="47">
        <f t="shared" si="17"/>
        <v>161737</v>
      </c>
      <c r="E667" s="47" t="s">
        <v>221</v>
      </c>
      <c r="F667" s="47" t="s">
        <v>217</v>
      </c>
      <c r="G667" s="47" t="s">
        <v>438</v>
      </c>
      <c r="H667" s="47" t="s">
        <v>924</v>
      </c>
      <c r="I667" s="47" t="s">
        <v>4971</v>
      </c>
      <c r="J667" s="47" t="s">
        <v>944</v>
      </c>
      <c r="K667" s="47" t="s">
        <v>163</v>
      </c>
      <c r="L667" s="47" t="s">
        <v>1056</v>
      </c>
      <c r="M667" s="47" t="s">
        <v>1004</v>
      </c>
      <c r="N667" s="47" t="s">
        <v>946</v>
      </c>
      <c r="O667" s="47" t="s">
        <v>930</v>
      </c>
      <c r="P667" s="47" t="s">
        <v>930</v>
      </c>
      <c r="Q667" s="47"/>
      <c r="R667" s="47"/>
      <c r="S667" s="47"/>
      <c r="T667" s="47" t="s">
        <v>4978</v>
      </c>
      <c r="U667" s="47" t="s">
        <v>4979</v>
      </c>
      <c r="V667" s="47" t="s">
        <v>4075</v>
      </c>
      <c r="W667" s="47" t="s">
        <v>931</v>
      </c>
      <c r="X667" s="47" t="s">
        <v>932</v>
      </c>
      <c r="Y667" s="47" t="s">
        <v>438</v>
      </c>
      <c r="Z667" s="47" t="s">
        <v>3765</v>
      </c>
      <c r="AA667" s="47" t="s">
        <v>3766</v>
      </c>
      <c r="AB667" s="47" t="s">
        <v>931</v>
      </c>
      <c r="AC667" s="47" t="s">
        <v>438</v>
      </c>
      <c r="AD667" s="47" t="s">
        <v>4975</v>
      </c>
      <c r="AE667" s="47" t="s">
        <v>937</v>
      </c>
      <c r="AF667" s="47" t="s">
        <v>931</v>
      </c>
      <c r="AG667" s="47" t="s">
        <v>931</v>
      </c>
      <c r="AH667" s="47" t="s">
        <v>364</v>
      </c>
      <c r="AI667" s="47" t="s">
        <v>931</v>
      </c>
      <c r="AJ667" s="47" t="s">
        <v>365</v>
      </c>
      <c r="AK667" s="47" t="s">
        <v>930</v>
      </c>
      <c r="AL667" s="47" t="s">
        <v>931</v>
      </c>
      <c r="AM667" s="47" t="s">
        <v>931</v>
      </c>
      <c r="AN667" s="37"/>
    </row>
    <row r="668" spans="1:40" hidden="1">
      <c r="A668" s="47" t="s">
        <v>982</v>
      </c>
      <c r="B668" s="47" t="s">
        <v>919</v>
      </c>
      <c r="C668" s="47" t="s">
        <v>4980</v>
      </c>
      <c r="D668" s="47" t="e">
        <f t="shared" si="17"/>
        <v>#VALUE!</v>
      </c>
      <c r="E668" s="47" t="s">
        <v>284</v>
      </c>
      <c r="F668" s="47" t="s">
        <v>343</v>
      </c>
      <c r="G668" s="47" t="s">
        <v>847</v>
      </c>
      <c r="H668" s="47" t="s">
        <v>924</v>
      </c>
      <c r="I668" s="47" t="s">
        <v>986</v>
      </c>
      <c r="J668" s="47" t="s">
        <v>926</v>
      </c>
      <c r="K668" s="47" t="s">
        <v>163</v>
      </c>
      <c r="L668" s="47" t="s">
        <v>4981</v>
      </c>
      <c r="M668" s="47" t="s">
        <v>931</v>
      </c>
      <c r="N668" s="47" t="s">
        <v>946</v>
      </c>
      <c r="O668" s="47" t="s">
        <v>930</v>
      </c>
      <c r="P668" s="47" t="s">
        <v>930</v>
      </c>
      <c r="Q668" s="47"/>
      <c r="R668" s="47"/>
      <c r="S668" s="47"/>
      <c r="T668" s="47" t="s">
        <v>931</v>
      </c>
      <c r="U668" s="47" t="s">
        <v>931</v>
      </c>
      <c r="V668" s="47" t="s">
        <v>931</v>
      </c>
      <c r="W668" s="47" t="s">
        <v>931</v>
      </c>
      <c r="X668" s="47" t="s">
        <v>932</v>
      </c>
      <c r="Y668" s="47" t="s">
        <v>847</v>
      </c>
      <c r="Z668" s="47" t="s">
        <v>3322</v>
      </c>
      <c r="AA668" s="47" t="s">
        <v>3323</v>
      </c>
      <c r="AB668" s="47" t="s">
        <v>931</v>
      </c>
      <c r="AC668" s="47" t="s">
        <v>373</v>
      </c>
      <c r="AD668" s="47" t="s">
        <v>991</v>
      </c>
      <c r="AE668" s="47" t="s">
        <v>1021</v>
      </c>
      <c r="AF668" s="47" t="s">
        <v>931</v>
      </c>
      <c r="AG668" s="47" t="s">
        <v>931</v>
      </c>
      <c r="AH668" s="47" t="s">
        <v>931</v>
      </c>
      <c r="AI668" s="47" t="s">
        <v>931</v>
      </c>
      <c r="AJ668" s="47" t="s">
        <v>931</v>
      </c>
      <c r="AK668" s="47" t="s">
        <v>930</v>
      </c>
      <c r="AL668" s="47" t="s">
        <v>931</v>
      </c>
      <c r="AM668" s="47" t="s">
        <v>931</v>
      </c>
      <c r="AN668" s="37"/>
    </row>
    <row r="669" spans="1:40" hidden="1">
      <c r="A669" s="47" t="s">
        <v>982</v>
      </c>
      <c r="B669" s="47" t="s">
        <v>919</v>
      </c>
      <c r="C669" s="47" t="s">
        <v>4982</v>
      </c>
      <c r="D669" s="47" t="e">
        <f t="shared" si="17"/>
        <v>#VALUE!</v>
      </c>
      <c r="E669" s="47" t="s">
        <v>266</v>
      </c>
      <c r="F669" s="47" t="s">
        <v>4983</v>
      </c>
      <c r="G669" s="47" t="s">
        <v>837</v>
      </c>
      <c r="H669" s="47" t="s">
        <v>1287</v>
      </c>
      <c r="I669" s="47" t="s">
        <v>986</v>
      </c>
      <c r="J669" s="47" t="s">
        <v>926</v>
      </c>
      <c r="K669" s="47" t="s">
        <v>163</v>
      </c>
      <c r="L669" s="47" t="s">
        <v>945</v>
      </c>
      <c r="M669" s="47" t="s">
        <v>931</v>
      </c>
      <c r="N669" s="47" t="s">
        <v>3157</v>
      </c>
      <c r="O669" s="47" t="s">
        <v>930</v>
      </c>
      <c r="P669" s="47" t="s">
        <v>930</v>
      </c>
      <c r="Q669" s="47"/>
      <c r="R669" s="47"/>
      <c r="S669" s="47"/>
      <c r="T669" s="47" t="s">
        <v>4984</v>
      </c>
      <c r="U669" s="47" t="s">
        <v>931</v>
      </c>
      <c r="V669" s="47" t="s">
        <v>583</v>
      </c>
      <c r="W669" s="47" t="s">
        <v>931</v>
      </c>
      <c r="X669" s="47" t="s">
        <v>932</v>
      </c>
      <c r="Y669" s="47" t="s">
        <v>837</v>
      </c>
      <c r="Z669" s="47" t="s">
        <v>3381</v>
      </c>
      <c r="AA669" s="47" t="s">
        <v>3382</v>
      </c>
      <c r="AB669" s="47" t="s">
        <v>931</v>
      </c>
      <c r="AC669" s="47" t="s">
        <v>409</v>
      </c>
      <c r="AD669" s="47" t="s">
        <v>991</v>
      </c>
      <c r="AE669" s="47" t="s">
        <v>3479</v>
      </c>
      <c r="AF669" s="47" t="s">
        <v>931</v>
      </c>
      <c r="AG669" s="47" t="s">
        <v>931</v>
      </c>
      <c r="AH669" s="47" t="s">
        <v>931</v>
      </c>
      <c r="AI669" s="47" t="s">
        <v>931</v>
      </c>
      <c r="AJ669" s="47" t="s">
        <v>931</v>
      </c>
      <c r="AK669" s="47" t="s">
        <v>930</v>
      </c>
      <c r="AL669" s="47" t="s">
        <v>931</v>
      </c>
      <c r="AM669" s="47" t="s">
        <v>931</v>
      </c>
      <c r="AN669" s="37"/>
    </row>
    <row r="670" spans="1:40" hidden="1">
      <c r="A670" s="47" t="s">
        <v>982</v>
      </c>
      <c r="B670" s="47" t="s">
        <v>919</v>
      </c>
      <c r="C670" s="47" t="s">
        <v>4985</v>
      </c>
      <c r="D670" s="47" t="e">
        <f t="shared" si="17"/>
        <v>#VALUE!</v>
      </c>
      <c r="E670" s="47" t="s">
        <v>216</v>
      </c>
      <c r="F670" s="47" t="s">
        <v>217</v>
      </c>
      <c r="G670" s="47" t="s">
        <v>4986</v>
      </c>
      <c r="H670" s="47" t="s">
        <v>924</v>
      </c>
      <c r="I670" s="47" t="s">
        <v>986</v>
      </c>
      <c r="J670" s="47" t="s">
        <v>926</v>
      </c>
      <c r="K670" s="47" t="s">
        <v>163</v>
      </c>
      <c r="L670" s="47" t="s">
        <v>4981</v>
      </c>
      <c r="M670" s="47" t="s">
        <v>931</v>
      </c>
      <c r="N670" s="47" t="s">
        <v>946</v>
      </c>
      <c r="O670" s="47" t="s">
        <v>930</v>
      </c>
      <c r="P670" s="47" t="s">
        <v>930</v>
      </c>
      <c r="Q670" s="47"/>
      <c r="R670" s="47"/>
      <c r="S670" s="47"/>
      <c r="T670" s="47" t="s">
        <v>4987</v>
      </c>
      <c r="U670" s="47" t="s">
        <v>931</v>
      </c>
      <c r="V670" s="47" t="s">
        <v>4988</v>
      </c>
      <c r="W670" s="47" t="s">
        <v>931</v>
      </c>
      <c r="X670" s="47" t="s">
        <v>932</v>
      </c>
      <c r="Y670" s="47" t="s">
        <v>4986</v>
      </c>
      <c r="Z670" s="47" t="s">
        <v>4989</v>
      </c>
      <c r="AA670" s="47" t="s">
        <v>4990</v>
      </c>
      <c r="AB670" s="47" t="s">
        <v>931</v>
      </c>
      <c r="AC670" s="47" t="s">
        <v>438</v>
      </c>
      <c r="AD670" s="47" t="s">
        <v>991</v>
      </c>
      <c r="AE670" s="47" t="s">
        <v>937</v>
      </c>
      <c r="AF670" s="47" t="s">
        <v>931</v>
      </c>
      <c r="AG670" s="47" t="s">
        <v>931</v>
      </c>
      <c r="AH670" s="47" t="s">
        <v>931</v>
      </c>
      <c r="AI670" s="47" t="s">
        <v>931</v>
      </c>
      <c r="AJ670" s="47" t="s">
        <v>931</v>
      </c>
      <c r="AK670" s="47" t="s">
        <v>930</v>
      </c>
      <c r="AL670" s="47" t="s">
        <v>931</v>
      </c>
      <c r="AM670" s="47" t="s">
        <v>931</v>
      </c>
      <c r="AN670" s="37"/>
    </row>
    <row r="671" spans="1:40" hidden="1">
      <c r="A671" s="47" t="s">
        <v>982</v>
      </c>
      <c r="B671" s="47" t="s">
        <v>919</v>
      </c>
      <c r="C671" s="47" t="s">
        <v>4991</v>
      </c>
      <c r="D671" s="47" t="e">
        <f t="shared" si="17"/>
        <v>#VALUE!</v>
      </c>
      <c r="E671" s="47" t="s">
        <v>249</v>
      </c>
      <c r="F671" s="47" t="s">
        <v>250</v>
      </c>
      <c r="G671" s="47" t="s">
        <v>1154</v>
      </c>
      <c r="H671" s="47" t="s">
        <v>924</v>
      </c>
      <c r="I671" s="47" t="s">
        <v>986</v>
      </c>
      <c r="J671" s="47" t="s">
        <v>926</v>
      </c>
      <c r="K671" s="47" t="s">
        <v>163</v>
      </c>
      <c r="L671" s="47" t="s">
        <v>2701</v>
      </c>
      <c r="M671" s="47" t="s">
        <v>931</v>
      </c>
      <c r="N671" s="47" t="s">
        <v>946</v>
      </c>
      <c r="O671" s="47" t="s">
        <v>930</v>
      </c>
      <c r="P671" s="47" t="s">
        <v>930</v>
      </c>
      <c r="Q671" s="47"/>
      <c r="R671" s="47"/>
      <c r="S671" s="47"/>
      <c r="T671" s="47" t="s">
        <v>4992</v>
      </c>
      <c r="U671" s="47" t="s">
        <v>931</v>
      </c>
      <c r="V671" s="47" t="s">
        <v>4993</v>
      </c>
      <c r="W671" s="47" t="s">
        <v>931</v>
      </c>
      <c r="X671" s="47" t="s">
        <v>932</v>
      </c>
      <c r="Y671" s="47" t="s">
        <v>1154</v>
      </c>
      <c r="Z671" s="47" t="s">
        <v>1155</v>
      </c>
      <c r="AA671" s="47" t="s">
        <v>1156</v>
      </c>
      <c r="AB671" s="47" t="s">
        <v>931</v>
      </c>
      <c r="AC671" s="47" t="s">
        <v>396</v>
      </c>
      <c r="AD671" s="47" t="s">
        <v>991</v>
      </c>
      <c r="AE671" s="47" t="s">
        <v>937</v>
      </c>
      <c r="AF671" s="47" t="s">
        <v>931</v>
      </c>
      <c r="AG671" s="47" t="s">
        <v>931</v>
      </c>
      <c r="AH671" s="47" t="s">
        <v>931</v>
      </c>
      <c r="AI671" s="47" t="s">
        <v>931</v>
      </c>
      <c r="AJ671" s="47" t="s">
        <v>931</v>
      </c>
      <c r="AK671" s="47" t="s">
        <v>930</v>
      </c>
      <c r="AL671" s="47" t="s">
        <v>931</v>
      </c>
      <c r="AM671" s="47" t="s">
        <v>931</v>
      </c>
      <c r="AN671" s="37"/>
    </row>
    <row r="672" spans="1:40" hidden="1">
      <c r="A672" s="47" t="s">
        <v>982</v>
      </c>
      <c r="B672" s="47" t="s">
        <v>919</v>
      </c>
      <c r="C672" s="47" t="s">
        <v>4994</v>
      </c>
      <c r="D672" s="47" t="e">
        <f t="shared" si="17"/>
        <v>#VALUE!</v>
      </c>
      <c r="E672" s="47" t="s">
        <v>330</v>
      </c>
      <c r="F672" s="47" t="s">
        <v>331</v>
      </c>
      <c r="G672" s="47" t="s">
        <v>4995</v>
      </c>
      <c r="H672" s="47" t="s">
        <v>924</v>
      </c>
      <c r="I672" s="47" t="s">
        <v>4996</v>
      </c>
      <c r="J672" s="47" t="s">
        <v>926</v>
      </c>
      <c r="K672" s="47" t="s">
        <v>163</v>
      </c>
      <c r="L672" s="47" t="s">
        <v>1319</v>
      </c>
      <c r="M672" s="47" t="s">
        <v>931</v>
      </c>
      <c r="N672" s="47" t="s">
        <v>946</v>
      </c>
      <c r="O672" s="47" t="s">
        <v>930</v>
      </c>
      <c r="P672" s="47" t="s">
        <v>930</v>
      </c>
      <c r="Q672" s="47"/>
      <c r="R672" s="47"/>
      <c r="S672" s="47"/>
      <c r="T672" s="47" t="s">
        <v>4997</v>
      </c>
      <c r="U672" s="47" t="s">
        <v>931</v>
      </c>
      <c r="V672" s="47" t="s">
        <v>4998</v>
      </c>
      <c r="W672" s="47" t="s">
        <v>931</v>
      </c>
      <c r="X672" s="47" t="s">
        <v>932</v>
      </c>
      <c r="Y672" s="47" t="s">
        <v>4995</v>
      </c>
      <c r="Z672" s="47" t="s">
        <v>4999</v>
      </c>
      <c r="AA672" s="47" t="s">
        <v>5000</v>
      </c>
      <c r="AB672" s="47" t="s">
        <v>931</v>
      </c>
      <c r="AC672" s="47" t="s">
        <v>37</v>
      </c>
      <c r="AD672" s="47" t="s">
        <v>5001</v>
      </c>
      <c r="AE672" s="47" t="s">
        <v>937</v>
      </c>
      <c r="AF672" s="47" t="s">
        <v>931</v>
      </c>
      <c r="AG672" s="47" t="s">
        <v>931</v>
      </c>
      <c r="AH672" s="47" t="s">
        <v>931</v>
      </c>
      <c r="AI672" s="47" t="s">
        <v>931</v>
      </c>
      <c r="AJ672" s="47" t="s">
        <v>931</v>
      </c>
      <c r="AK672" s="47" t="s">
        <v>930</v>
      </c>
      <c r="AL672" s="47" t="s">
        <v>931</v>
      </c>
      <c r="AM672" s="47" t="s">
        <v>931</v>
      </c>
      <c r="AN672" s="37"/>
    </row>
    <row r="673" spans="1:40" hidden="1">
      <c r="A673" s="47" t="s">
        <v>982</v>
      </c>
      <c r="B673" s="47" t="s">
        <v>919</v>
      </c>
      <c r="C673" s="47" t="s">
        <v>5002</v>
      </c>
      <c r="D673" s="47" t="e">
        <f t="shared" si="17"/>
        <v>#VALUE!</v>
      </c>
      <c r="E673" s="47" t="s">
        <v>2928</v>
      </c>
      <c r="F673" s="47" t="s">
        <v>5003</v>
      </c>
      <c r="G673" s="47" t="s">
        <v>418</v>
      </c>
      <c r="H673" s="47" t="s">
        <v>924</v>
      </c>
      <c r="I673" s="47" t="s">
        <v>986</v>
      </c>
      <c r="J673" s="47" t="s">
        <v>926</v>
      </c>
      <c r="K673" s="47" t="s">
        <v>163</v>
      </c>
      <c r="L673" s="47" t="s">
        <v>972</v>
      </c>
      <c r="M673" s="47" t="s">
        <v>931</v>
      </c>
      <c r="N673" s="47" t="s">
        <v>946</v>
      </c>
      <c r="O673" s="47" t="s">
        <v>930</v>
      </c>
      <c r="P673" s="47" t="s">
        <v>930</v>
      </c>
      <c r="Q673" s="47"/>
      <c r="R673" s="47"/>
      <c r="S673" s="47"/>
      <c r="T673" s="47" t="s">
        <v>931</v>
      </c>
      <c r="U673" s="47" t="s">
        <v>931</v>
      </c>
      <c r="V673" s="47" t="s">
        <v>931</v>
      </c>
      <c r="W673" s="47" t="s">
        <v>931</v>
      </c>
      <c r="X673" s="47" t="s">
        <v>932</v>
      </c>
      <c r="Y673" s="47" t="s">
        <v>418</v>
      </c>
      <c r="Z673" s="47" t="s">
        <v>3535</v>
      </c>
      <c r="AA673" s="47" t="s">
        <v>3536</v>
      </c>
      <c r="AB673" s="47" t="s">
        <v>931</v>
      </c>
      <c r="AC673" s="47" t="s">
        <v>1328</v>
      </c>
      <c r="AD673" s="47" t="s">
        <v>991</v>
      </c>
      <c r="AE673" s="47" t="s">
        <v>937</v>
      </c>
      <c r="AF673" s="47" t="s">
        <v>931</v>
      </c>
      <c r="AG673" s="47" t="s">
        <v>931</v>
      </c>
      <c r="AH673" s="47" t="s">
        <v>931</v>
      </c>
      <c r="AI673" s="47" t="s">
        <v>931</v>
      </c>
      <c r="AJ673" s="47" t="s">
        <v>931</v>
      </c>
      <c r="AK673" s="47" t="s">
        <v>930</v>
      </c>
      <c r="AL673" s="47" t="s">
        <v>931</v>
      </c>
      <c r="AM673" s="47" t="s">
        <v>931</v>
      </c>
      <c r="AN673" s="37"/>
    </row>
    <row r="674" spans="1:40" hidden="1">
      <c r="A674" s="47" t="s">
        <v>982</v>
      </c>
      <c r="B674" s="47" t="s">
        <v>919</v>
      </c>
      <c r="C674" s="47" t="s">
        <v>5004</v>
      </c>
      <c r="D674" s="47" t="e">
        <f t="shared" si="17"/>
        <v>#VALUE!</v>
      </c>
      <c r="E674" s="47" t="s">
        <v>336</v>
      </c>
      <c r="F674" s="47" t="s">
        <v>337</v>
      </c>
      <c r="G674" s="47" t="s">
        <v>479</v>
      </c>
      <c r="H674" s="47" t="s">
        <v>1287</v>
      </c>
      <c r="I674" s="47" t="s">
        <v>986</v>
      </c>
      <c r="J674" s="47" t="s">
        <v>926</v>
      </c>
      <c r="K674" s="47" t="s">
        <v>163</v>
      </c>
      <c r="L674" s="47" t="s">
        <v>1083</v>
      </c>
      <c r="M674" s="47" t="s">
        <v>931</v>
      </c>
      <c r="N674" s="47" t="s">
        <v>946</v>
      </c>
      <c r="O674" s="47" t="s">
        <v>930</v>
      </c>
      <c r="P674" s="47" t="s">
        <v>930</v>
      </c>
      <c r="Q674" s="47"/>
      <c r="R674" s="47"/>
      <c r="S674" s="47"/>
      <c r="T674" s="47" t="s">
        <v>931</v>
      </c>
      <c r="U674" s="47" t="s">
        <v>931</v>
      </c>
      <c r="V674" s="47" t="s">
        <v>931</v>
      </c>
      <c r="W674" s="47" t="s">
        <v>931</v>
      </c>
      <c r="X674" s="47" t="s">
        <v>932</v>
      </c>
      <c r="Y674" s="47" t="s">
        <v>479</v>
      </c>
      <c r="Z674" s="47" t="s">
        <v>1228</v>
      </c>
      <c r="AA674" s="47" t="s">
        <v>1229</v>
      </c>
      <c r="AB674" s="47" t="s">
        <v>931</v>
      </c>
      <c r="AC674" s="47" t="s">
        <v>3937</v>
      </c>
      <c r="AD674" s="47" t="s">
        <v>991</v>
      </c>
      <c r="AE674" s="47" t="s">
        <v>937</v>
      </c>
      <c r="AF674" s="47" t="s">
        <v>931</v>
      </c>
      <c r="AG674" s="47" t="s">
        <v>931</v>
      </c>
      <c r="AH674" s="47" t="s">
        <v>364</v>
      </c>
      <c r="AI674" s="47" t="s">
        <v>931</v>
      </c>
      <c r="AJ674" s="47" t="s">
        <v>365</v>
      </c>
      <c r="AK674" s="47" t="s">
        <v>930</v>
      </c>
      <c r="AL674" s="47" t="s">
        <v>931</v>
      </c>
      <c r="AM674" s="47" t="s">
        <v>931</v>
      </c>
      <c r="AN674" s="37"/>
    </row>
    <row r="675" spans="1:40" hidden="1">
      <c r="A675" s="47" t="s">
        <v>982</v>
      </c>
      <c r="B675" s="47" t="s">
        <v>919</v>
      </c>
      <c r="C675" s="47" t="s">
        <v>5005</v>
      </c>
      <c r="D675" s="47" t="e">
        <f t="shared" si="17"/>
        <v>#VALUE!</v>
      </c>
      <c r="E675" s="47" t="s">
        <v>5006</v>
      </c>
      <c r="F675" s="47" t="s">
        <v>5007</v>
      </c>
      <c r="G675" s="47" t="s">
        <v>877</v>
      </c>
      <c r="H675" s="47" t="s">
        <v>924</v>
      </c>
      <c r="I675" s="47" t="s">
        <v>925</v>
      </c>
      <c r="J675" s="47" t="s">
        <v>1257</v>
      </c>
      <c r="K675" s="47" t="s">
        <v>163</v>
      </c>
      <c r="L675" s="47" t="s">
        <v>1025</v>
      </c>
      <c r="M675" s="47" t="s">
        <v>1004</v>
      </c>
      <c r="N675" s="47" t="s">
        <v>946</v>
      </c>
      <c r="O675" s="47" t="s">
        <v>930</v>
      </c>
      <c r="P675" s="47" t="s">
        <v>930</v>
      </c>
      <c r="Q675" s="47"/>
      <c r="R675" s="47"/>
      <c r="S675" s="47"/>
      <c r="T675" s="47" t="s">
        <v>5008</v>
      </c>
      <c r="U675" s="47" t="s">
        <v>931</v>
      </c>
      <c r="V675" s="47" t="s">
        <v>4362</v>
      </c>
      <c r="W675" s="47" t="s">
        <v>931</v>
      </c>
      <c r="X675" s="47" t="s">
        <v>932</v>
      </c>
      <c r="Y675" s="47" t="s">
        <v>877</v>
      </c>
      <c r="Z675" s="47" t="s">
        <v>4675</v>
      </c>
      <c r="AA675" s="47" t="s">
        <v>4676</v>
      </c>
      <c r="AB675" s="47" t="s">
        <v>931</v>
      </c>
      <c r="AC675" s="47" t="s">
        <v>931</v>
      </c>
      <c r="AD675" s="47" t="s">
        <v>936</v>
      </c>
      <c r="AE675" s="47" t="s">
        <v>937</v>
      </c>
      <c r="AF675" s="47" t="s">
        <v>931</v>
      </c>
      <c r="AG675" s="47" t="s">
        <v>931</v>
      </c>
      <c r="AH675" s="47" t="s">
        <v>931</v>
      </c>
      <c r="AI675" s="47" t="s">
        <v>931</v>
      </c>
      <c r="AJ675" s="47" t="s">
        <v>931</v>
      </c>
      <c r="AK675" s="47" t="s">
        <v>930</v>
      </c>
      <c r="AL675" s="47" t="s">
        <v>931</v>
      </c>
      <c r="AM675" s="47" t="s">
        <v>931</v>
      </c>
      <c r="AN675" s="37"/>
    </row>
    <row r="676" spans="1:40" hidden="1">
      <c r="A676" s="47" t="s">
        <v>982</v>
      </c>
      <c r="B676" s="47" t="s">
        <v>919</v>
      </c>
      <c r="C676" s="47" t="s">
        <v>5009</v>
      </c>
      <c r="D676" s="47" t="e">
        <f t="shared" si="17"/>
        <v>#VALUE!</v>
      </c>
      <c r="E676" s="47" t="s">
        <v>5010</v>
      </c>
      <c r="F676" s="47" t="s">
        <v>5011</v>
      </c>
      <c r="G676" s="47" t="s">
        <v>5012</v>
      </c>
      <c r="H676" s="47" t="s">
        <v>924</v>
      </c>
      <c r="I676" s="47" t="s">
        <v>925</v>
      </c>
      <c r="J676" s="47" t="s">
        <v>926</v>
      </c>
      <c r="K676" s="47" t="s">
        <v>163</v>
      </c>
      <c r="L676" s="47" t="s">
        <v>5013</v>
      </c>
      <c r="M676" s="47" t="s">
        <v>1004</v>
      </c>
      <c r="N676" s="47" t="s">
        <v>946</v>
      </c>
      <c r="O676" s="47" t="s">
        <v>930</v>
      </c>
      <c r="P676" s="47" t="s">
        <v>930</v>
      </c>
      <c r="Q676" s="47"/>
      <c r="R676" s="47"/>
      <c r="S676" s="47"/>
      <c r="T676" s="47" t="s">
        <v>5014</v>
      </c>
      <c r="U676" s="47" t="s">
        <v>931</v>
      </c>
      <c r="V676" s="47" t="s">
        <v>5015</v>
      </c>
      <c r="W676" s="47" t="s">
        <v>931</v>
      </c>
      <c r="X676" s="47" t="s">
        <v>932</v>
      </c>
      <c r="Y676" s="47" t="s">
        <v>5012</v>
      </c>
      <c r="Z676" s="47" t="s">
        <v>5016</v>
      </c>
      <c r="AA676" s="47" t="s">
        <v>5017</v>
      </c>
      <c r="AB676" s="47" t="s">
        <v>931</v>
      </c>
      <c r="AC676" s="47" t="s">
        <v>931</v>
      </c>
      <c r="AD676" s="47" t="s">
        <v>936</v>
      </c>
      <c r="AE676" s="47" t="s">
        <v>937</v>
      </c>
      <c r="AF676" s="47" t="s">
        <v>931</v>
      </c>
      <c r="AG676" s="47" t="s">
        <v>931</v>
      </c>
      <c r="AH676" s="47" t="s">
        <v>931</v>
      </c>
      <c r="AI676" s="47" t="s">
        <v>931</v>
      </c>
      <c r="AJ676" s="47" t="s">
        <v>931</v>
      </c>
      <c r="AK676" s="47" t="s">
        <v>930</v>
      </c>
      <c r="AL676" s="47" t="s">
        <v>931</v>
      </c>
      <c r="AM676" s="47" t="s">
        <v>931</v>
      </c>
      <c r="AN676" s="37"/>
    </row>
    <row r="677" spans="1:40" hidden="1">
      <c r="A677" s="47" t="s">
        <v>982</v>
      </c>
      <c r="B677" s="47" t="s">
        <v>919</v>
      </c>
      <c r="C677" s="47" t="s">
        <v>5018</v>
      </c>
      <c r="D677" s="47" t="e">
        <f t="shared" si="17"/>
        <v>#VALUE!</v>
      </c>
      <c r="E677" s="47" t="s">
        <v>5019</v>
      </c>
      <c r="F677" s="47" t="s">
        <v>5020</v>
      </c>
      <c r="G677" s="47" t="s">
        <v>467</v>
      </c>
      <c r="H677" s="47" t="s">
        <v>1287</v>
      </c>
      <c r="I677" s="47" t="s">
        <v>925</v>
      </c>
      <c r="J677" s="47" t="s">
        <v>926</v>
      </c>
      <c r="K677" s="47" t="s">
        <v>163</v>
      </c>
      <c r="L677" s="47" t="s">
        <v>1258</v>
      </c>
      <c r="M677" s="47" t="s">
        <v>1004</v>
      </c>
      <c r="N677" s="47" t="s">
        <v>946</v>
      </c>
      <c r="O677" s="47" t="s">
        <v>930</v>
      </c>
      <c r="P677" s="47" t="s">
        <v>930</v>
      </c>
      <c r="Q677" s="47"/>
      <c r="R677" s="47"/>
      <c r="S677" s="47"/>
      <c r="T677" s="47" t="s">
        <v>5021</v>
      </c>
      <c r="U677" s="47" t="s">
        <v>931</v>
      </c>
      <c r="V677" s="47" t="s">
        <v>1260</v>
      </c>
      <c r="W677" s="47" t="s">
        <v>931</v>
      </c>
      <c r="X677" s="47" t="s">
        <v>995</v>
      </c>
      <c r="Y677" s="47" t="s">
        <v>467</v>
      </c>
      <c r="Z677" s="47" t="s">
        <v>3007</v>
      </c>
      <c r="AA677" s="47" t="s">
        <v>3008</v>
      </c>
      <c r="AB677" s="47" t="s">
        <v>931</v>
      </c>
      <c r="AC677" s="47" t="s">
        <v>931</v>
      </c>
      <c r="AD677" s="47" t="s">
        <v>936</v>
      </c>
      <c r="AE677" s="47" t="s">
        <v>937</v>
      </c>
      <c r="AF677" s="47" t="s">
        <v>931</v>
      </c>
      <c r="AG677" s="47" t="s">
        <v>931</v>
      </c>
      <c r="AH677" s="47" t="s">
        <v>931</v>
      </c>
      <c r="AI677" s="47" t="s">
        <v>931</v>
      </c>
      <c r="AJ677" s="47" t="s">
        <v>931</v>
      </c>
      <c r="AK677" s="47" t="s">
        <v>930</v>
      </c>
      <c r="AL677" s="47" t="s">
        <v>931</v>
      </c>
      <c r="AM677" s="47" t="s">
        <v>931</v>
      </c>
      <c r="AN677" s="37"/>
    </row>
    <row r="678" spans="1:40" hidden="1">
      <c r="A678" s="47" t="s">
        <v>982</v>
      </c>
      <c r="B678" s="47" t="s">
        <v>919</v>
      </c>
      <c r="C678" s="47" t="s">
        <v>5022</v>
      </c>
      <c r="D678" s="47" t="e">
        <f t="shared" si="17"/>
        <v>#VALUE!</v>
      </c>
      <c r="E678" s="47" t="s">
        <v>314</v>
      </c>
      <c r="F678" s="47" t="s">
        <v>315</v>
      </c>
      <c r="G678" s="47" t="s">
        <v>359</v>
      </c>
      <c r="H678" s="47" t="s">
        <v>1100</v>
      </c>
      <c r="I678" s="47" t="s">
        <v>925</v>
      </c>
      <c r="J678" s="47" t="s">
        <v>926</v>
      </c>
      <c r="K678" s="47" t="s">
        <v>163</v>
      </c>
      <c r="L678" s="47" t="s">
        <v>927</v>
      </c>
      <c r="M678" s="47" t="s">
        <v>1004</v>
      </c>
      <c r="N678" s="47" t="s">
        <v>929</v>
      </c>
      <c r="O678" s="47" t="s">
        <v>930</v>
      </c>
      <c r="P678" s="47" t="s">
        <v>930</v>
      </c>
      <c r="Q678" s="47"/>
      <c r="R678" s="47"/>
      <c r="S678" s="47"/>
      <c r="T678" s="47" t="s">
        <v>931</v>
      </c>
      <c r="U678" s="47" t="s">
        <v>931</v>
      </c>
      <c r="V678" s="47" t="s">
        <v>931</v>
      </c>
      <c r="W678" s="47" t="s">
        <v>931</v>
      </c>
      <c r="X678" s="47" t="s">
        <v>995</v>
      </c>
      <c r="Y678" s="47" t="s">
        <v>359</v>
      </c>
      <c r="Z678" s="47" t="s">
        <v>3965</v>
      </c>
      <c r="AA678" s="47" t="s">
        <v>3966</v>
      </c>
      <c r="AB678" s="47" t="s">
        <v>931</v>
      </c>
      <c r="AC678" s="47" t="s">
        <v>359</v>
      </c>
      <c r="AD678" s="47" t="s">
        <v>936</v>
      </c>
      <c r="AE678" s="47" t="s">
        <v>937</v>
      </c>
      <c r="AF678" s="47" t="s">
        <v>931</v>
      </c>
      <c r="AG678" s="47" t="s">
        <v>931</v>
      </c>
      <c r="AH678" s="47" t="s">
        <v>931</v>
      </c>
      <c r="AI678" s="47" t="s">
        <v>931</v>
      </c>
      <c r="AJ678" s="47" t="s">
        <v>931</v>
      </c>
      <c r="AK678" s="47" t="s">
        <v>930</v>
      </c>
      <c r="AL678" s="47" t="s">
        <v>931</v>
      </c>
      <c r="AM678" s="47" t="s">
        <v>931</v>
      </c>
      <c r="AN678" s="37"/>
    </row>
    <row r="679" spans="1:40" hidden="1">
      <c r="A679" s="47" t="s">
        <v>982</v>
      </c>
      <c r="B679" s="47" t="s">
        <v>919</v>
      </c>
      <c r="C679" s="47" t="s">
        <v>5023</v>
      </c>
      <c r="D679" s="47" t="e">
        <f t="shared" si="17"/>
        <v>#VALUE!</v>
      </c>
      <c r="E679" s="47" t="s">
        <v>135</v>
      </c>
      <c r="F679" s="47" t="s">
        <v>355</v>
      </c>
      <c r="G679" s="47" t="s">
        <v>396</v>
      </c>
      <c r="H679" s="47" t="s">
        <v>924</v>
      </c>
      <c r="I679" s="47" t="s">
        <v>925</v>
      </c>
      <c r="J679" s="47" t="s">
        <v>926</v>
      </c>
      <c r="K679" s="47" t="s">
        <v>163</v>
      </c>
      <c r="L679" s="47" t="s">
        <v>1014</v>
      </c>
      <c r="M679" s="47" t="s">
        <v>1004</v>
      </c>
      <c r="N679" s="47" t="s">
        <v>946</v>
      </c>
      <c r="O679" s="47" t="s">
        <v>930</v>
      </c>
      <c r="P679" s="47" t="s">
        <v>930</v>
      </c>
      <c r="Q679" s="47" t="str">
        <f>LEFT(T679,9)</f>
        <v xml:space="preserve"> Sáng T7:</v>
      </c>
      <c r="R679" s="47" t="s">
        <v>973</v>
      </c>
      <c r="S679" s="47" t="s">
        <v>1677</v>
      </c>
      <c r="T679" s="47" t="s">
        <v>5024</v>
      </c>
      <c r="U679" s="47" t="s">
        <v>931</v>
      </c>
      <c r="V679" s="47" t="s">
        <v>5025</v>
      </c>
      <c r="W679" s="47" t="s">
        <v>931</v>
      </c>
      <c r="X679" s="47" t="s">
        <v>932</v>
      </c>
      <c r="Y679" s="47" t="s">
        <v>396</v>
      </c>
      <c r="Z679" s="47" t="s">
        <v>1303</v>
      </c>
      <c r="AA679" s="47" t="s">
        <v>1304</v>
      </c>
      <c r="AB679" s="47" t="s">
        <v>931</v>
      </c>
      <c r="AC679" s="47" t="s">
        <v>990</v>
      </c>
      <c r="AD679" s="47" t="s">
        <v>936</v>
      </c>
      <c r="AE679" s="47" t="s">
        <v>937</v>
      </c>
      <c r="AF679" s="47" t="s">
        <v>931</v>
      </c>
      <c r="AG679" s="47" t="s">
        <v>931</v>
      </c>
      <c r="AH679" s="47" t="s">
        <v>931</v>
      </c>
      <c r="AI679" s="47" t="s">
        <v>931</v>
      </c>
      <c r="AJ679" s="47" t="s">
        <v>931</v>
      </c>
      <c r="AK679" s="47" t="s">
        <v>930</v>
      </c>
      <c r="AL679" s="47" t="s">
        <v>931</v>
      </c>
      <c r="AM679" s="47" t="s">
        <v>931</v>
      </c>
      <c r="AN679" s="37"/>
    </row>
    <row r="680" spans="1:40" hidden="1">
      <c r="A680" s="47" t="s">
        <v>982</v>
      </c>
      <c r="B680" s="47" t="s">
        <v>919</v>
      </c>
      <c r="C680" s="47" t="s">
        <v>5026</v>
      </c>
      <c r="D680" s="47" t="e">
        <f t="shared" si="17"/>
        <v>#VALUE!</v>
      </c>
      <c r="E680" s="47" t="s">
        <v>5027</v>
      </c>
      <c r="F680" s="47" t="s">
        <v>4832</v>
      </c>
      <c r="G680" s="47" t="s">
        <v>5028</v>
      </c>
      <c r="H680" s="47" t="s">
        <v>1325</v>
      </c>
      <c r="I680" s="47" t="s">
        <v>925</v>
      </c>
      <c r="J680" s="47" t="s">
        <v>926</v>
      </c>
      <c r="K680" s="47" t="s">
        <v>163</v>
      </c>
      <c r="L680" s="47" t="s">
        <v>2736</v>
      </c>
      <c r="M680" s="47" t="s">
        <v>1004</v>
      </c>
      <c r="N680" s="47" t="s">
        <v>929</v>
      </c>
      <c r="O680" s="47" t="s">
        <v>930</v>
      </c>
      <c r="P680" s="47" t="s">
        <v>930</v>
      </c>
      <c r="Q680" s="47"/>
      <c r="R680" s="47"/>
      <c r="S680" s="47"/>
      <c r="T680" s="47" t="s">
        <v>931</v>
      </c>
      <c r="U680" s="47" t="s">
        <v>931</v>
      </c>
      <c r="V680" s="47" t="s">
        <v>931</v>
      </c>
      <c r="W680" s="47" t="s">
        <v>931</v>
      </c>
      <c r="X680" s="47" t="s">
        <v>995</v>
      </c>
      <c r="Y680" s="47" t="s">
        <v>5028</v>
      </c>
      <c r="Z680" s="47" t="s">
        <v>1261</v>
      </c>
      <c r="AA680" s="47" t="s">
        <v>1262</v>
      </c>
      <c r="AB680" s="47" t="s">
        <v>931</v>
      </c>
      <c r="AC680" s="47" t="s">
        <v>435</v>
      </c>
      <c r="AD680" s="47" t="s">
        <v>936</v>
      </c>
      <c r="AE680" s="47" t="s">
        <v>1750</v>
      </c>
      <c r="AF680" s="47" t="s">
        <v>931</v>
      </c>
      <c r="AG680" s="47" t="s">
        <v>931</v>
      </c>
      <c r="AH680" s="47" t="s">
        <v>931</v>
      </c>
      <c r="AI680" s="47" t="s">
        <v>931</v>
      </c>
      <c r="AJ680" s="47" t="s">
        <v>931</v>
      </c>
      <c r="AK680" s="47" t="s">
        <v>930</v>
      </c>
      <c r="AL680" s="47" t="s">
        <v>931</v>
      </c>
      <c r="AM680" s="47" t="s">
        <v>931</v>
      </c>
      <c r="AN680" s="37"/>
    </row>
    <row r="681" spans="1:40" hidden="1">
      <c r="A681" s="47" t="s">
        <v>982</v>
      </c>
      <c r="B681" s="47" t="s">
        <v>919</v>
      </c>
      <c r="C681" s="47" t="s">
        <v>5029</v>
      </c>
      <c r="D681" s="47" t="e">
        <f t="shared" si="17"/>
        <v>#VALUE!</v>
      </c>
      <c r="E681" s="47" t="s">
        <v>5030</v>
      </c>
      <c r="F681" s="47" t="s">
        <v>5031</v>
      </c>
      <c r="G681" s="47" t="s">
        <v>3058</v>
      </c>
      <c r="H681" s="47" t="s">
        <v>969</v>
      </c>
      <c r="I681" s="47" t="s">
        <v>925</v>
      </c>
      <c r="J681" s="47" t="s">
        <v>926</v>
      </c>
      <c r="K681" s="47" t="s">
        <v>163</v>
      </c>
      <c r="L681" s="47" t="s">
        <v>2959</v>
      </c>
      <c r="M681" s="47" t="s">
        <v>1004</v>
      </c>
      <c r="N681" s="47" t="s">
        <v>946</v>
      </c>
      <c r="O681" s="47" t="s">
        <v>930</v>
      </c>
      <c r="P681" s="47" t="s">
        <v>930</v>
      </c>
      <c r="Q681" s="47"/>
      <c r="R681" s="47"/>
      <c r="S681" s="47"/>
      <c r="T681" s="47" t="s">
        <v>5032</v>
      </c>
      <c r="U681" s="47" t="s">
        <v>931</v>
      </c>
      <c r="V681" s="47" t="s">
        <v>4274</v>
      </c>
      <c r="W681" s="47" t="s">
        <v>931</v>
      </c>
      <c r="X681" s="47" t="s">
        <v>932</v>
      </c>
      <c r="Y681" s="47" t="s">
        <v>3058</v>
      </c>
      <c r="Z681" s="47" t="s">
        <v>3063</v>
      </c>
      <c r="AA681" s="47" t="s">
        <v>3064</v>
      </c>
      <c r="AB681" s="47" t="s">
        <v>931</v>
      </c>
      <c r="AC681" s="47" t="s">
        <v>931</v>
      </c>
      <c r="AD681" s="47" t="s">
        <v>936</v>
      </c>
      <c r="AE681" s="47" t="s">
        <v>937</v>
      </c>
      <c r="AF681" s="47" t="s">
        <v>931</v>
      </c>
      <c r="AG681" s="47" t="s">
        <v>931</v>
      </c>
      <c r="AH681" s="47" t="s">
        <v>931</v>
      </c>
      <c r="AI681" s="47" t="s">
        <v>931</v>
      </c>
      <c r="AJ681" s="47" t="s">
        <v>931</v>
      </c>
      <c r="AK681" s="47" t="s">
        <v>930</v>
      </c>
      <c r="AL681" s="47" t="s">
        <v>931</v>
      </c>
      <c r="AM681" s="47" t="s">
        <v>931</v>
      </c>
      <c r="AN681" s="37"/>
    </row>
    <row r="682" spans="1:40" hidden="1">
      <c r="A682" s="47" t="s">
        <v>982</v>
      </c>
      <c r="B682" s="47" t="s">
        <v>919</v>
      </c>
      <c r="C682" s="47" t="s">
        <v>5033</v>
      </c>
      <c r="D682" s="47" t="e">
        <f t="shared" si="17"/>
        <v>#VALUE!</v>
      </c>
      <c r="E682" s="47" t="s">
        <v>330</v>
      </c>
      <c r="F682" s="47" t="s">
        <v>331</v>
      </c>
      <c r="G682" s="47" t="s">
        <v>4995</v>
      </c>
      <c r="H682" s="47" t="s">
        <v>924</v>
      </c>
      <c r="I682" s="47" t="s">
        <v>925</v>
      </c>
      <c r="J682" s="47" t="s">
        <v>926</v>
      </c>
      <c r="K682" s="47" t="s">
        <v>163</v>
      </c>
      <c r="L682" s="47" t="s">
        <v>945</v>
      </c>
      <c r="M682" s="47" t="s">
        <v>1004</v>
      </c>
      <c r="N682" s="47" t="s">
        <v>946</v>
      </c>
      <c r="O682" s="47" t="s">
        <v>930</v>
      </c>
      <c r="P682" s="47" t="s">
        <v>930</v>
      </c>
      <c r="Q682" s="47"/>
      <c r="R682" s="47"/>
      <c r="S682" s="47"/>
      <c r="T682" s="47" t="s">
        <v>4997</v>
      </c>
      <c r="U682" s="47" t="s">
        <v>931</v>
      </c>
      <c r="V682" s="47" t="s">
        <v>4998</v>
      </c>
      <c r="W682" s="47" t="s">
        <v>931</v>
      </c>
      <c r="X682" s="47" t="s">
        <v>932</v>
      </c>
      <c r="Y682" s="47" t="s">
        <v>4995</v>
      </c>
      <c r="Z682" s="47" t="s">
        <v>4999</v>
      </c>
      <c r="AA682" s="47" t="s">
        <v>5000</v>
      </c>
      <c r="AB682" s="47" t="s">
        <v>931</v>
      </c>
      <c r="AC682" s="47" t="s">
        <v>37</v>
      </c>
      <c r="AD682" s="47" t="s">
        <v>936</v>
      </c>
      <c r="AE682" s="47" t="s">
        <v>937</v>
      </c>
      <c r="AF682" s="47" t="s">
        <v>931</v>
      </c>
      <c r="AG682" s="47" t="s">
        <v>931</v>
      </c>
      <c r="AH682" s="47" t="s">
        <v>931</v>
      </c>
      <c r="AI682" s="47" t="s">
        <v>931</v>
      </c>
      <c r="AJ682" s="47" t="s">
        <v>931</v>
      </c>
      <c r="AK682" s="47" t="s">
        <v>930</v>
      </c>
      <c r="AL682" s="47" t="s">
        <v>931</v>
      </c>
      <c r="AM682" s="47" t="s">
        <v>931</v>
      </c>
      <c r="AN682" s="37"/>
    </row>
    <row r="683" spans="1:40" hidden="1">
      <c r="A683" s="47" t="s">
        <v>982</v>
      </c>
      <c r="B683" s="47" t="s">
        <v>919</v>
      </c>
      <c r="C683" s="47" t="s">
        <v>5034</v>
      </c>
      <c r="D683" s="47" t="e">
        <f t="shared" si="17"/>
        <v>#VALUE!</v>
      </c>
      <c r="E683" s="47" t="s">
        <v>5035</v>
      </c>
      <c r="F683" s="47" t="s">
        <v>5036</v>
      </c>
      <c r="G683" s="47" t="s">
        <v>5037</v>
      </c>
      <c r="H683" s="47" t="s">
        <v>924</v>
      </c>
      <c r="I683" s="47" t="s">
        <v>925</v>
      </c>
      <c r="J683" s="47" t="s">
        <v>1257</v>
      </c>
      <c r="K683" s="47" t="s">
        <v>163</v>
      </c>
      <c r="L683" s="47" t="s">
        <v>3619</v>
      </c>
      <c r="M683" s="47" t="s">
        <v>1004</v>
      </c>
      <c r="N683" s="47" t="s">
        <v>946</v>
      </c>
      <c r="O683" s="47" t="s">
        <v>930</v>
      </c>
      <c r="P683" s="47" t="s">
        <v>930</v>
      </c>
      <c r="Q683" s="47"/>
      <c r="R683" s="47"/>
      <c r="S683" s="47"/>
      <c r="T683" s="47" t="s">
        <v>5038</v>
      </c>
      <c r="U683" s="47" t="s">
        <v>931</v>
      </c>
      <c r="V683" s="47" t="s">
        <v>5015</v>
      </c>
      <c r="W683" s="47" t="s">
        <v>931</v>
      </c>
      <c r="X683" s="47" t="s">
        <v>932</v>
      </c>
      <c r="Y683" s="47" t="s">
        <v>5037</v>
      </c>
      <c r="Z683" s="47" t="s">
        <v>5039</v>
      </c>
      <c r="AA683" s="47" t="s">
        <v>5040</v>
      </c>
      <c r="AB683" s="47" t="s">
        <v>931</v>
      </c>
      <c r="AC683" s="47" t="s">
        <v>5037</v>
      </c>
      <c r="AD683" s="47" t="s">
        <v>936</v>
      </c>
      <c r="AE683" s="47" t="s">
        <v>937</v>
      </c>
      <c r="AF683" s="47" t="s">
        <v>931</v>
      </c>
      <c r="AG683" s="47" t="s">
        <v>931</v>
      </c>
      <c r="AH683" s="47" t="s">
        <v>931</v>
      </c>
      <c r="AI683" s="47" t="s">
        <v>931</v>
      </c>
      <c r="AJ683" s="47" t="s">
        <v>931</v>
      </c>
      <c r="AK683" s="47" t="s">
        <v>930</v>
      </c>
      <c r="AL683" s="47" t="s">
        <v>931</v>
      </c>
      <c r="AM683" s="47" t="s">
        <v>931</v>
      </c>
      <c r="AN683" s="37"/>
    </row>
    <row r="684" spans="1:40" hidden="1">
      <c r="A684" s="47" t="s">
        <v>982</v>
      </c>
      <c r="B684" s="47" t="s">
        <v>919</v>
      </c>
      <c r="C684" s="47" t="s">
        <v>5041</v>
      </c>
      <c r="D684" s="47" t="e">
        <f t="shared" si="17"/>
        <v>#VALUE!</v>
      </c>
      <c r="E684" s="47" t="s">
        <v>5042</v>
      </c>
      <c r="F684" s="47" t="s">
        <v>5043</v>
      </c>
      <c r="G684" s="47" t="s">
        <v>418</v>
      </c>
      <c r="H684" s="47" t="s">
        <v>969</v>
      </c>
      <c r="I684" s="47" t="s">
        <v>925</v>
      </c>
      <c r="J684" s="47" t="s">
        <v>926</v>
      </c>
      <c r="K684" s="47" t="s">
        <v>163</v>
      </c>
      <c r="L684" s="47" t="s">
        <v>1447</v>
      </c>
      <c r="M684" s="47" t="s">
        <v>1004</v>
      </c>
      <c r="N684" s="47" t="s">
        <v>946</v>
      </c>
      <c r="O684" s="47" t="s">
        <v>930</v>
      </c>
      <c r="P684" s="47" t="s">
        <v>930</v>
      </c>
      <c r="Q684" s="47"/>
      <c r="R684" s="47"/>
      <c r="S684" s="47"/>
      <c r="T684" s="47" t="s">
        <v>5044</v>
      </c>
      <c r="U684" s="47" t="s">
        <v>931</v>
      </c>
      <c r="V684" s="47" t="s">
        <v>1260</v>
      </c>
      <c r="W684" s="47" t="s">
        <v>931</v>
      </c>
      <c r="X684" s="47" t="s">
        <v>932</v>
      </c>
      <c r="Y684" s="47" t="s">
        <v>418</v>
      </c>
      <c r="Z684" s="47" t="s">
        <v>3535</v>
      </c>
      <c r="AA684" s="47" t="s">
        <v>3536</v>
      </c>
      <c r="AB684" s="47" t="s">
        <v>931</v>
      </c>
      <c r="AC684" s="47" t="s">
        <v>931</v>
      </c>
      <c r="AD684" s="47" t="s">
        <v>936</v>
      </c>
      <c r="AE684" s="47" t="s">
        <v>937</v>
      </c>
      <c r="AF684" s="47" t="s">
        <v>931</v>
      </c>
      <c r="AG684" s="47" t="s">
        <v>931</v>
      </c>
      <c r="AH684" s="47" t="s">
        <v>931</v>
      </c>
      <c r="AI684" s="47" t="s">
        <v>931</v>
      </c>
      <c r="AJ684" s="47" t="s">
        <v>931</v>
      </c>
      <c r="AK684" s="47" t="s">
        <v>930</v>
      </c>
      <c r="AL684" s="47" t="s">
        <v>931</v>
      </c>
      <c r="AM684" s="47" t="s">
        <v>931</v>
      </c>
      <c r="AN684" s="37"/>
    </row>
    <row r="685" spans="1:40" hidden="1">
      <c r="A685" s="47" t="s">
        <v>982</v>
      </c>
      <c r="B685" s="47" t="s">
        <v>919</v>
      </c>
      <c r="C685" s="47" t="s">
        <v>5045</v>
      </c>
      <c r="D685" s="47" t="e">
        <f t="shared" si="17"/>
        <v>#VALUE!</v>
      </c>
      <c r="E685" s="47" t="s">
        <v>289</v>
      </c>
      <c r="F685" s="47" t="s">
        <v>290</v>
      </c>
      <c r="G685" s="47" t="s">
        <v>447</v>
      </c>
      <c r="H685" s="47" t="s">
        <v>1194</v>
      </c>
      <c r="I685" s="47" t="s">
        <v>925</v>
      </c>
      <c r="J685" s="47" t="s">
        <v>926</v>
      </c>
      <c r="K685" s="47" t="s">
        <v>163</v>
      </c>
      <c r="L685" s="47" t="s">
        <v>1319</v>
      </c>
      <c r="M685" s="47" t="s">
        <v>1004</v>
      </c>
      <c r="N685" s="47" t="s">
        <v>929</v>
      </c>
      <c r="O685" s="47" t="s">
        <v>930</v>
      </c>
      <c r="P685" s="47" t="s">
        <v>930</v>
      </c>
      <c r="Q685" s="47"/>
      <c r="R685" s="47"/>
      <c r="S685" s="47"/>
      <c r="T685" s="47" t="s">
        <v>931</v>
      </c>
      <c r="U685" s="47" t="s">
        <v>931</v>
      </c>
      <c r="V685" s="47" t="s">
        <v>931</v>
      </c>
      <c r="W685" s="47" t="s">
        <v>931</v>
      </c>
      <c r="X685" s="47" t="s">
        <v>995</v>
      </c>
      <c r="Y685" s="47" t="s">
        <v>447</v>
      </c>
      <c r="Z685" s="47" t="s">
        <v>4223</v>
      </c>
      <c r="AA685" s="47" t="s">
        <v>4224</v>
      </c>
      <c r="AB685" s="47" t="s">
        <v>931</v>
      </c>
      <c r="AC685" s="47" t="s">
        <v>447</v>
      </c>
      <c r="AD685" s="47" t="s">
        <v>936</v>
      </c>
      <c r="AE685" s="47" t="s">
        <v>937</v>
      </c>
      <c r="AF685" s="47" t="s">
        <v>931</v>
      </c>
      <c r="AG685" s="47" t="s">
        <v>931</v>
      </c>
      <c r="AH685" s="47" t="s">
        <v>931</v>
      </c>
      <c r="AI685" s="47" t="s">
        <v>931</v>
      </c>
      <c r="AJ685" s="47" t="s">
        <v>931</v>
      </c>
      <c r="AK685" s="47" t="s">
        <v>930</v>
      </c>
      <c r="AL685" s="47" t="s">
        <v>931</v>
      </c>
      <c r="AM685" s="47" t="s">
        <v>931</v>
      </c>
      <c r="AN685" s="37"/>
    </row>
    <row r="686" spans="1:40" hidden="1">
      <c r="A686" s="47" t="s">
        <v>982</v>
      </c>
      <c r="B686" s="47" t="s">
        <v>919</v>
      </c>
      <c r="C686" s="47" t="s">
        <v>5046</v>
      </c>
      <c r="D686" s="47" t="e">
        <f t="shared" si="17"/>
        <v>#VALUE!</v>
      </c>
      <c r="E686" s="47" t="s">
        <v>5047</v>
      </c>
      <c r="F686" s="47" t="s">
        <v>5048</v>
      </c>
      <c r="G686" s="47" t="s">
        <v>5049</v>
      </c>
      <c r="H686" s="47" t="s">
        <v>969</v>
      </c>
      <c r="I686" s="47" t="s">
        <v>925</v>
      </c>
      <c r="J686" s="47" t="s">
        <v>1257</v>
      </c>
      <c r="K686" s="47" t="s">
        <v>163</v>
      </c>
      <c r="L686" s="47" t="s">
        <v>4130</v>
      </c>
      <c r="M686" s="47" t="s">
        <v>1004</v>
      </c>
      <c r="N686" s="47" t="s">
        <v>946</v>
      </c>
      <c r="O686" s="47" t="s">
        <v>930</v>
      </c>
      <c r="P686" s="47" t="s">
        <v>930</v>
      </c>
      <c r="Q686" s="47"/>
      <c r="R686" s="47"/>
      <c r="S686" s="47"/>
      <c r="T686" s="47" t="s">
        <v>5050</v>
      </c>
      <c r="U686" s="47" t="s">
        <v>931</v>
      </c>
      <c r="V686" s="47" t="s">
        <v>1238</v>
      </c>
      <c r="W686" s="47" t="s">
        <v>931</v>
      </c>
      <c r="X686" s="47" t="s">
        <v>932</v>
      </c>
      <c r="Y686" s="47" t="s">
        <v>5049</v>
      </c>
      <c r="Z686" s="47" t="s">
        <v>5051</v>
      </c>
      <c r="AA686" s="47" t="s">
        <v>5052</v>
      </c>
      <c r="AB686" s="47" t="s">
        <v>931</v>
      </c>
      <c r="AC686" s="47" t="s">
        <v>931</v>
      </c>
      <c r="AD686" s="47" t="s">
        <v>936</v>
      </c>
      <c r="AE686" s="47" t="s">
        <v>937</v>
      </c>
      <c r="AF686" s="47" t="s">
        <v>931</v>
      </c>
      <c r="AG686" s="47" t="s">
        <v>931</v>
      </c>
      <c r="AH686" s="47" t="s">
        <v>931</v>
      </c>
      <c r="AI686" s="47" t="s">
        <v>931</v>
      </c>
      <c r="AJ686" s="47" t="s">
        <v>931</v>
      </c>
      <c r="AK686" s="47" t="s">
        <v>930</v>
      </c>
      <c r="AL686" s="47" t="s">
        <v>931</v>
      </c>
      <c r="AM686" s="47" t="s">
        <v>931</v>
      </c>
      <c r="AN686" s="37"/>
    </row>
    <row r="687" spans="1:40" hidden="1">
      <c r="A687" s="47" t="s">
        <v>982</v>
      </c>
      <c r="B687" s="47" t="s">
        <v>919</v>
      </c>
      <c r="C687" s="47" t="s">
        <v>5053</v>
      </c>
      <c r="D687" s="47" t="e">
        <f t="shared" si="17"/>
        <v>#VALUE!</v>
      </c>
      <c r="E687" s="47" t="s">
        <v>5054</v>
      </c>
      <c r="F687" s="47" t="s">
        <v>5055</v>
      </c>
      <c r="G687" s="47" t="s">
        <v>382</v>
      </c>
      <c r="H687" s="47" t="s">
        <v>924</v>
      </c>
      <c r="I687" s="47" t="s">
        <v>925</v>
      </c>
      <c r="J687" s="47" t="s">
        <v>1257</v>
      </c>
      <c r="K687" s="47" t="s">
        <v>163</v>
      </c>
      <c r="L687" s="47" t="s">
        <v>1432</v>
      </c>
      <c r="M687" s="47" t="s">
        <v>1004</v>
      </c>
      <c r="N687" s="47" t="s">
        <v>946</v>
      </c>
      <c r="O687" s="47" t="s">
        <v>930</v>
      </c>
      <c r="P687" s="47" t="s">
        <v>930</v>
      </c>
      <c r="Q687" s="47"/>
      <c r="R687" s="47"/>
      <c r="S687" s="47"/>
      <c r="T687" s="47" t="s">
        <v>5056</v>
      </c>
      <c r="U687" s="47" t="s">
        <v>931</v>
      </c>
      <c r="V687" s="47" t="s">
        <v>5057</v>
      </c>
      <c r="W687" s="47" t="s">
        <v>931</v>
      </c>
      <c r="X687" s="47" t="s">
        <v>932</v>
      </c>
      <c r="Y687" s="47" t="s">
        <v>382</v>
      </c>
      <c r="Z687" s="47" t="s">
        <v>4253</v>
      </c>
      <c r="AA687" s="47" t="s">
        <v>4254</v>
      </c>
      <c r="AB687" s="47" t="s">
        <v>931</v>
      </c>
      <c r="AC687" s="47" t="s">
        <v>931</v>
      </c>
      <c r="AD687" s="47" t="s">
        <v>936</v>
      </c>
      <c r="AE687" s="47" t="s">
        <v>931</v>
      </c>
      <c r="AF687" s="47" t="s">
        <v>931</v>
      </c>
      <c r="AG687" s="47" t="s">
        <v>931</v>
      </c>
      <c r="AH687" s="47" t="s">
        <v>931</v>
      </c>
      <c r="AI687" s="47" t="s">
        <v>931</v>
      </c>
      <c r="AJ687" s="47" t="s">
        <v>931</v>
      </c>
      <c r="AK687" s="47" t="s">
        <v>930</v>
      </c>
      <c r="AL687" s="47" t="s">
        <v>931</v>
      </c>
      <c r="AM687" s="47" t="s">
        <v>931</v>
      </c>
      <c r="AN687" s="37"/>
    </row>
    <row r="688" spans="1:40" hidden="1">
      <c r="A688" s="47" t="s">
        <v>982</v>
      </c>
      <c r="B688" s="47" t="s">
        <v>919</v>
      </c>
      <c r="C688" s="47" t="s">
        <v>5058</v>
      </c>
      <c r="D688" s="47" t="e">
        <f t="shared" si="17"/>
        <v>#VALUE!</v>
      </c>
      <c r="E688" s="47" t="s">
        <v>5059</v>
      </c>
      <c r="F688" s="47" t="s">
        <v>5060</v>
      </c>
      <c r="G688" s="47" t="s">
        <v>3199</v>
      </c>
      <c r="H688" s="47" t="s">
        <v>924</v>
      </c>
      <c r="I688" s="47" t="s">
        <v>925</v>
      </c>
      <c r="J688" s="47" t="s">
        <v>1257</v>
      </c>
      <c r="K688" s="47" t="s">
        <v>163</v>
      </c>
      <c r="L688" s="47" t="s">
        <v>2392</v>
      </c>
      <c r="M688" s="47" t="s">
        <v>1004</v>
      </c>
      <c r="N688" s="47" t="s">
        <v>946</v>
      </c>
      <c r="O688" s="47" t="s">
        <v>930</v>
      </c>
      <c r="P688" s="47" t="s">
        <v>930</v>
      </c>
      <c r="Q688" s="47"/>
      <c r="R688" s="47"/>
      <c r="S688" s="47"/>
      <c r="T688" s="47" t="s">
        <v>5061</v>
      </c>
      <c r="U688" s="47" t="s">
        <v>931</v>
      </c>
      <c r="V688" s="47" t="s">
        <v>1260</v>
      </c>
      <c r="W688" s="47" t="s">
        <v>931</v>
      </c>
      <c r="X688" s="47" t="s">
        <v>932</v>
      </c>
      <c r="Y688" s="47" t="s">
        <v>3199</v>
      </c>
      <c r="Z688" s="47" t="s">
        <v>3205</v>
      </c>
      <c r="AA688" s="47" t="s">
        <v>3206</v>
      </c>
      <c r="AB688" s="47" t="s">
        <v>931</v>
      </c>
      <c r="AC688" s="47" t="s">
        <v>931</v>
      </c>
      <c r="AD688" s="47" t="s">
        <v>936</v>
      </c>
      <c r="AE688" s="47" t="s">
        <v>937</v>
      </c>
      <c r="AF688" s="47" t="s">
        <v>931</v>
      </c>
      <c r="AG688" s="47" t="s">
        <v>931</v>
      </c>
      <c r="AH688" s="47" t="s">
        <v>931</v>
      </c>
      <c r="AI688" s="47" t="s">
        <v>931</v>
      </c>
      <c r="AJ688" s="47" t="s">
        <v>931</v>
      </c>
      <c r="AK688" s="47" t="s">
        <v>930</v>
      </c>
      <c r="AL688" s="47" t="s">
        <v>931</v>
      </c>
      <c r="AM688" s="47" t="s">
        <v>931</v>
      </c>
      <c r="AN688" s="37"/>
    </row>
    <row r="689" spans="1:40" hidden="1">
      <c r="A689" s="47" t="s">
        <v>982</v>
      </c>
      <c r="B689" s="47" t="s">
        <v>919</v>
      </c>
      <c r="C689" s="47" t="s">
        <v>5062</v>
      </c>
      <c r="D689" s="47" t="e">
        <f t="shared" si="17"/>
        <v>#VALUE!</v>
      </c>
      <c r="E689" s="47" t="s">
        <v>5063</v>
      </c>
      <c r="F689" s="47" t="s">
        <v>5064</v>
      </c>
      <c r="G689" s="47" t="s">
        <v>5065</v>
      </c>
      <c r="H689" s="47" t="s">
        <v>924</v>
      </c>
      <c r="I689" s="47" t="s">
        <v>925</v>
      </c>
      <c r="J689" s="47" t="s">
        <v>1257</v>
      </c>
      <c r="K689" s="47" t="s">
        <v>163</v>
      </c>
      <c r="L689" s="47" t="s">
        <v>1676</v>
      </c>
      <c r="M689" s="47" t="s">
        <v>1004</v>
      </c>
      <c r="N689" s="47" t="s">
        <v>946</v>
      </c>
      <c r="O689" s="47" t="s">
        <v>930</v>
      </c>
      <c r="P689" s="47" t="s">
        <v>930</v>
      </c>
      <c r="Q689" s="47"/>
      <c r="R689" s="47"/>
      <c r="S689" s="47"/>
      <c r="T689" s="47" t="s">
        <v>5066</v>
      </c>
      <c r="U689" s="47" t="s">
        <v>931</v>
      </c>
      <c r="V689" s="47" t="s">
        <v>5067</v>
      </c>
      <c r="W689" s="47" t="s">
        <v>931</v>
      </c>
      <c r="X689" s="47" t="s">
        <v>995</v>
      </c>
      <c r="Y689" s="47" t="s">
        <v>5065</v>
      </c>
      <c r="Z689" s="47" t="s">
        <v>5068</v>
      </c>
      <c r="AA689" s="47" t="s">
        <v>5069</v>
      </c>
      <c r="AB689" s="47" t="s">
        <v>931</v>
      </c>
      <c r="AC689" s="47" t="s">
        <v>931</v>
      </c>
      <c r="AD689" s="47" t="s">
        <v>936</v>
      </c>
      <c r="AE689" s="47" t="s">
        <v>931</v>
      </c>
      <c r="AF689" s="47" t="s">
        <v>931</v>
      </c>
      <c r="AG689" s="47" t="s">
        <v>931</v>
      </c>
      <c r="AH689" s="47" t="s">
        <v>931</v>
      </c>
      <c r="AI689" s="47" t="s">
        <v>931</v>
      </c>
      <c r="AJ689" s="47" t="s">
        <v>931</v>
      </c>
      <c r="AK689" s="47" t="s">
        <v>930</v>
      </c>
      <c r="AL689" s="47" t="s">
        <v>931</v>
      </c>
      <c r="AM689" s="47" t="s">
        <v>931</v>
      </c>
      <c r="AN689" s="37"/>
    </row>
    <row r="690" spans="1:40" hidden="1">
      <c r="A690" s="47" t="s">
        <v>982</v>
      </c>
      <c r="B690" s="47" t="s">
        <v>919</v>
      </c>
      <c r="C690" s="47" t="s">
        <v>5070</v>
      </c>
      <c r="D690" s="47" t="e">
        <f t="shared" si="17"/>
        <v>#VALUE!</v>
      </c>
      <c r="E690" s="47" t="s">
        <v>272</v>
      </c>
      <c r="F690" s="47" t="s">
        <v>5071</v>
      </c>
      <c r="G690" s="47" t="s">
        <v>391</v>
      </c>
      <c r="H690" s="47" t="s">
        <v>969</v>
      </c>
      <c r="I690" s="47" t="s">
        <v>986</v>
      </c>
      <c r="J690" s="47" t="s">
        <v>926</v>
      </c>
      <c r="K690" s="47" t="s">
        <v>163</v>
      </c>
      <c r="L690" s="47" t="s">
        <v>1371</v>
      </c>
      <c r="M690" s="47" t="s">
        <v>931</v>
      </c>
      <c r="N690" s="47" t="s">
        <v>946</v>
      </c>
      <c r="O690" s="47" t="s">
        <v>930</v>
      </c>
      <c r="P690" s="47" t="s">
        <v>930</v>
      </c>
      <c r="Q690" s="47"/>
      <c r="R690" s="47"/>
      <c r="S690" s="47"/>
      <c r="T690" s="47" t="s">
        <v>5072</v>
      </c>
      <c r="U690" s="47" t="s">
        <v>931</v>
      </c>
      <c r="V690" s="47" t="s">
        <v>4362</v>
      </c>
      <c r="W690" s="47" t="s">
        <v>931</v>
      </c>
      <c r="X690" s="47" t="s">
        <v>932</v>
      </c>
      <c r="Y690" s="47" t="s">
        <v>391</v>
      </c>
      <c r="Z690" s="47" t="s">
        <v>3130</v>
      </c>
      <c r="AA690" s="47" t="s">
        <v>3131</v>
      </c>
      <c r="AB690" s="47" t="s">
        <v>931</v>
      </c>
      <c r="AC690" s="47" t="s">
        <v>373</v>
      </c>
      <c r="AD690" s="47" t="s">
        <v>991</v>
      </c>
      <c r="AE690" s="47" t="s">
        <v>937</v>
      </c>
      <c r="AF690" s="47" t="s">
        <v>931</v>
      </c>
      <c r="AG690" s="47" t="s">
        <v>931</v>
      </c>
      <c r="AH690" s="47" t="s">
        <v>931</v>
      </c>
      <c r="AI690" s="47" t="s">
        <v>931</v>
      </c>
      <c r="AJ690" s="47" t="s">
        <v>931</v>
      </c>
      <c r="AK690" s="47" t="s">
        <v>930</v>
      </c>
      <c r="AL690" s="47" t="s">
        <v>931</v>
      </c>
      <c r="AM690" s="47" t="s">
        <v>931</v>
      </c>
      <c r="AN690" s="37"/>
    </row>
    <row r="691" spans="1:40" hidden="1">
      <c r="A691" s="47" t="s">
        <v>982</v>
      </c>
      <c r="B691" s="47" t="s">
        <v>919</v>
      </c>
      <c r="C691" s="47" t="s">
        <v>5073</v>
      </c>
      <c r="D691" s="47" t="e">
        <f t="shared" si="17"/>
        <v>#VALUE!</v>
      </c>
      <c r="E691" s="47" t="s">
        <v>421</v>
      </c>
      <c r="F691" s="47" t="s">
        <v>5074</v>
      </c>
      <c r="G691" s="47" t="s">
        <v>5075</v>
      </c>
      <c r="H691" s="47" t="s">
        <v>969</v>
      </c>
      <c r="I691" s="47" t="s">
        <v>986</v>
      </c>
      <c r="J691" s="47" t="s">
        <v>926</v>
      </c>
      <c r="K691" s="47" t="s">
        <v>163</v>
      </c>
      <c r="L691" s="47" t="s">
        <v>2701</v>
      </c>
      <c r="M691" s="47" t="s">
        <v>931</v>
      </c>
      <c r="N691" s="47" t="s">
        <v>946</v>
      </c>
      <c r="O691" s="47" t="s">
        <v>930</v>
      </c>
      <c r="P691" s="47" t="s">
        <v>930</v>
      </c>
      <c r="Q691" s="47"/>
      <c r="R691" s="47"/>
      <c r="S691" s="47"/>
      <c r="T691" s="47" t="s">
        <v>5076</v>
      </c>
      <c r="U691" s="47" t="s">
        <v>931</v>
      </c>
      <c r="V691" s="47" t="s">
        <v>5077</v>
      </c>
      <c r="W691" s="47" t="s">
        <v>931</v>
      </c>
      <c r="X691" s="47" t="s">
        <v>995</v>
      </c>
      <c r="Y691" s="47" t="s">
        <v>5075</v>
      </c>
      <c r="Z691" s="47" t="s">
        <v>5078</v>
      </c>
      <c r="AA691" s="47" t="s">
        <v>5079</v>
      </c>
      <c r="AB691" s="47" t="s">
        <v>931</v>
      </c>
      <c r="AC691" s="47" t="s">
        <v>414</v>
      </c>
      <c r="AD691" s="47" t="s">
        <v>991</v>
      </c>
      <c r="AE691" s="47" t="s">
        <v>937</v>
      </c>
      <c r="AF691" s="47" t="s">
        <v>931</v>
      </c>
      <c r="AG691" s="47" t="s">
        <v>931</v>
      </c>
      <c r="AH691" s="47" t="s">
        <v>931</v>
      </c>
      <c r="AI691" s="47" t="s">
        <v>931</v>
      </c>
      <c r="AJ691" s="47" t="s">
        <v>931</v>
      </c>
      <c r="AK691" s="47" t="s">
        <v>930</v>
      </c>
      <c r="AL691" s="47" t="s">
        <v>931</v>
      </c>
      <c r="AM691" s="47" t="s">
        <v>931</v>
      </c>
      <c r="AN691" s="37"/>
    </row>
    <row r="692" spans="1:40" hidden="1">
      <c r="A692" s="47" t="s">
        <v>982</v>
      </c>
      <c r="B692" s="47" t="s">
        <v>919</v>
      </c>
      <c r="C692" s="47" t="s">
        <v>5080</v>
      </c>
      <c r="D692" s="47" t="e">
        <f t="shared" si="17"/>
        <v>#VALUE!</v>
      </c>
      <c r="E692" s="47" t="s">
        <v>344</v>
      </c>
      <c r="F692" s="47" t="s">
        <v>5081</v>
      </c>
      <c r="G692" s="47" t="s">
        <v>985</v>
      </c>
      <c r="H692" s="47" t="s">
        <v>969</v>
      </c>
      <c r="I692" s="47" t="s">
        <v>986</v>
      </c>
      <c r="J692" s="47" t="s">
        <v>926</v>
      </c>
      <c r="K692" s="47" t="s">
        <v>163</v>
      </c>
      <c r="L692" s="47" t="s">
        <v>1319</v>
      </c>
      <c r="M692" s="47" t="s">
        <v>931</v>
      </c>
      <c r="N692" s="47" t="s">
        <v>929</v>
      </c>
      <c r="O692" s="47" t="s">
        <v>930</v>
      </c>
      <c r="P692" s="47" t="s">
        <v>930</v>
      </c>
      <c r="Q692" s="47"/>
      <c r="R692" s="47"/>
      <c r="S692" s="47"/>
      <c r="T692" s="47" t="s">
        <v>931</v>
      </c>
      <c r="U692" s="47" t="s">
        <v>931</v>
      </c>
      <c r="V692" s="47" t="s">
        <v>931</v>
      </c>
      <c r="W692" s="47" t="s">
        <v>931</v>
      </c>
      <c r="X692" s="47" t="s">
        <v>932</v>
      </c>
      <c r="Y692" s="47" t="s">
        <v>985</v>
      </c>
      <c r="Z692" s="47" t="s">
        <v>988</v>
      </c>
      <c r="AA692" s="47" t="s">
        <v>989</v>
      </c>
      <c r="AB692" s="47" t="s">
        <v>931</v>
      </c>
      <c r="AC692" s="47" t="s">
        <v>990</v>
      </c>
      <c r="AD692" s="47" t="s">
        <v>991</v>
      </c>
      <c r="AE692" s="47" t="s">
        <v>937</v>
      </c>
      <c r="AF692" s="47" t="s">
        <v>931</v>
      </c>
      <c r="AG692" s="47" t="s">
        <v>931</v>
      </c>
      <c r="AH692" s="47" t="s">
        <v>931</v>
      </c>
      <c r="AI692" s="47" t="s">
        <v>931</v>
      </c>
      <c r="AJ692" s="47" t="s">
        <v>931</v>
      </c>
      <c r="AK692" s="47" t="s">
        <v>930</v>
      </c>
      <c r="AL692" s="47" t="s">
        <v>931</v>
      </c>
      <c r="AM692" s="47" t="s">
        <v>931</v>
      </c>
      <c r="AN692" s="37"/>
    </row>
    <row r="693" spans="1:40" hidden="1">
      <c r="A693" s="47" t="s">
        <v>982</v>
      </c>
      <c r="B693" s="47" t="s">
        <v>919</v>
      </c>
      <c r="C693" s="47" t="s">
        <v>5082</v>
      </c>
      <c r="D693" s="47" t="e">
        <f t="shared" si="17"/>
        <v>#VALUE!</v>
      </c>
      <c r="E693" s="47" t="s">
        <v>1323</v>
      </c>
      <c r="F693" s="47" t="s">
        <v>1324</v>
      </c>
      <c r="G693" s="47" t="s">
        <v>489</v>
      </c>
      <c r="H693" s="47" t="s">
        <v>1325</v>
      </c>
      <c r="I693" s="47" t="s">
        <v>5083</v>
      </c>
      <c r="J693" s="47" t="s">
        <v>926</v>
      </c>
      <c r="K693" s="47" t="s">
        <v>163</v>
      </c>
      <c r="L693" s="47" t="s">
        <v>927</v>
      </c>
      <c r="M693" s="47" t="s">
        <v>931</v>
      </c>
      <c r="N693" s="47" t="s">
        <v>929</v>
      </c>
      <c r="O693" s="47" t="s">
        <v>930</v>
      </c>
      <c r="P693" s="47" t="s">
        <v>930</v>
      </c>
      <c r="Q693" s="47"/>
      <c r="R693" s="47"/>
      <c r="S693" s="47"/>
      <c r="T693" s="47" t="s">
        <v>931</v>
      </c>
      <c r="U693" s="47" t="s">
        <v>931</v>
      </c>
      <c r="V693" s="47" t="s">
        <v>931</v>
      </c>
      <c r="W693" s="47" t="s">
        <v>931</v>
      </c>
      <c r="X693" s="47" t="s">
        <v>932</v>
      </c>
      <c r="Y693" s="47" t="s">
        <v>489</v>
      </c>
      <c r="Z693" s="47" t="s">
        <v>1326</v>
      </c>
      <c r="AA693" s="47" t="s">
        <v>1327</v>
      </c>
      <c r="AB693" s="47" t="s">
        <v>931</v>
      </c>
      <c r="AC693" s="47" t="s">
        <v>1328</v>
      </c>
      <c r="AD693" s="47" t="s">
        <v>991</v>
      </c>
      <c r="AE693" s="47" t="s">
        <v>937</v>
      </c>
      <c r="AF693" s="47" t="s">
        <v>931</v>
      </c>
      <c r="AG693" s="47" t="s">
        <v>931</v>
      </c>
      <c r="AH693" s="47" t="s">
        <v>931</v>
      </c>
      <c r="AI693" s="47" t="s">
        <v>931</v>
      </c>
      <c r="AJ693" s="47" t="s">
        <v>931</v>
      </c>
      <c r="AK693" s="47" t="s">
        <v>930</v>
      </c>
      <c r="AL693" s="47" t="s">
        <v>931</v>
      </c>
      <c r="AM693" s="47" t="s">
        <v>931</v>
      </c>
      <c r="AN693" s="37"/>
    </row>
    <row r="694" spans="1:40" hidden="1">
      <c r="A694" s="47" t="s">
        <v>982</v>
      </c>
      <c r="B694" s="47" t="s">
        <v>919</v>
      </c>
      <c r="C694" s="47" t="s">
        <v>5084</v>
      </c>
      <c r="D694" s="47" t="e">
        <f t="shared" si="17"/>
        <v>#VALUE!</v>
      </c>
      <c r="E694" s="47" t="s">
        <v>235</v>
      </c>
      <c r="F694" s="47" t="s">
        <v>1011</v>
      </c>
      <c r="G694" s="47" t="s">
        <v>427</v>
      </c>
      <c r="H694" s="47" t="s">
        <v>969</v>
      </c>
      <c r="I694" s="47" t="s">
        <v>5083</v>
      </c>
      <c r="J694" s="47" t="s">
        <v>926</v>
      </c>
      <c r="K694" s="47" t="s">
        <v>163</v>
      </c>
      <c r="L694" s="47" t="s">
        <v>987</v>
      </c>
      <c r="M694" s="47" t="s">
        <v>931</v>
      </c>
      <c r="N694" s="47" t="s">
        <v>929</v>
      </c>
      <c r="O694" s="47" t="s">
        <v>930</v>
      </c>
      <c r="P694" s="47" t="s">
        <v>930</v>
      </c>
      <c r="Q694" s="47"/>
      <c r="R694" s="47"/>
      <c r="S694" s="47"/>
      <c r="T694" s="47" t="s">
        <v>931</v>
      </c>
      <c r="U694" s="47" t="s">
        <v>931</v>
      </c>
      <c r="V694" s="47" t="s">
        <v>931</v>
      </c>
      <c r="W694" s="47" t="s">
        <v>931</v>
      </c>
      <c r="X694" s="47" t="s">
        <v>932</v>
      </c>
      <c r="Y694" s="47" t="s">
        <v>427</v>
      </c>
      <c r="Z694" s="47" t="s">
        <v>3072</v>
      </c>
      <c r="AA694" s="47" t="s">
        <v>3073</v>
      </c>
      <c r="AB694" s="47" t="s">
        <v>931</v>
      </c>
      <c r="AC694" s="47" t="s">
        <v>387</v>
      </c>
      <c r="AD694" s="47" t="s">
        <v>991</v>
      </c>
      <c r="AE694" s="47" t="s">
        <v>937</v>
      </c>
      <c r="AF694" s="47" t="s">
        <v>931</v>
      </c>
      <c r="AG694" s="47" t="s">
        <v>931</v>
      </c>
      <c r="AH694" s="47" t="s">
        <v>931</v>
      </c>
      <c r="AI694" s="47" t="s">
        <v>931</v>
      </c>
      <c r="AJ694" s="47" t="s">
        <v>931</v>
      </c>
      <c r="AK694" s="47" t="s">
        <v>930</v>
      </c>
      <c r="AL694" s="47" t="s">
        <v>931</v>
      </c>
      <c r="AM694" s="47" t="s">
        <v>931</v>
      </c>
      <c r="AN694" s="37"/>
    </row>
    <row r="695" spans="1:40" hidden="1">
      <c r="A695" s="47" t="s">
        <v>982</v>
      </c>
      <c r="B695" s="47" t="s">
        <v>919</v>
      </c>
      <c r="C695" s="47" t="s">
        <v>5085</v>
      </c>
      <c r="D695" s="47" t="e">
        <f t="shared" si="17"/>
        <v>#VALUE!</v>
      </c>
      <c r="E695" s="47" t="s">
        <v>103</v>
      </c>
      <c r="F695" s="47" t="s">
        <v>343</v>
      </c>
      <c r="G695" s="47" t="s">
        <v>391</v>
      </c>
      <c r="H695" s="47" t="s">
        <v>924</v>
      </c>
      <c r="I695" s="47" t="s">
        <v>5083</v>
      </c>
      <c r="J695" s="47" t="s">
        <v>926</v>
      </c>
      <c r="K695" s="47" t="s">
        <v>163</v>
      </c>
      <c r="L695" s="47" t="s">
        <v>987</v>
      </c>
      <c r="M695" s="47" t="s">
        <v>931</v>
      </c>
      <c r="N695" s="47" t="s">
        <v>929</v>
      </c>
      <c r="O695" s="47" t="s">
        <v>930</v>
      </c>
      <c r="P695" s="47" t="s">
        <v>930</v>
      </c>
      <c r="Q695" s="47"/>
      <c r="R695" s="47"/>
      <c r="S695" s="47"/>
      <c r="T695" s="47" t="s">
        <v>931</v>
      </c>
      <c r="U695" s="47" t="s">
        <v>931</v>
      </c>
      <c r="V695" s="47" t="s">
        <v>931</v>
      </c>
      <c r="W695" s="47" t="s">
        <v>931</v>
      </c>
      <c r="X695" s="47" t="s">
        <v>932</v>
      </c>
      <c r="Y695" s="47" t="s">
        <v>391</v>
      </c>
      <c r="Z695" s="47" t="s">
        <v>3130</v>
      </c>
      <c r="AA695" s="47" t="s">
        <v>3131</v>
      </c>
      <c r="AB695" s="47" t="s">
        <v>931</v>
      </c>
      <c r="AC695" s="47" t="s">
        <v>373</v>
      </c>
      <c r="AD695" s="47" t="s">
        <v>991</v>
      </c>
      <c r="AE695" s="47" t="s">
        <v>937</v>
      </c>
      <c r="AF695" s="47" t="s">
        <v>931</v>
      </c>
      <c r="AG695" s="47" t="s">
        <v>931</v>
      </c>
      <c r="AH695" s="47" t="s">
        <v>931</v>
      </c>
      <c r="AI695" s="47" t="s">
        <v>931</v>
      </c>
      <c r="AJ695" s="47" t="s">
        <v>931</v>
      </c>
      <c r="AK695" s="47" t="s">
        <v>930</v>
      </c>
      <c r="AL695" s="47" t="s">
        <v>931</v>
      </c>
      <c r="AM695" s="47" t="s">
        <v>931</v>
      </c>
      <c r="AN695" s="37"/>
    </row>
    <row r="696" spans="1:40" hidden="1">
      <c r="A696" s="47" t="s">
        <v>982</v>
      </c>
      <c r="B696" s="47" t="s">
        <v>919</v>
      </c>
      <c r="C696" s="47" t="s">
        <v>5086</v>
      </c>
      <c r="D696" s="47" t="e">
        <f t="shared" si="17"/>
        <v>#VALUE!</v>
      </c>
      <c r="E696" s="47" t="s">
        <v>3954</v>
      </c>
      <c r="F696" s="47" t="s">
        <v>3955</v>
      </c>
      <c r="G696" s="47" t="s">
        <v>5087</v>
      </c>
      <c r="H696" s="47" t="s">
        <v>924</v>
      </c>
      <c r="I696" s="47" t="s">
        <v>986</v>
      </c>
      <c r="J696" s="47" t="s">
        <v>926</v>
      </c>
      <c r="K696" s="47" t="s">
        <v>163</v>
      </c>
      <c r="L696" s="47" t="s">
        <v>2392</v>
      </c>
      <c r="M696" s="47" t="s">
        <v>931</v>
      </c>
      <c r="N696" s="47" t="s">
        <v>946</v>
      </c>
      <c r="O696" s="47" t="s">
        <v>930</v>
      </c>
      <c r="P696" s="47" t="s">
        <v>930</v>
      </c>
      <c r="Q696" s="47"/>
      <c r="R696" s="47"/>
      <c r="S696" s="47"/>
      <c r="T696" s="47" t="s">
        <v>5088</v>
      </c>
      <c r="U696" s="47" t="s">
        <v>931</v>
      </c>
      <c r="V696" s="47" t="s">
        <v>5089</v>
      </c>
      <c r="W696" s="47" t="s">
        <v>931</v>
      </c>
      <c r="X696" s="47" t="s">
        <v>995</v>
      </c>
      <c r="Y696" s="47" t="s">
        <v>5087</v>
      </c>
      <c r="Z696" s="47" t="s">
        <v>5090</v>
      </c>
      <c r="AA696" s="47" t="s">
        <v>5091</v>
      </c>
      <c r="AB696" s="47" t="s">
        <v>931</v>
      </c>
      <c r="AC696" s="47" t="s">
        <v>3960</v>
      </c>
      <c r="AD696" s="47" t="s">
        <v>991</v>
      </c>
      <c r="AE696" s="47" t="s">
        <v>937</v>
      </c>
      <c r="AF696" s="47" t="s">
        <v>931</v>
      </c>
      <c r="AG696" s="47" t="s">
        <v>931</v>
      </c>
      <c r="AH696" s="47" t="s">
        <v>1067</v>
      </c>
      <c r="AI696" s="47" t="s">
        <v>931</v>
      </c>
      <c r="AJ696" s="47" t="s">
        <v>365</v>
      </c>
      <c r="AK696" s="47" t="s">
        <v>930</v>
      </c>
      <c r="AL696" s="47" t="s">
        <v>931</v>
      </c>
      <c r="AM696" s="47" t="s">
        <v>931</v>
      </c>
      <c r="AN696" s="37"/>
    </row>
    <row r="697" spans="1:40" hidden="1">
      <c r="A697" s="47" t="s">
        <v>982</v>
      </c>
      <c r="B697" s="47" t="s">
        <v>919</v>
      </c>
      <c r="C697" s="47" t="s">
        <v>5092</v>
      </c>
      <c r="D697" s="47" t="e">
        <f t="shared" si="17"/>
        <v>#VALUE!</v>
      </c>
      <c r="E697" s="47" t="s">
        <v>5093</v>
      </c>
      <c r="F697" s="47" t="s">
        <v>5094</v>
      </c>
      <c r="G697" s="47" t="s">
        <v>3960</v>
      </c>
      <c r="H697" s="47" t="s">
        <v>924</v>
      </c>
      <c r="I697" s="47" t="s">
        <v>925</v>
      </c>
      <c r="J697" s="47" t="s">
        <v>1257</v>
      </c>
      <c r="K697" s="47" t="s">
        <v>163</v>
      </c>
      <c r="L697" s="47" t="s">
        <v>2913</v>
      </c>
      <c r="M697" s="47" t="s">
        <v>1004</v>
      </c>
      <c r="N697" s="47" t="s">
        <v>946</v>
      </c>
      <c r="O697" s="47" t="s">
        <v>930</v>
      </c>
      <c r="P697" s="47" t="s">
        <v>930</v>
      </c>
      <c r="Q697" s="47"/>
      <c r="R697" s="47"/>
      <c r="S697" s="47"/>
      <c r="T697" s="47" t="s">
        <v>931</v>
      </c>
      <c r="U697" s="47" t="s">
        <v>931</v>
      </c>
      <c r="V697" s="47" t="s">
        <v>931</v>
      </c>
      <c r="W697" s="47" t="s">
        <v>931</v>
      </c>
      <c r="X697" s="47" t="s">
        <v>995</v>
      </c>
      <c r="Y697" s="47" t="s">
        <v>3960</v>
      </c>
      <c r="Z697" s="47" t="s">
        <v>4116</v>
      </c>
      <c r="AA697" s="47" t="s">
        <v>4117</v>
      </c>
      <c r="AB697" s="47" t="s">
        <v>931</v>
      </c>
      <c r="AC697" s="47" t="s">
        <v>3960</v>
      </c>
      <c r="AD697" s="47" t="s">
        <v>936</v>
      </c>
      <c r="AE697" s="47" t="s">
        <v>937</v>
      </c>
      <c r="AF697" s="47" t="s">
        <v>5095</v>
      </c>
      <c r="AG697" s="47" t="s">
        <v>5096</v>
      </c>
      <c r="AH697" s="47" t="s">
        <v>1067</v>
      </c>
      <c r="AI697" s="47" t="s">
        <v>931</v>
      </c>
      <c r="AJ697" s="47" t="s">
        <v>365</v>
      </c>
      <c r="AK697" s="47" t="s">
        <v>930</v>
      </c>
      <c r="AL697" s="47" t="s">
        <v>931</v>
      </c>
      <c r="AM697" s="47" t="s">
        <v>931</v>
      </c>
      <c r="AN697" s="37"/>
    </row>
    <row r="698" spans="1:40" hidden="1">
      <c r="A698" s="47" t="s">
        <v>982</v>
      </c>
      <c r="B698" s="47" t="s">
        <v>919</v>
      </c>
      <c r="C698" s="47" t="s">
        <v>5097</v>
      </c>
      <c r="D698" s="47" t="e">
        <f t="shared" si="17"/>
        <v>#VALUE!</v>
      </c>
      <c r="E698" s="47" t="s">
        <v>254</v>
      </c>
      <c r="F698" s="47" t="s">
        <v>255</v>
      </c>
      <c r="G698" s="47" t="s">
        <v>373</v>
      </c>
      <c r="H698" s="47" t="s">
        <v>969</v>
      </c>
      <c r="I698" s="47" t="s">
        <v>986</v>
      </c>
      <c r="J698" s="47" t="s">
        <v>926</v>
      </c>
      <c r="K698" s="47" t="s">
        <v>163</v>
      </c>
      <c r="L698" s="47" t="s">
        <v>2392</v>
      </c>
      <c r="M698" s="47" t="s">
        <v>931</v>
      </c>
      <c r="N698" s="47" t="s">
        <v>946</v>
      </c>
      <c r="O698" s="47" t="s">
        <v>930</v>
      </c>
      <c r="P698" s="47" t="s">
        <v>930</v>
      </c>
      <c r="Q698" s="47"/>
      <c r="R698" s="47"/>
      <c r="S698" s="47"/>
      <c r="T698" s="47" t="s">
        <v>5098</v>
      </c>
      <c r="U698" s="47" t="s">
        <v>931</v>
      </c>
      <c r="V698" s="47" t="s">
        <v>4998</v>
      </c>
      <c r="W698" s="47" t="s">
        <v>931</v>
      </c>
      <c r="X698" s="47" t="s">
        <v>932</v>
      </c>
      <c r="Y698" s="47" t="s">
        <v>373</v>
      </c>
      <c r="Z698" s="47" t="s">
        <v>3148</v>
      </c>
      <c r="AA698" s="47" t="s">
        <v>3149</v>
      </c>
      <c r="AB698" s="47" t="s">
        <v>931</v>
      </c>
      <c r="AC698" s="47" t="s">
        <v>515</v>
      </c>
      <c r="AD698" s="47" t="s">
        <v>991</v>
      </c>
      <c r="AE698" s="47" t="s">
        <v>937</v>
      </c>
      <c r="AF698" s="47" t="s">
        <v>931</v>
      </c>
      <c r="AG698" s="47" t="s">
        <v>5099</v>
      </c>
      <c r="AH698" s="47" t="s">
        <v>364</v>
      </c>
      <c r="AI698" s="47" t="s">
        <v>931</v>
      </c>
      <c r="AJ698" s="47" t="s">
        <v>365</v>
      </c>
      <c r="AK698" s="47" t="s">
        <v>930</v>
      </c>
      <c r="AL698" s="47" t="s">
        <v>931</v>
      </c>
      <c r="AM698" s="47" t="s">
        <v>931</v>
      </c>
      <c r="AN698" s="37"/>
    </row>
    <row r="699" spans="1:40" hidden="1">
      <c r="A699" s="47" t="s">
        <v>982</v>
      </c>
      <c r="B699" s="47" t="s">
        <v>919</v>
      </c>
      <c r="C699" s="47" t="s">
        <v>5100</v>
      </c>
      <c r="D699" s="47" t="e">
        <f t="shared" si="17"/>
        <v>#VALUE!</v>
      </c>
      <c r="E699" s="47" t="s">
        <v>261</v>
      </c>
      <c r="F699" s="47" t="s">
        <v>262</v>
      </c>
      <c r="G699" s="47" t="s">
        <v>437</v>
      </c>
      <c r="H699" s="47" t="s">
        <v>1325</v>
      </c>
      <c r="I699" s="47" t="s">
        <v>986</v>
      </c>
      <c r="J699" s="47" t="s">
        <v>926</v>
      </c>
      <c r="K699" s="47" t="s">
        <v>163</v>
      </c>
      <c r="L699" s="47" t="s">
        <v>971</v>
      </c>
      <c r="M699" s="47" t="s">
        <v>931</v>
      </c>
      <c r="N699" s="47" t="s">
        <v>5101</v>
      </c>
      <c r="O699" s="47" t="s">
        <v>930</v>
      </c>
      <c r="P699" s="47" t="s">
        <v>930</v>
      </c>
      <c r="Q699" s="47"/>
      <c r="R699" s="47"/>
      <c r="S699" s="47"/>
      <c r="T699" s="47" t="s">
        <v>5102</v>
      </c>
      <c r="U699" s="47" t="s">
        <v>931</v>
      </c>
      <c r="V699" s="47" t="s">
        <v>5103</v>
      </c>
      <c r="W699" s="47" t="s">
        <v>931</v>
      </c>
      <c r="X699" s="47" t="s">
        <v>932</v>
      </c>
      <c r="Y699" s="47" t="s">
        <v>437</v>
      </c>
      <c r="Z699" s="47" t="s">
        <v>1320</v>
      </c>
      <c r="AA699" s="47" t="s">
        <v>1321</v>
      </c>
      <c r="AB699" s="47" t="s">
        <v>931</v>
      </c>
      <c r="AC699" s="47" t="s">
        <v>438</v>
      </c>
      <c r="AD699" s="47" t="s">
        <v>991</v>
      </c>
      <c r="AE699" s="47" t="s">
        <v>937</v>
      </c>
      <c r="AF699" s="47" t="s">
        <v>931</v>
      </c>
      <c r="AG699" s="47" t="s">
        <v>931</v>
      </c>
      <c r="AH699" s="47" t="s">
        <v>931</v>
      </c>
      <c r="AI699" s="47" t="s">
        <v>931</v>
      </c>
      <c r="AJ699" s="47" t="s">
        <v>931</v>
      </c>
      <c r="AK699" s="47" t="s">
        <v>930</v>
      </c>
      <c r="AL699" s="47" t="s">
        <v>931</v>
      </c>
      <c r="AM699" s="47" t="s">
        <v>931</v>
      </c>
      <c r="AN699" s="37"/>
    </row>
    <row r="700" spans="1:40" hidden="1">
      <c r="A700" s="47" t="s">
        <v>982</v>
      </c>
      <c r="B700" s="47" t="s">
        <v>919</v>
      </c>
      <c r="C700" s="47" t="s">
        <v>5104</v>
      </c>
      <c r="D700" s="47" t="e">
        <f t="shared" si="17"/>
        <v>#VALUE!</v>
      </c>
      <c r="E700" s="47" t="s">
        <v>276</v>
      </c>
      <c r="F700" s="47" t="s">
        <v>277</v>
      </c>
      <c r="G700" s="47" t="s">
        <v>990</v>
      </c>
      <c r="H700" s="47" t="s">
        <v>4071</v>
      </c>
      <c r="I700" s="47" t="s">
        <v>986</v>
      </c>
      <c r="J700" s="47" t="s">
        <v>926</v>
      </c>
      <c r="K700" s="47" t="s">
        <v>163</v>
      </c>
      <c r="L700" s="47" t="s">
        <v>1083</v>
      </c>
      <c r="M700" s="47" t="s">
        <v>931</v>
      </c>
      <c r="N700" s="47" t="s">
        <v>946</v>
      </c>
      <c r="O700" s="47" t="s">
        <v>930</v>
      </c>
      <c r="P700" s="47" t="s">
        <v>930</v>
      </c>
      <c r="Q700" s="47"/>
      <c r="R700" s="47"/>
      <c r="S700" s="47"/>
      <c r="T700" s="47" t="s">
        <v>5105</v>
      </c>
      <c r="U700" s="47" t="s">
        <v>931</v>
      </c>
      <c r="V700" s="47" t="s">
        <v>5103</v>
      </c>
      <c r="W700" s="47" t="s">
        <v>931</v>
      </c>
      <c r="X700" s="47" t="s">
        <v>932</v>
      </c>
      <c r="Y700" s="47" t="s">
        <v>990</v>
      </c>
      <c r="Z700" s="47" t="s">
        <v>4906</v>
      </c>
      <c r="AA700" s="47" t="s">
        <v>4907</v>
      </c>
      <c r="AB700" s="47" t="s">
        <v>931</v>
      </c>
      <c r="AC700" s="47" t="s">
        <v>373</v>
      </c>
      <c r="AD700" s="47" t="s">
        <v>991</v>
      </c>
      <c r="AE700" s="47" t="s">
        <v>937</v>
      </c>
      <c r="AF700" s="47" t="s">
        <v>931</v>
      </c>
      <c r="AG700" s="47" t="s">
        <v>931</v>
      </c>
      <c r="AH700" s="47" t="s">
        <v>998</v>
      </c>
      <c r="AI700" s="47" t="s">
        <v>931</v>
      </c>
      <c r="AJ700" s="47" t="s">
        <v>931</v>
      </c>
      <c r="AK700" s="47" t="s">
        <v>930</v>
      </c>
      <c r="AL700" s="47" t="s">
        <v>931</v>
      </c>
      <c r="AM700" s="47" t="s">
        <v>931</v>
      </c>
      <c r="AN700" s="37"/>
    </row>
    <row r="701" spans="1:40" hidden="1">
      <c r="A701" s="47" t="s">
        <v>982</v>
      </c>
      <c r="B701" s="47" t="s">
        <v>919</v>
      </c>
      <c r="C701" s="47" t="s">
        <v>5106</v>
      </c>
      <c r="D701" s="47" t="e">
        <f t="shared" si="17"/>
        <v>#VALUE!</v>
      </c>
      <c r="E701" s="47" t="s">
        <v>1718</v>
      </c>
      <c r="F701" s="47" t="s">
        <v>1719</v>
      </c>
      <c r="G701" s="47" t="s">
        <v>487</v>
      </c>
      <c r="H701" s="47" t="s">
        <v>1753</v>
      </c>
      <c r="I701" s="47" t="s">
        <v>986</v>
      </c>
      <c r="J701" s="47" t="s">
        <v>926</v>
      </c>
      <c r="K701" s="47" t="s">
        <v>163</v>
      </c>
      <c r="L701" s="47" t="s">
        <v>1511</v>
      </c>
      <c r="M701" s="47" t="s">
        <v>931</v>
      </c>
      <c r="N701" s="47" t="s">
        <v>946</v>
      </c>
      <c r="O701" s="47" t="s">
        <v>930</v>
      </c>
      <c r="P701" s="47" t="s">
        <v>930</v>
      </c>
      <c r="Q701" s="47"/>
      <c r="R701" s="47"/>
      <c r="S701" s="47"/>
      <c r="T701" s="47" t="s">
        <v>5107</v>
      </c>
      <c r="U701" s="47" t="s">
        <v>931</v>
      </c>
      <c r="V701" s="47" t="s">
        <v>1260</v>
      </c>
      <c r="W701" s="47" t="s">
        <v>931</v>
      </c>
      <c r="X701" s="47" t="s">
        <v>932</v>
      </c>
      <c r="Y701" s="47" t="s">
        <v>487</v>
      </c>
      <c r="Z701" s="47" t="s">
        <v>3227</v>
      </c>
      <c r="AA701" s="47" t="s">
        <v>3228</v>
      </c>
      <c r="AB701" s="47" t="s">
        <v>931</v>
      </c>
      <c r="AC701" s="47" t="s">
        <v>451</v>
      </c>
      <c r="AD701" s="47" t="s">
        <v>991</v>
      </c>
      <c r="AE701" s="47" t="s">
        <v>937</v>
      </c>
      <c r="AF701" s="47" t="s">
        <v>931</v>
      </c>
      <c r="AG701" s="47" t="s">
        <v>931</v>
      </c>
      <c r="AH701" s="47" t="s">
        <v>1067</v>
      </c>
      <c r="AI701" s="47" t="s">
        <v>931</v>
      </c>
      <c r="AJ701" s="47" t="s">
        <v>365</v>
      </c>
      <c r="AK701" s="47" t="s">
        <v>930</v>
      </c>
      <c r="AL701" s="47" t="s">
        <v>931</v>
      </c>
      <c r="AM701" s="47" t="s">
        <v>931</v>
      </c>
      <c r="AN701" s="37"/>
    </row>
    <row r="702" spans="1:40" hidden="1">
      <c r="A702" s="47" t="s">
        <v>982</v>
      </c>
      <c r="B702" s="47" t="s">
        <v>919</v>
      </c>
      <c r="C702" s="47" t="s">
        <v>5108</v>
      </c>
      <c r="D702" s="47" t="e">
        <f t="shared" si="17"/>
        <v>#VALUE!</v>
      </c>
      <c r="E702" s="47" t="s">
        <v>317</v>
      </c>
      <c r="F702" s="47" t="s">
        <v>318</v>
      </c>
      <c r="G702" s="47" t="s">
        <v>464</v>
      </c>
      <c r="H702" s="47" t="s">
        <v>924</v>
      </c>
      <c r="I702" s="47" t="s">
        <v>925</v>
      </c>
      <c r="J702" s="47" t="s">
        <v>926</v>
      </c>
      <c r="K702" s="47" t="s">
        <v>163</v>
      </c>
      <c r="L702" s="47" t="s">
        <v>1909</v>
      </c>
      <c r="M702" s="47" t="s">
        <v>928</v>
      </c>
      <c r="N702" s="47" t="s">
        <v>946</v>
      </c>
      <c r="O702" s="47" t="s">
        <v>930</v>
      </c>
      <c r="P702" s="47" t="s">
        <v>930</v>
      </c>
      <c r="Q702" s="47"/>
      <c r="R702" s="47"/>
      <c r="S702" s="47"/>
      <c r="T702" s="47" t="s">
        <v>931</v>
      </c>
      <c r="U702" s="47" t="s">
        <v>931</v>
      </c>
      <c r="V702" s="47" t="s">
        <v>931</v>
      </c>
      <c r="W702" s="47" t="s">
        <v>931</v>
      </c>
      <c r="X702" s="47" t="s">
        <v>995</v>
      </c>
      <c r="Y702" s="47" t="s">
        <v>464</v>
      </c>
      <c r="Z702" s="47" t="s">
        <v>3462</v>
      </c>
      <c r="AA702" s="47" t="s">
        <v>3463</v>
      </c>
      <c r="AB702" s="47" t="s">
        <v>931</v>
      </c>
      <c r="AC702" s="47" t="s">
        <v>373</v>
      </c>
      <c r="AD702" s="47" t="s">
        <v>936</v>
      </c>
      <c r="AE702" s="47" t="s">
        <v>937</v>
      </c>
      <c r="AF702" s="47" t="s">
        <v>931</v>
      </c>
      <c r="AG702" s="47" t="s">
        <v>931</v>
      </c>
      <c r="AH702" s="47" t="s">
        <v>1067</v>
      </c>
      <c r="AI702" s="47" t="s">
        <v>931</v>
      </c>
      <c r="AJ702" s="47" t="s">
        <v>365</v>
      </c>
      <c r="AK702" s="47" t="s">
        <v>930</v>
      </c>
      <c r="AL702" s="47" t="s">
        <v>931</v>
      </c>
      <c r="AM702" s="47" t="s">
        <v>931</v>
      </c>
      <c r="AN702" s="37"/>
    </row>
    <row r="703" spans="1:40" hidden="1">
      <c r="A703" s="47" t="s">
        <v>982</v>
      </c>
      <c r="B703" s="47" t="s">
        <v>919</v>
      </c>
      <c r="C703" s="47" t="s">
        <v>5109</v>
      </c>
      <c r="D703" s="47" t="e">
        <f t="shared" si="17"/>
        <v>#VALUE!</v>
      </c>
      <c r="E703" s="47" t="s">
        <v>344</v>
      </c>
      <c r="F703" s="47" t="s">
        <v>345</v>
      </c>
      <c r="G703" s="47" t="s">
        <v>990</v>
      </c>
      <c r="H703" s="47" t="s">
        <v>969</v>
      </c>
      <c r="I703" s="47" t="s">
        <v>925</v>
      </c>
      <c r="J703" s="47" t="s">
        <v>926</v>
      </c>
      <c r="K703" s="47" t="s">
        <v>163</v>
      </c>
      <c r="L703" s="47" t="s">
        <v>5110</v>
      </c>
      <c r="M703" s="47" t="s">
        <v>928</v>
      </c>
      <c r="N703" s="47" t="s">
        <v>946</v>
      </c>
      <c r="O703" s="47" t="s">
        <v>930</v>
      </c>
      <c r="P703" s="47" t="s">
        <v>930</v>
      </c>
      <c r="Q703" s="47"/>
      <c r="R703" s="47"/>
      <c r="S703" s="47"/>
      <c r="T703" s="47" t="s">
        <v>931</v>
      </c>
      <c r="U703" s="47" t="s">
        <v>931</v>
      </c>
      <c r="V703" s="47" t="s">
        <v>931</v>
      </c>
      <c r="W703" s="47" t="s">
        <v>931</v>
      </c>
      <c r="X703" s="47" t="s">
        <v>932</v>
      </c>
      <c r="Y703" s="47" t="s">
        <v>990</v>
      </c>
      <c r="Z703" s="47" t="s">
        <v>4906</v>
      </c>
      <c r="AA703" s="47" t="s">
        <v>4907</v>
      </c>
      <c r="AB703" s="47" t="s">
        <v>931</v>
      </c>
      <c r="AC703" s="47" t="s">
        <v>990</v>
      </c>
      <c r="AD703" s="47" t="s">
        <v>936</v>
      </c>
      <c r="AE703" s="47" t="s">
        <v>937</v>
      </c>
      <c r="AF703" s="47" t="s">
        <v>931</v>
      </c>
      <c r="AG703" s="47" t="s">
        <v>931</v>
      </c>
      <c r="AH703" s="47" t="s">
        <v>998</v>
      </c>
      <c r="AI703" s="47" t="s">
        <v>931</v>
      </c>
      <c r="AJ703" s="47" t="s">
        <v>931</v>
      </c>
      <c r="AK703" s="47" t="s">
        <v>930</v>
      </c>
      <c r="AL703" s="47" t="s">
        <v>931</v>
      </c>
      <c r="AM703" s="47" t="s">
        <v>931</v>
      </c>
      <c r="AN703" s="37"/>
    </row>
    <row r="704" spans="1:40" hidden="1">
      <c r="A704" s="47" t="s">
        <v>982</v>
      </c>
      <c r="B704" s="47" t="s">
        <v>919</v>
      </c>
      <c r="C704" s="47" t="s">
        <v>5111</v>
      </c>
      <c r="D704" s="47" t="e">
        <f t="shared" si="17"/>
        <v>#VALUE!</v>
      </c>
      <c r="E704" s="47" t="s">
        <v>5112</v>
      </c>
      <c r="F704" s="47" t="s">
        <v>5113</v>
      </c>
      <c r="G704" s="47" t="s">
        <v>1160</v>
      </c>
      <c r="H704" s="47" t="s">
        <v>924</v>
      </c>
      <c r="I704" s="47" t="s">
        <v>925</v>
      </c>
      <c r="J704" s="47" t="s">
        <v>1257</v>
      </c>
      <c r="K704" s="47" t="s">
        <v>163</v>
      </c>
      <c r="L704" s="47" t="s">
        <v>1236</v>
      </c>
      <c r="M704" s="47" t="s">
        <v>1004</v>
      </c>
      <c r="N704" s="47" t="s">
        <v>946</v>
      </c>
      <c r="O704" s="47" t="s">
        <v>930</v>
      </c>
      <c r="P704" s="47" t="s">
        <v>930</v>
      </c>
      <c r="Q704" s="47"/>
      <c r="R704" s="47"/>
      <c r="S704" s="47"/>
      <c r="T704" s="47" t="s">
        <v>931</v>
      </c>
      <c r="U704" s="47" t="s">
        <v>931</v>
      </c>
      <c r="V704" s="47" t="s">
        <v>931</v>
      </c>
      <c r="W704" s="47" t="s">
        <v>931</v>
      </c>
      <c r="X704" s="47" t="s">
        <v>932</v>
      </c>
      <c r="Y704" s="47" t="s">
        <v>1160</v>
      </c>
      <c r="Z704" s="47" t="s">
        <v>1161</v>
      </c>
      <c r="AA704" s="47" t="s">
        <v>1162</v>
      </c>
      <c r="AB704" s="47" t="s">
        <v>931</v>
      </c>
      <c r="AC704" s="47" t="s">
        <v>931</v>
      </c>
      <c r="AD704" s="47" t="s">
        <v>936</v>
      </c>
      <c r="AE704" s="47" t="s">
        <v>937</v>
      </c>
      <c r="AF704" s="47" t="s">
        <v>931</v>
      </c>
      <c r="AG704" s="47" t="s">
        <v>931</v>
      </c>
      <c r="AH704" s="47" t="s">
        <v>364</v>
      </c>
      <c r="AI704" s="47" t="s">
        <v>931</v>
      </c>
      <c r="AJ704" s="47" t="s">
        <v>365</v>
      </c>
      <c r="AK704" s="47" t="s">
        <v>930</v>
      </c>
      <c r="AL704" s="47" t="s">
        <v>931</v>
      </c>
      <c r="AM704" s="47" t="s">
        <v>931</v>
      </c>
      <c r="AN704" s="37"/>
    </row>
    <row r="705" spans="1:40" hidden="1">
      <c r="A705" s="47" t="s">
        <v>982</v>
      </c>
      <c r="B705" s="47" t="s">
        <v>919</v>
      </c>
      <c r="C705" s="47" t="s">
        <v>5114</v>
      </c>
      <c r="D705" s="47" t="e">
        <f t="shared" si="17"/>
        <v>#VALUE!</v>
      </c>
      <c r="E705" s="47" t="s">
        <v>431</v>
      </c>
      <c r="F705" s="47" t="s">
        <v>5115</v>
      </c>
      <c r="G705" s="47" t="s">
        <v>3176</v>
      </c>
      <c r="H705" s="47" t="s">
        <v>1194</v>
      </c>
      <c r="I705" s="47" t="s">
        <v>986</v>
      </c>
      <c r="J705" s="47" t="s">
        <v>926</v>
      </c>
      <c r="K705" s="47" t="s">
        <v>163</v>
      </c>
      <c r="L705" s="47" t="s">
        <v>987</v>
      </c>
      <c r="M705" s="47" t="s">
        <v>931</v>
      </c>
      <c r="N705" s="47" t="s">
        <v>929</v>
      </c>
      <c r="O705" s="47" t="s">
        <v>930</v>
      </c>
      <c r="P705" s="47" t="s">
        <v>930</v>
      </c>
      <c r="Q705" s="47"/>
      <c r="R705" s="47"/>
      <c r="S705" s="47"/>
      <c r="T705" s="47" t="s">
        <v>931</v>
      </c>
      <c r="U705" s="47" t="s">
        <v>931</v>
      </c>
      <c r="V705" s="47" t="s">
        <v>931</v>
      </c>
      <c r="W705" s="47" t="s">
        <v>931</v>
      </c>
      <c r="X705" s="47" t="s">
        <v>995</v>
      </c>
      <c r="Y705" s="47" t="s">
        <v>3176</v>
      </c>
      <c r="Z705" s="47" t="s">
        <v>3181</v>
      </c>
      <c r="AA705" s="47" t="s">
        <v>3182</v>
      </c>
      <c r="AB705" s="47" t="s">
        <v>931</v>
      </c>
      <c r="AC705" s="47" t="s">
        <v>1202</v>
      </c>
      <c r="AD705" s="47" t="s">
        <v>991</v>
      </c>
      <c r="AE705" s="47" t="s">
        <v>937</v>
      </c>
      <c r="AF705" s="47" t="s">
        <v>931</v>
      </c>
      <c r="AG705" s="47" t="s">
        <v>931</v>
      </c>
      <c r="AH705" s="47" t="s">
        <v>931</v>
      </c>
      <c r="AI705" s="47" t="s">
        <v>931</v>
      </c>
      <c r="AJ705" s="47" t="s">
        <v>931</v>
      </c>
      <c r="AK705" s="47" t="s">
        <v>930</v>
      </c>
      <c r="AL705" s="47" t="s">
        <v>931</v>
      </c>
      <c r="AM705" s="47" t="s">
        <v>931</v>
      </c>
      <c r="AN705" s="37"/>
    </row>
    <row r="706" spans="1:40" hidden="1">
      <c r="A706" s="47" t="s">
        <v>982</v>
      </c>
      <c r="B706" s="47" t="s">
        <v>919</v>
      </c>
      <c r="C706" s="47" t="s">
        <v>5116</v>
      </c>
      <c r="D706" s="47" t="e">
        <f t="shared" si="17"/>
        <v>#VALUE!</v>
      </c>
      <c r="E706" s="47" t="s">
        <v>68</v>
      </c>
      <c r="F706" s="47" t="s">
        <v>5117</v>
      </c>
      <c r="G706" s="47" t="s">
        <v>467</v>
      </c>
      <c r="H706" s="47" t="s">
        <v>924</v>
      </c>
      <c r="I706" s="47" t="s">
        <v>986</v>
      </c>
      <c r="J706" s="47" t="s">
        <v>926</v>
      </c>
      <c r="K706" s="47" t="s">
        <v>163</v>
      </c>
      <c r="L706" s="47" t="s">
        <v>1319</v>
      </c>
      <c r="M706" s="47" t="s">
        <v>931</v>
      </c>
      <c r="N706" s="47" t="s">
        <v>929</v>
      </c>
      <c r="O706" s="47" t="s">
        <v>930</v>
      </c>
      <c r="P706" s="47" t="s">
        <v>930</v>
      </c>
      <c r="Q706" s="47"/>
      <c r="R706" s="47"/>
      <c r="S706" s="47"/>
      <c r="T706" s="47" t="s">
        <v>931</v>
      </c>
      <c r="U706" s="47" t="s">
        <v>931</v>
      </c>
      <c r="V706" s="47" t="s">
        <v>931</v>
      </c>
      <c r="W706" s="47" t="s">
        <v>931</v>
      </c>
      <c r="X706" s="47" t="s">
        <v>995</v>
      </c>
      <c r="Y706" s="47" t="s">
        <v>467</v>
      </c>
      <c r="Z706" s="47" t="s">
        <v>3007</v>
      </c>
      <c r="AA706" s="47" t="s">
        <v>3008</v>
      </c>
      <c r="AB706" s="47" t="s">
        <v>931</v>
      </c>
      <c r="AC706" s="47" t="s">
        <v>464</v>
      </c>
      <c r="AD706" s="47" t="s">
        <v>991</v>
      </c>
      <c r="AE706" s="47" t="s">
        <v>937</v>
      </c>
      <c r="AF706" s="47" t="s">
        <v>931</v>
      </c>
      <c r="AG706" s="47" t="s">
        <v>931</v>
      </c>
      <c r="AH706" s="47" t="s">
        <v>931</v>
      </c>
      <c r="AI706" s="47" t="s">
        <v>931</v>
      </c>
      <c r="AJ706" s="47" t="s">
        <v>931</v>
      </c>
      <c r="AK706" s="47" t="s">
        <v>930</v>
      </c>
      <c r="AL706" s="47" t="s">
        <v>931</v>
      </c>
      <c r="AM706" s="47" t="s">
        <v>931</v>
      </c>
      <c r="AN706" s="37"/>
    </row>
    <row r="707" spans="1:40" hidden="1">
      <c r="A707" s="47" t="s">
        <v>982</v>
      </c>
      <c r="B707" s="47" t="s">
        <v>919</v>
      </c>
      <c r="C707" s="47" t="s">
        <v>5118</v>
      </c>
      <c r="D707" s="47" t="e">
        <f t="shared" ref="D707:D741" si="18">VALUE(C707)</f>
        <v>#VALUE!</v>
      </c>
      <c r="E707" s="47" t="s">
        <v>309</v>
      </c>
      <c r="F707" s="47" t="s">
        <v>5119</v>
      </c>
      <c r="G707" s="47" t="s">
        <v>456</v>
      </c>
      <c r="H707" s="47" t="s">
        <v>924</v>
      </c>
      <c r="I707" s="47" t="s">
        <v>986</v>
      </c>
      <c r="J707" s="47" t="s">
        <v>926</v>
      </c>
      <c r="K707" s="47" t="s">
        <v>163</v>
      </c>
      <c r="L707" s="47" t="s">
        <v>2736</v>
      </c>
      <c r="M707" s="47" t="s">
        <v>931</v>
      </c>
      <c r="N707" s="47" t="s">
        <v>929</v>
      </c>
      <c r="O707" s="47" t="s">
        <v>930</v>
      </c>
      <c r="P707" s="47" t="s">
        <v>930</v>
      </c>
      <c r="Q707" s="47"/>
      <c r="R707" s="47"/>
      <c r="S707" s="47"/>
      <c r="T707" s="47" t="s">
        <v>931</v>
      </c>
      <c r="U707" s="47" t="s">
        <v>931</v>
      </c>
      <c r="V707" s="47" t="s">
        <v>931</v>
      </c>
      <c r="W707" s="47" t="s">
        <v>931</v>
      </c>
      <c r="X707" s="47" t="s">
        <v>995</v>
      </c>
      <c r="Y707" s="47" t="s">
        <v>456</v>
      </c>
      <c r="Z707" s="47" t="s">
        <v>3331</v>
      </c>
      <c r="AA707" s="47" t="s">
        <v>3332</v>
      </c>
      <c r="AB707" s="47" t="s">
        <v>931</v>
      </c>
      <c r="AC707" s="47" t="s">
        <v>441</v>
      </c>
      <c r="AD707" s="47" t="s">
        <v>991</v>
      </c>
      <c r="AE707" s="47" t="s">
        <v>937</v>
      </c>
      <c r="AF707" s="47" t="s">
        <v>931</v>
      </c>
      <c r="AG707" s="47" t="s">
        <v>931</v>
      </c>
      <c r="AH707" s="47" t="s">
        <v>931</v>
      </c>
      <c r="AI707" s="47" t="s">
        <v>931</v>
      </c>
      <c r="AJ707" s="47" t="s">
        <v>931</v>
      </c>
      <c r="AK707" s="47" t="s">
        <v>930</v>
      </c>
      <c r="AL707" s="47" t="s">
        <v>931</v>
      </c>
      <c r="AM707" s="47" t="s">
        <v>931</v>
      </c>
      <c r="AN707" s="37"/>
    </row>
    <row r="708" spans="1:40" hidden="1">
      <c r="A708" s="47" t="s">
        <v>982</v>
      </c>
      <c r="B708" s="47" t="s">
        <v>919</v>
      </c>
      <c r="C708" s="47" t="s">
        <v>5120</v>
      </c>
      <c r="D708" s="47" t="e">
        <f t="shared" si="18"/>
        <v>#VALUE!</v>
      </c>
      <c r="E708" s="47" t="s">
        <v>1860</v>
      </c>
      <c r="F708" s="47" t="s">
        <v>5121</v>
      </c>
      <c r="G708" s="47" t="s">
        <v>448</v>
      </c>
      <c r="H708" s="47" t="s">
        <v>1862</v>
      </c>
      <c r="I708" s="47" t="s">
        <v>986</v>
      </c>
      <c r="J708" s="47" t="s">
        <v>926</v>
      </c>
      <c r="K708" s="47" t="s">
        <v>163</v>
      </c>
      <c r="L708" s="47" t="s">
        <v>987</v>
      </c>
      <c r="M708" s="47" t="s">
        <v>931</v>
      </c>
      <c r="N708" s="47" t="s">
        <v>929</v>
      </c>
      <c r="O708" s="47" t="s">
        <v>930</v>
      </c>
      <c r="P708" s="47" t="s">
        <v>930</v>
      </c>
      <c r="Q708" s="47"/>
      <c r="R708" s="47"/>
      <c r="S708" s="47"/>
      <c r="T708" s="47" t="s">
        <v>931</v>
      </c>
      <c r="U708" s="47" t="s">
        <v>931</v>
      </c>
      <c r="V708" s="47" t="s">
        <v>931</v>
      </c>
      <c r="W708" s="47" t="s">
        <v>931</v>
      </c>
      <c r="X708" s="47" t="s">
        <v>995</v>
      </c>
      <c r="Y708" s="47" t="s">
        <v>448</v>
      </c>
      <c r="Z708" s="47" t="s">
        <v>4437</v>
      </c>
      <c r="AA708" s="47" t="s">
        <v>4438</v>
      </c>
      <c r="AB708" s="47" t="s">
        <v>931</v>
      </c>
      <c r="AC708" s="47" t="s">
        <v>476</v>
      </c>
      <c r="AD708" s="47" t="s">
        <v>991</v>
      </c>
      <c r="AE708" s="47" t="s">
        <v>937</v>
      </c>
      <c r="AF708" s="47" t="s">
        <v>931</v>
      </c>
      <c r="AG708" s="47" t="s">
        <v>931</v>
      </c>
      <c r="AH708" s="47" t="s">
        <v>931</v>
      </c>
      <c r="AI708" s="47" t="s">
        <v>931</v>
      </c>
      <c r="AJ708" s="47" t="s">
        <v>931</v>
      </c>
      <c r="AK708" s="47" t="s">
        <v>930</v>
      </c>
      <c r="AL708" s="47" t="s">
        <v>931</v>
      </c>
      <c r="AM708" s="47" t="s">
        <v>931</v>
      </c>
      <c r="AN708" s="37"/>
    </row>
    <row r="709" spans="1:40" hidden="1">
      <c r="A709" s="47" t="s">
        <v>982</v>
      </c>
      <c r="B709" s="47" t="s">
        <v>919</v>
      </c>
      <c r="C709" s="47" t="s">
        <v>5122</v>
      </c>
      <c r="D709" s="47" t="e">
        <f t="shared" si="18"/>
        <v>#VALUE!</v>
      </c>
      <c r="E709" s="47" t="s">
        <v>242</v>
      </c>
      <c r="F709" s="47" t="s">
        <v>5123</v>
      </c>
      <c r="G709" s="47" t="s">
        <v>468</v>
      </c>
      <c r="H709" s="47" t="s">
        <v>924</v>
      </c>
      <c r="I709" s="47" t="s">
        <v>986</v>
      </c>
      <c r="J709" s="47" t="s">
        <v>926</v>
      </c>
      <c r="K709" s="47" t="s">
        <v>163</v>
      </c>
      <c r="L709" s="47" t="s">
        <v>2736</v>
      </c>
      <c r="M709" s="47" t="s">
        <v>931</v>
      </c>
      <c r="N709" s="47" t="s">
        <v>929</v>
      </c>
      <c r="O709" s="47" t="s">
        <v>930</v>
      </c>
      <c r="P709" s="47" t="s">
        <v>930</v>
      </c>
      <c r="Q709" s="47"/>
      <c r="R709" s="47"/>
      <c r="S709" s="47"/>
      <c r="T709" s="47" t="s">
        <v>931</v>
      </c>
      <c r="U709" s="47" t="s">
        <v>931</v>
      </c>
      <c r="V709" s="47" t="s">
        <v>931</v>
      </c>
      <c r="W709" s="47" t="s">
        <v>931</v>
      </c>
      <c r="X709" s="47" t="s">
        <v>932</v>
      </c>
      <c r="Y709" s="47" t="s">
        <v>468</v>
      </c>
      <c r="Z709" s="47" t="s">
        <v>3299</v>
      </c>
      <c r="AA709" s="47" t="s">
        <v>3300</v>
      </c>
      <c r="AB709" s="47" t="s">
        <v>931</v>
      </c>
      <c r="AC709" s="47" t="s">
        <v>382</v>
      </c>
      <c r="AD709" s="47" t="s">
        <v>991</v>
      </c>
      <c r="AE709" s="47" t="s">
        <v>937</v>
      </c>
      <c r="AF709" s="47" t="s">
        <v>931</v>
      </c>
      <c r="AG709" s="47" t="s">
        <v>931</v>
      </c>
      <c r="AH709" s="47" t="s">
        <v>931</v>
      </c>
      <c r="AI709" s="47" t="s">
        <v>931</v>
      </c>
      <c r="AJ709" s="47" t="s">
        <v>931</v>
      </c>
      <c r="AK709" s="47" t="s">
        <v>930</v>
      </c>
      <c r="AL709" s="47" t="s">
        <v>931</v>
      </c>
      <c r="AM709" s="47" t="s">
        <v>931</v>
      </c>
      <c r="AN709" s="37"/>
    </row>
    <row r="710" spans="1:40" hidden="1">
      <c r="A710" s="47" t="s">
        <v>982</v>
      </c>
      <c r="B710" s="47" t="s">
        <v>919</v>
      </c>
      <c r="C710" s="47" t="s">
        <v>5124</v>
      </c>
      <c r="D710" s="47" t="e">
        <f t="shared" si="18"/>
        <v>#VALUE!</v>
      </c>
      <c r="E710" s="47" t="s">
        <v>5125</v>
      </c>
      <c r="F710" s="47" t="s">
        <v>5126</v>
      </c>
      <c r="G710" s="47" t="s">
        <v>468</v>
      </c>
      <c r="H710" s="47" t="s">
        <v>969</v>
      </c>
      <c r="I710" s="47" t="s">
        <v>986</v>
      </c>
      <c r="J710" s="47" t="s">
        <v>926</v>
      </c>
      <c r="K710" s="47" t="s">
        <v>163</v>
      </c>
      <c r="L710" s="47" t="s">
        <v>927</v>
      </c>
      <c r="M710" s="47" t="s">
        <v>931</v>
      </c>
      <c r="N710" s="47" t="s">
        <v>929</v>
      </c>
      <c r="O710" s="47" t="s">
        <v>930</v>
      </c>
      <c r="P710" s="47" t="s">
        <v>930</v>
      </c>
      <c r="Q710" s="47"/>
      <c r="R710" s="47"/>
      <c r="S710" s="47"/>
      <c r="T710" s="47" t="s">
        <v>931</v>
      </c>
      <c r="U710" s="47" t="s">
        <v>931</v>
      </c>
      <c r="V710" s="47" t="s">
        <v>931</v>
      </c>
      <c r="W710" s="47" t="s">
        <v>931</v>
      </c>
      <c r="X710" s="47" t="s">
        <v>932</v>
      </c>
      <c r="Y710" s="47" t="s">
        <v>468</v>
      </c>
      <c r="Z710" s="47" t="s">
        <v>3299</v>
      </c>
      <c r="AA710" s="47" t="s">
        <v>3300</v>
      </c>
      <c r="AB710" s="47" t="s">
        <v>931</v>
      </c>
      <c r="AC710" s="47" t="s">
        <v>5127</v>
      </c>
      <c r="AD710" s="47" t="s">
        <v>991</v>
      </c>
      <c r="AE710" s="47" t="s">
        <v>937</v>
      </c>
      <c r="AF710" s="47" t="s">
        <v>931</v>
      </c>
      <c r="AG710" s="47" t="s">
        <v>931</v>
      </c>
      <c r="AH710" s="47" t="s">
        <v>931</v>
      </c>
      <c r="AI710" s="47" t="s">
        <v>931</v>
      </c>
      <c r="AJ710" s="47" t="s">
        <v>931</v>
      </c>
      <c r="AK710" s="47" t="s">
        <v>930</v>
      </c>
      <c r="AL710" s="47" t="s">
        <v>931</v>
      </c>
      <c r="AM710" s="47" t="s">
        <v>931</v>
      </c>
      <c r="AN710" s="37"/>
    </row>
    <row r="711" spans="1:40" hidden="1">
      <c r="A711" s="47" t="s">
        <v>982</v>
      </c>
      <c r="B711" s="47" t="s">
        <v>919</v>
      </c>
      <c r="C711" s="47" t="s">
        <v>5128</v>
      </c>
      <c r="D711" s="47" t="e">
        <f t="shared" si="18"/>
        <v>#VALUE!</v>
      </c>
      <c r="E711" s="47" t="s">
        <v>92</v>
      </c>
      <c r="F711" s="47" t="s">
        <v>5129</v>
      </c>
      <c r="G711" s="47" t="s">
        <v>491</v>
      </c>
      <c r="H711" s="47" t="s">
        <v>1287</v>
      </c>
      <c r="I711" s="47" t="s">
        <v>986</v>
      </c>
      <c r="J711" s="47" t="s">
        <v>926</v>
      </c>
      <c r="K711" s="47" t="s">
        <v>163</v>
      </c>
      <c r="L711" s="47" t="s">
        <v>1309</v>
      </c>
      <c r="M711" s="47" t="s">
        <v>931</v>
      </c>
      <c r="N711" s="47" t="s">
        <v>929</v>
      </c>
      <c r="O711" s="47" t="s">
        <v>930</v>
      </c>
      <c r="P711" s="47" t="s">
        <v>930</v>
      </c>
      <c r="Q711" s="47"/>
      <c r="R711" s="47"/>
      <c r="S711" s="47"/>
      <c r="T711" s="47" t="s">
        <v>931</v>
      </c>
      <c r="U711" s="47" t="s">
        <v>931</v>
      </c>
      <c r="V711" s="47" t="s">
        <v>931</v>
      </c>
      <c r="W711" s="47" t="s">
        <v>931</v>
      </c>
      <c r="X711" s="47" t="s">
        <v>932</v>
      </c>
      <c r="Y711" s="47" t="s">
        <v>491</v>
      </c>
      <c r="Z711" s="47" t="s">
        <v>1221</v>
      </c>
      <c r="AA711" s="47" t="s">
        <v>1222</v>
      </c>
      <c r="AB711" s="47" t="s">
        <v>931</v>
      </c>
      <c r="AC711" s="47" t="s">
        <v>379</v>
      </c>
      <c r="AD711" s="47" t="s">
        <v>991</v>
      </c>
      <c r="AE711" s="47" t="s">
        <v>937</v>
      </c>
      <c r="AF711" s="47" t="s">
        <v>931</v>
      </c>
      <c r="AG711" s="47" t="s">
        <v>931</v>
      </c>
      <c r="AH711" s="47" t="s">
        <v>931</v>
      </c>
      <c r="AI711" s="47" t="s">
        <v>931</v>
      </c>
      <c r="AJ711" s="47" t="s">
        <v>931</v>
      </c>
      <c r="AK711" s="47" t="s">
        <v>930</v>
      </c>
      <c r="AL711" s="47" t="s">
        <v>931</v>
      </c>
      <c r="AM711" s="47" t="s">
        <v>931</v>
      </c>
      <c r="AN711" s="37"/>
    </row>
    <row r="712" spans="1:40" hidden="1">
      <c r="A712" s="47" t="s">
        <v>982</v>
      </c>
      <c r="B712" s="47" t="s">
        <v>919</v>
      </c>
      <c r="C712" s="47" t="s">
        <v>5130</v>
      </c>
      <c r="D712" s="47" t="e">
        <f t="shared" si="18"/>
        <v>#VALUE!</v>
      </c>
      <c r="E712" s="47" t="s">
        <v>5131</v>
      </c>
      <c r="F712" s="47" t="s">
        <v>5132</v>
      </c>
      <c r="G712" s="47" t="s">
        <v>504</v>
      </c>
      <c r="H712" s="47" t="s">
        <v>924</v>
      </c>
      <c r="I712" s="47" t="s">
        <v>925</v>
      </c>
      <c r="J712" s="47" t="s">
        <v>926</v>
      </c>
      <c r="K712" s="47" t="s">
        <v>163</v>
      </c>
      <c r="L712" s="47" t="s">
        <v>1447</v>
      </c>
      <c r="M712" s="47" t="s">
        <v>928</v>
      </c>
      <c r="N712" s="47" t="s">
        <v>946</v>
      </c>
      <c r="O712" s="47" t="s">
        <v>930</v>
      </c>
      <c r="P712" s="47" t="s">
        <v>930</v>
      </c>
      <c r="Q712" s="47"/>
      <c r="R712" s="47"/>
      <c r="S712" s="47"/>
      <c r="T712" s="47" t="s">
        <v>931</v>
      </c>
      <c r="U712" s="47" t="s">
        <v>931</v>
      </c>
      <c r="V712" s="47" t="s">
        <v>931</v>
      </c>
      <c r="W712" s="47" t="s">
        <v>931</v>
      </c>
      <c r="X712" s="47" t="s">
        <v>995</v>
      </c>
      <c r="Y712" s="47" t="s">
        <v>504</v>
      </c>
      <c r="Z712" s="47" t="s">
        <v>3774</v>
      </c>
      <c r="AA712" s="47" t="s">
        <v>3775</v>
      </c>
      <c r="AB712" s="47" t="s">
        <v>931</v>
      </c>
      <c r="AC712" s="47" t="s">
        <v>931</v>
      </c>
      <c r="AD712" s="47" t="s">
        <v>936</v>
      </c>
      <c r="AE712" s="47" t="s">
        <v>937</v>
      </c>
      <c r="AF712" s="47" t="s">
        <v>931</v>
      </c>
      <c r="AG712" s="47" t="s">
        <v>5133</v>
      </c>
      <c r="AH712" s="47" t="s">
        <v>931</v>
      </c>
      <c r="AI712" s="47" t="s">
        <v>931</v>
      </c>
      <c r="AJ712" s="47" t="s">
        <v>931</v>
      </c>
      <c r="AK712" s="47" t="s">
        <v>930</v>
      </c>
      <c r="AL712" s="47" t="s">
        <v>931</v>
      </c>
      <c r="AM712" s="47" t="s">
        <v>931</v>
      </c>
      <c r="AN712" s="37"/>
    </row>
    <row r="713" spans="1:40" hidden="1">
      <c r="A713" s="47" t="s">
        <v>982</v>
      </c>
      <c r="B713" s="47" t="s">
        <v>919</v>
      </c>
      <c r="C713" s="47" t="s">
        <v>5134</v>
      </c>
      <c r="D713" s="47" t="e">
        <f t="shared" si="18"/>
        <v>#VALUE!</v>
      </c>
      <c r="E713" s="47" t="s">
        <v>317</v>
      </c>
      <c r="F713" s="47" t="s">
        <v>5135</v>
      </c>
      <c r="G713" s="47" t="s">
        <v>3249</v>
      </c>
      <c r="H713" s="47" t="s">
        <v>924</v>
      </c>
      <c r="I713" s="47" t="s">
        <v>986</v>
      </c>
      <c r="J713" s="47" t="s">
        <v>926</v>
      </c>
      <c r="K713" s="47" t="s">
        <v>163</v>
      </c>
      <c r="L713" s="47" t="s">
        <v>994</v>
      </c>
      <c r="M713" s="47" t="s">
        <v>931</v>
      </c>
      <c r="N713" s="47" t="s">
        <v>929</v>
      </c>
      <c r="O713" s="47" t="s">
        <v>930</v>
      </c>
      <c r="P713" s="47" t="s">
        <v>930</v>
      </c>
      <c r="Q713" s="47"/>
      <c r="R713" s="47"/>
      <c r="S713" s="47"/>
      <c r="T713" s="47" t="s">
        <v>931</v>
      </c>
      <c r="U713" s="47" t="s">
        <v>931</v>
      </c>
      <c r="V713" s="47" t="s">
        <v>931</v>
      </c>
      <c r="W713" s="47" t="s">
        <v>931</v>
      </c>
      <c r="X713" s="47" t="s">
        <v>932</v>
      </c>
      <c r="Y713" s="47" t="s">
        <v>3249</v>
      </c>
      <c r="Z713" s="47" t="s">
        <v>3253</v>
      </c>
      <c r="AA713" s="47" t="s">
        <v>3254</v>
      </c>
      <c r="AB713" s="47" t="s">
        <v>931</v>
      </c>
      <c r="AC713" s="47" t="s">
        <v>373</v>
      </c>
      <c r="AD713" s="47" t="s">
        <v>991</v>
      </c>
      <c r="AE713" s="47" t="s">
        <v>937</v>
      </c>
      <c r="AF713" s="47" t="s">
        <v>931</v>
      </c>
      <c r="AG713" s="47" t="s">
        <v>931</v>
      </c>
      <c r="AH713" s="47" t="s">
        <v>931</v>
      </c>
      <c r="AI713" s="47" t="s">
        <v>931</v>
      </c>
      <c r="AJ713" s="47" t="s">
        <v>931</v>
      </c>
      <c r="AK713" s="47" t="s">
        <v>930</v>
      </c>
      <c r="AL713" s="47" t="s">
        <v>931</v>
      </c>
      <c r="AM713" s="47" t="s">
        <v>931</v>
      </c>
      <c r="AN713" s="37"/>
    </row>
    <row r="714" spans="1:40" hidden="1">
      <c r="A714" s="47" t="s">
        <v>982</v>
      </c>
      <c r="B714" s="47" t="s">
        <v>919</v>
      </c>
      <c r="C714" s="47" t="s">
        <v>5136</v>
      </c>
      <c r="D714" s="47" t="e">
        <f t="shared" si="18"/>
        <v>#VALUE!</v>
      </c>
      <c r="E714" s="47" t="s">
        <v>5137</v>
      </c>
      <c r="F714" s="47" t="s">
        <v>5138</v>
      </c>
      <c r="G714" s="47" t="s">
        <v>3040</v>
      </c>
      <c r="H714" s="47" t="s">
        <v>969</v>
      </c>
      <c r="I714" s="47" t="s">
        <v>986</v>
      </c>
      <c r="J714" s="47" t="s">
        <v>926</v>
      </c>
      <c r="K714" s="47" t="s">
        <v>163</v>
      </c>
      <c r="L714" s="47" t="s">
        <v>994</v>
      </c>
      <c r="M714" s="47" t="s">
        <v>931</v>
      </c>
      <c r="N714" s="47" t="s">
        <v>929</v>
      </c>
      <c r="O714" s="47" t="s">
        <v>930</v>
      </c>
      <c r="P714" s="47" t="s">
        <v>930</v>
      </c>
      <c r="Q714" s="47"/>
      <c r="R714" s="47"/>
      <c r="S714" s="47"/>
      <c r="T714" s="47" t="s">
        <v>931</v>
      </c>
      <c r="U714" s="47" t="s">
        <v>931</v>
      </c>
      <c r="V714" s="47" t="s">
        <v>931</v>
      </c>
      <c r="W714" s="47" t="s">
        <v>931</v>
      </c>
      <c r="X714" s="47" t="s">
        <v>932</v>
      </c>
      <c r="Y714" s="47" t="s">
        <v>3040</v>
      </c>
      <c r="Z714" s="47" t="s">
        <v>3046</v>
      </c>
      <c r="AA714" s="47" t="s">
        <v>3047</v>
      </c>
      <c r="AB714" s="47" t="s">
        <v>931</v>
      </c>
      <c r="AC714" s="47" t="s">
        <v>373</v>
      </c>
      <c r="AD714" s="47" t="s">
        <v>991</v>
      </c>
      <c r="AE714" s="47" t="s">
        <v>937</v>
      </c>
      <c r="AF714" s="47" t="s">
        <v>931</v>
      </c>
      <c r="AG714" s="47" t="s">
        <v>931</v>
      </c>
      <c r="AH714" s="47" t="s">
        <v>931</v>
      </c>
      <c r="AI714" s="47" t="s">
        <v>931</v>
      </c>
      <c r="AJ714" s="47" t="s">
        <v>931</v>
      </c>
      <c r="AK714" s="47" t="s">
        <v>930</v>
      </c>
      <c r="AL714" s="47" t="s">
        <v>931</v>
      </c>
      <c r="AM714" s="47" t="s">
        <v>931</v>
      </c>
      <c r="AN714" s="37"/>
    </row>
    <row r="715" spans="1:40" hidden="1">
      <c r="A715" s="47" t="s">
        <v>982</v>
      </c>
      <c r="B715" s="47" t="s">
        <v>919</v>
      </c>
      <c r="C715" s="47" t="s">
        <v>5139</v>
      </c>
      <c r="D715" s="47" t="e">
        <f t="shared" si="18"/>
        <v>#VALUE!</v>
      </c>
      <c r="E715" s="47" t="s">
        <v>5140</v>
      </c>
      <c r="F715" s="47" t="s">
        <v>5141</v>
      </c>
      <c r="G715" s="47" t="s">
        <v>470</v>
      </c>
      <c r="H715" s="47" t="s">
        <v>924</v>
      </c>
      <c r="I715" s="47" t="s">
        <v>986</v>
      </c>
      <c r="J715" s="47" t="s">
        <v>926</v>
      </c>
      <c r="K715" s="47" t="s">
        <v>163</v>
      </c>
      <c r="L715" s="47" t="s">
        <v>987</v>
      </c>
      <c r="M715" s="47" t="s">
        <v>931</v>
      </c>
      <c r="N715" s="47" t="s">
        <v>929</v>
      </c>
      <c r="O715" s="47" t="s">
        <v>930</v>
      </c>
      <c r="P715" s="47" t="s">
        <v>930</v>
      </c>
      <c r="Q715" s="47"/>
      <c r="R715" s="47"/>
      <c r="S715" s="47"/>
      <c r="T715" s="47" t="s">
        <v>931</v>
      </c>
      <c r="U715" s="47" t="s">
        <v>931</v>
      </c>
      <c r="V715" s="47" t="s">
        <v>931</v>
      </c>
      <c r="W715" s="47" t="s">
        <v>931</v>
      </c>
      <c r="X715" s="47" t="s">
        <v>932</v>
      </c>
      <c r="Y715" s="47" t="s">
        <v>470</v>
      </c>
      <c r="Z715" s="47" t="s">
        <v>3315</v>
      </c>
      <c r="AA715" s="47" t="s">
        <v>3316</v>
      </c>
      <c r="AB715" s="47" t="s">
        <v>931</v>
      </c>
      <c r="AC715" s="47" t="s">
        <v>437</v>
      </c>
      <c r="AD715" s="47" t="s">
        <v>991</v>
      </c>
      <c r="AE715" s="47" t="s">
        <v>937</v>
      </c>
      <c r="AF715" s="47" t="s">
        <v>931</v>
      </c>
      <c r="AG715" s="47" t="s">
        <v>931</v>
      </c>
      <c r="AH715" s="47" t="s">
        <v>998</v>
      </c>
      <c r="AI715" s="47" t="s">
        <v>931</v>
      </c>
      <c r="AJ715" s="47" t="s">
        <v>931</v>
      </c>
      <c r="AK715" s="47" t="s">
        <v>930</v>
      </c>
      <c r="AL715" s="47" t="s">
        <v>931</v>
      </c>
      <c r="AM715" s="47" t="s">
        <v>931</v>
      </c>
      <c r="AN715" s="37"/>
    </row>
    <row r="716" spans="1:40" hidden="1">
      <c r="A716" s="47" t="s">
        <v>982</v>
      </c>
      <c r="B716" s="47" t="s">
        <v>919</v>
      </c>
      <c r="C716" s="47" t="s">
        <v>5142</v>
      </c>
      <c r="D716" s="47" t="e">
        <f t="shared" si="18"/>
        <v>#VALUE!</v>
      </c>
      <c r="E716" s="47" t="s">
        <v>3197</v>
      </c>
      <c r="F716" s="47" t="s">
        <v>5143</v>
      </c>
      <c r="G716" s="47" t="s">
        <v>3199</v>
      </c>
      <c r="H716" s="47" t="s">
        <v>924</v>
      </c>
      <c r="I716" s="47" t="s">
        <v>986</v>
      </c>
      <c r="J716" s="47" t="s">
        <v>926</v>
      </c>
      <c r="K716" s="47" t="s">
        <v>163</v>
      </c>
      <c r="L716" s="47" t="s">
        <v>994</v>
      </c>
      <c r="M716" s="47" t="s">
        <v>931</v>
      </c>
      <c r="N716" s="47" t="s">
        <v>929</v>
      </c>
      <c r="O716" s="47" t="s">
        <v>930</v>
      </c>
      <c r="P716" s="47" t="s">
        <v>930</v>
      </c>
      <c r="Q716" s="47"/>
      <c r="R716" s="47"/>
      <c r="S716" s="47"/>
      <c r="T716" s="47" t="s">
        <v>931</v>
      </c>
      <c r="U716" s="47" t="s">
        <v>931</v>
      </c>
      <c r="V716" s="47" t="s">
        <v>931</v>
      </c>
      <c r="W716" s="47" t="s">
        <v>931</v>
      </c>
      <c r="X716" s="47" t="s">
        <v>932</v>
      </c>
      <c r="Y716" s="47" t="s">
        <v>3199</v>
      </c>
      <c r="Z716" s="47" t="s">
        <v>3205</v>
      </c>
      <c r="AA716" s="47" t="s">
        <v>3206</v>
      </c>
      <c r="AB716" s="47" t="s">
        <v>931</v>
      </c>
      <c r="AC716" s="47" t="s">
        <v>3199</v>
      </c>
      <c r="AD716" s="47" t="s">
        <v>991</v>
      </c>
      <c r="AE716" s="47" t="s">
        <v>937</v>
      </c>
      <c r="AF716" s="47" t="s">
        <v>931</v>
      </c>
      <c r="AG716" s="47" t="s">
        <v>931</v>
      </c>
      <c r="AH716" s="47" t="s">
        <v>931</v>
      </c>
      <c r="AI716" s="47" t="s">
        <v>931</v>
      </c>
      <c r="AJ716" s="47" t="s">
        <v>931</v>
      </c>
      <c r="AK716" s="47" t="s">
        <v>930</v>
      </c>
      <c r="AL716" s="47" t="s">
        <v>931</v>
      </c>
      <c r="AM716" s="47" t="s">
        <v>931</v>
      </c>
      <c r="AN716" s="37"/>
    </row>
    <row r="717" spans="1:40" hidden="1">
      <c r="A717" s="47" t="s">
        <v>982</v>
      </c>
      <c r="B717" s="47" t="s">
        <v>919</v>
      </c>
      <c r="C717" s="47" t="s">
        <v>5144</v>
      </c>
      <c r="D717" s="47" t="e">
        <f t="shared" si="18"/>
        <v>#VALUE!</v>
      </c>
      <c r="E717" s="47" t="s">
        <v>303</v>
      </c>
      <c r="F717" s="47" t="s">
        <v>5145</v>
      </c>
      <c r="G717" s="47" t="s">
        <v>420</v>
      </c>
      <c r="H717" s="47" t="s">
        <v>1753</v>
      </c>
      <c r="I717" s="47" t="s">
        <v>986</v>
      </c>
      <c r="J717" s="47" t="s">
        <v>926</v>
      </c>
      <c r="K717" s="47" t="s">
        <v>163</v>
      </c>
      <c r="L717" s="47" t="s">
        <v>2736</v>
      </c>
      <c r="M717" s="47" t="s">
        <v>931</v>
      </c>
      <c r="N717" s="47" t="s">
        <v>929</v>
      </c>
      <c r="O717" s="47" t="s">
        <v>930</v>
      </c>
      <c r="P717" s="47" t="s">
        <v>930</v>
      </c>
      <c r="Q717" s="47"/>
      <c r="R717" s="47"/>
      <c r="S717" s="47"/>
      <c r="T717" s="47" t="s">
        <v>931</v>
      </c>
      <c r="U717" s="47" t="s">
        <v>931</v>
      </c>
      <c r="V717" s="47" t="s">
        <v>931</v>
      </c>
      <c r="W717" s="47" t="s">
        <v>931</v>
      </c>
      <c r="X717" s="47" t="s">
        <v>932</v>
      </c>
      <c r="Y717" s="47" t="s">
        <v>420</v>
      </c>
      <c r="Z717" s="47" t="s">
        <v>2934</v>
      </c>
      <c r="AA717" s="47" t="s">
        <v>2935</v>
      </c>
      <c r="AB717" s="47" t="s">
        <v>931</v>
      </c>
      <c r="AC717" s="47" t="s">
        <v>2937</v>
      </c>
      <c r="AD717" s="47" t="s">
        <v>991</v>
      </c>
      <c r="AE717" s="47" t="s">
        <v>937</v>
      </c>
      <c r="AF717" s="47" t="s">
        <v>931</v>
      </c>
      <c r="AG717" s="47" t="s">
        <v>931</v>
      </c>
      <c r="AH717" s="47" t="s">
        <v>931</v>
      </c>
      <c r="AI717" s="47" t="s">
        <v>931</v>
      </c>
      <c r="AJ717" s="47" t="s">
        <v>931</v>
      </c>
      <c r="AK717" s="47" t="s">
        <v>930</v>
      </c>
      <c r="AL717" s="47" t="s">
        <v>931</v>
      </c>
      <c r="AM717" s="47" t="s">
        <v>931</v>
      </c>
      <c r="AN717" s="37"/>
    </row>
    <row r="718" spans="1:40" hidden="1">
      <c r="A718" s="47" t="s">
        <v>982</v>
      </c>
      <c r="B718" s="47" t="s">
        <v>919</v>
      </c>
      <c r="C718" s="47" t="s">
        <v>5146</v>
      </c>
      <c r="D718" s="47" t="e">
        <f t="shared" si="18"/>
        <v>#VALUE!</v>
      </c>
      <c r="E718" s="47" t="s">
        <v>4876</v>
      </c>
      <c r="F718" s="47" t="s">
        <v>4877</v>
      </c>
      <c r="G718" s="47" t="s">
        <v>1049</v>
      </c>
      <c r="H718" s="47" t="s">
        <v>924</v>
      </c>
      <c r="I718" s="47" t="s">
        <v>925</v>
      </c>
      <c r="J718" s="47" t="s">
        <v>926</v>
      </c>
      <c r="K718" s="47" t="s">
        <v>163</v>
      </c>
      <c r="L718" s="47" t="s">
        <v>1057</v>
      </c>
      <c r="M718" s="47" t="s">
        <v>928</v>
      </c>
      <c r="N718" s="47" t="s">
        <v>946</v>
      </c>
      <c r="O718" s="47" t="s">
        <v>930</v>
      </c>
      <c r="P718" s="47" t="s">
        <v>930</v>
      </c>
      <c r="Q718" s="47"/>
      <c r="R718" s="47"/>
      <c r="S718" s="47"/>
      <c r="T718" s="47" t="s">
        <v>931</v>
      </c>
      <c r="U718" s="47" t="s">
        <v>931</v>
      </c>
      <c r="V718" s="47" t="s">
        <v>931</v>
      </c>
      <c r="W718" s="47" t="s">
        <v>931</v>
      </c>
      <c r="X718" s="47" t="s">
        <v>932</v>
      </c>
      <c r="Y718" s="47" t="s">
        <v>1049</v>
      </c>
      <c r="Z718" s="47" t="s">
        <v>3220</v>
      </c>
      <c r="AA718" s="47" t="s">
        <v>3221</v>
      </c>
      <c r="AB718" s="47" t="s">
        <v>931</v>
      </c>
      <c r="AC718" s="47" t="s">
        <v>470</v>
      </c>
      <c r="AD718" s="47" t="s">
        <v>936</v>
      </c>
      <c r="AE718" s="47" t="s">
        <v>937</v>
      </c>
      <c r="AF718" s="47" t="s">
        <v>931</v>
      </c>
      <c r="AG718" s="47" t="s">
        <v>5147</v>
      </c>
      <c r="AH718" s="47" t="s">
        <v>931</v>
      </c>
      <c r="AI718" s="47" t="s">
        <v>931</v>
      </c>
      <c r="AJ718" s="47" t="s">
        <v>931</v>
      </c>
      <c r="AK718" s="47" t="s">
        <v>930</v>
      </c>
      <c r="AL718" s="47" t="s">
        <v>931</v>
      </c>
      <c r="AM718" s="47" t="s">
        <v>931</v>
      </c>
      <c r="AN718" s="37"/>
    </row>
    <row r="719" spans="1:40" hidden="1">
      <c r="A719" s="47" t="s">
        <v>982</v>
      </c>
      <c r="B719" s="47" t="s">
        <v>919</v>
      </c>
      <c r="C719" s="47" t="s">
        <v>5148</v>
      </c>
      <c r="D719" s="47" t="e">
        <f t="shared" si="18"/>
        <v>#VALUE!</v>
      </c>
      <c r="E719" s="47" t="s">
        <v>5149</v>
      </c>
      <c r="F719" s="47" t="s">
        <v>5150</v>
      </c>
      <c r="G719" s="47" t="s">
        <v>5151</v>
      </c>
      <c r="H719" s="47" t="s">
        <v>1287</v>
      </c>
      <c r="I719" s="47" t="s">
        <v>5152</v>
      </c>
      <c r="J719" s="47" t="s">
        <v>5153</v>
      </c>
      <c r="K719" s="47" t="s">
        <v>163</v>
      </c>
      <c r="L719" s="47" t="s">
        <v>1309</v>
      </c>
      <c r="M719" s="47" t="s">
        <v>928</v>
      </c>
      <c r="N719" s="47" t="s">
        <v>929</v>
      </c>
      <c r="O719" s="47" t="s">
        <v>930</v>
      </c>
      <c r="P719" s="47" t="s">
        <v>930</v>
      </c>
      <c r="Q719" s="47"/>
      <c r="R719" s="47"/>
      <c r="S719" s="47"/>
      <c r="T719" s="47" t="s">
        <v>931</v>
      </c>
      <c r="U719" s="47" t="s">
        <v>931</v>
      </c>
      <c r="V719" s="47" t="s">
        <v>931</v>
      </c>
      <c r="W719" s="47" t="s">
        <v>931</v>
      </c>
      <c r="X719" s="47" t="s">
        <v>995</v>
      </c>
      <c r="Y719" s="47" t="s">
        <v>5151</v>
      </c>
      <c r="Z719" s="47" t="s">
        <v>5154</v>
      </c>
      <c r="AA719" s="47" t="s">
        <v>5155</v>
      </c>
      <c r="AB719" s="47" t="s">
        <v>931</v>
      </c>
      <c r="AC719" s="47" t="s">
        <v>931</v>
      </c>
      <c r="AD719" s="47" t="s">
        <v>5156</v>
      </c>
      <c r="AE719" s="47" t="s">
        <v>937</v>
      </c>
      <c r="AF719" s="47" t="s">
        <v>931</v>
      </c>
      <c r="AG719" s="47" t="s">
        <v>931</v>
      </c>
      <c r="AH719" s="47" t="s">
        <v>931</v>
      </c>
      <c r="AI719" s="47" t="s">
        <v>931</v>
      </c>
      <c r="AJ719" s="47" t="s">
        <v>931</v>
      </c>
      <c r="AK719" s="47" t="s">
        <v>930</v>
      </c>
      <c r="AL719" s="47" t="s">
        <v>931</v>
      </c>
      <c r="AM719" s="47" t="s">
        <v>931</v>
      </c>
      <c r="AN719" s="37"/>
    </row>
    <row r="720" spans="1:40" hidden="1">
      <c r="A720" s="47" t="s">
        <v>982</v>
      </c>
      <c r="B720" s="47" t="s">
        <v>919</v>
      </c>
      <c r="C720" s="47" t="s">
        <v>5157</v>
      </c>
      <c r="D720" s="47" t="e">
        <f t="shared" si="18"/>
        <v>#VALUE!</v>
      </c>
      <c r="E720" s="47" t="s">
        <v>5158</v>
      </c>
      <c r="F720" s="47" t="s">
        <v>5159</v>
      </c>
      <c r="G720" s="47" t="s">
        <v>865</v>
      </c>
      <c r="H720" s="47" t="s">
        <v>1287</v>
      </c>
      <c r="I720" s="47" t="s">
        <v>925</v>
      </c>
      <c r="J720" s="47" t="s">
        <v>926</v>
      </c>
      <c r="K720" s="47" t="s">
        <v>163</v>
      </c>
      <c r="L720" s="47" t="s">
        <v>1003</v>
      </c>
      <c r="M720" s="47" t="s">
        <v>928</v>
      </c>
      <c r="N720" s="47" t="s">
        <v>946</v>
      </c>
      <c r="O720" s="47" t="s">
        <v>930</v>
      </c>
      <c r="P720" s="47" t="s">
        <v>930</v>
      </c>
      <c r="Q720" s="47"/>
      <c r="R720" s="47"/>
      <c r="S720" s="47"/>
      <c r="T720" s="47" t="s">
        <v>931</v>
      </c>
      <c r="U720" s="47" t="s">
        <v>931</v>
      </c>
      <c r="V720" s="47" t="s">
        <v>931</v>
      </c>
      <c r="W720" s="47" t="s">
        <v>931</v>
      </c>
      <c r="X720" s="47" t="s">
        <v>995</v>
      </c>
      <c r="Y720" s="47" t="s">
        <v>865</v>
      </c>
      <c r="Z720" s="47" t="s">
        <v>3565</v>
      </c>
      <c r="AA720" s="47" t="s">
        <v>3566</v>
      </c>
      <c r="AB720" s="47" t="s">
        <v>931</v>
      </c>
      <c r="AC720" s="47" t="s">
        <v>931</v>
      </c>
      <c r="AD720" s="47" t="s">
        <v>936</v>
      </c>
      <c r="AE720" s="47" t="s">
        <v>937</v>
      </c>
      <c r="AF720" s="47" t="s">
        <v>5160</v>
      </c>
      <c r="AG720" s="47" t="s">
        <v>5161</v>
      </c>
      <c r="AH720" s="47" t="s">
        <v>931</v>
      </c>
      <c r="AI720" s="47" t="s">
        <v>931</v>
      </c>
      <c r="AJ720" s="47" t="s">
        <v>931</v>
      </c>
      <c r="AK720" s="47" t="s">
        <v>930</v>
      </c>
      <c r="AL720" s="47" t="s">
        <v>931</v>
      </c>
      <c r="AM720" s="47" t="s">
        <v>931</v>
      </c>
      <c r="AN720" s="37"/>
    </row>
    <row r="721" spans="1:40" hidden="1">
      <c r="A721" s="47" t="s">
        <v>982</v>
      </c>
      <c r="B721" s="47" t="s">
        <v>919</v>
      </c>
      <c r="C721" s="47" t="s">
        <v>5162</v>
      </c>
      <c r="D721" s="47" t="e">
        <f t="shared" si="18"/>
        <v>#VALUE!</v>
      </c>
      <c r="E721" s="47" t="s">
        <v>5163</v>
      </c>
      <c r="F721" s="47" t="s">
        <v>5164</v>
      </c>
      <c r="G721" s="47" t="s">
        <v>414</v>
      </c>
      <c r="H721" s="47" t="s">
        <v>1287</v>
      </c>
      <c r="I721" s="47" t="s">
        <v>5152</v>
      </c>
      <c r="J721" s="47" t="s">
        <v>5153</v>
      </c>
      <c r="K721" s="47" t="s">
        <v>163</v>
      </c>
      <c r="L721" s="47" t="s">
        <v>987</v>
      </c>
      <c r="M721" s="47" t="s">
        <v>928</v>
      </c>
      <c r="N721" s="47" t="s">
        <v>929</v>
      </c>
      <c r="O721" s="47" t="s">
        <v>930</v>
      </c>
      <c r="P721" s="47" t="s">
        <v>930</v>
      </c>
      <c r="Q721" s="47"/>
      <c r="R721" s="47"/>
      <c r="S721" s="47"/>
      <c r="T721" s="47" t="s">
        <v>931</v>
      </c>
      <c r="U721" s="47" t="s">
        <v>931</v>
      </c>
      <c r="V721" s="47" t="s">
        <v>931</v>
      </c>
      <c r="W721" s="47" t="s">
        <v>931</v>
      </c>
      <c r="X721" s="47" t="s">
        <v>995</v>
      </c>
      <c r="Y721" s="47" t="s">
        <v>414</v>
      </c>
      <c r="Z721" s="47" t="s">
        <v>3079</v>
      </c>
      <c r="AA721" s="47" t="s">
        <v>3080</v>
      </c>
      <c r="AB721" s="47" t="s">
        <v>931</v>
      </c>
      <c r="AC721" s="47" t="s">
        <v>931</v>
      </c>
      <c r="AD721" s="47" t="s">
        <v>5156</v>
      </c>
      <c r="AE721" s="47" t="s">
        <v>937</v>
      </c>
      <c r="AF721" s="47" t="s">
        <v>931</v>
      </c>
      <c r="AG721" s="47" t="s">
        <v>931</v>
      </c>
      <c r="AH721" s="47" t="s">
        <v>931</v>
      </c>
      <c r="AI721" s="47" t="s">
        <v>931</v>
      </c>
      <c r="AJ721" s="47" t="s">
        <v>931</v>
      </c>
      <c r="AK721" s="47" t="s">
        <v>930</v>
      </c>
      <c r="AL721" s="47" t="s">
        <v>931</v>
      </c>
      <c r="AM721" s="47" t="s">
        <v>931</v>
      </c>
      <c r="AN721" s="37"/>
    </row>
    <row r="722" spans="1:40" hidden="1">
      <c r="A722" s="47" t="s">
        <v>982</v>
      </c>
      <c r="B722" s="47" t="s">
        <v>919</v>
      </c>
      <c r="C722" s="47" t="s">
        <v>5165</v>
      </c>
      <c r="D722" s="47" t="e">
        <f t="shared" si="18"/>
        <v>#VALUE!</v>
      </c>
      <c r="E722" s="47" t="s">
        <v>5166</v>
      </c>
      <c r="F722" s="47" t="s">
        <v>5167</v>
      </c>
      <c r="G722" s="47" t="s">
        <v>387</v>
      </c>
      <c r="H722" s="47" t="s">
        <v>924</v>
      </c>
      <c r="I722" s="47" t="s">
        <v>5152</v>
      </c>
      <c r="J722" s="47" t="s">
        <v>5153</v>
      </c>
      <c r="K722" s="47" t="s">
        <v>163</v>
      </c>
      <c r="L722" s="47" t="s">
        <v>987</v>
      </c>
      <c r="M722" s="47" t="s">
        <v>928</v>
      </c>
      <c r="N722" s="47" t="s">
        <v>929</v>
      </c>
      <c r="O722" s="47" t="s">
        <v>930</v>
      </c>
      <c r="P722" s="47" t="s">
        <v>930</v>
      </c>
      <c r="Q722" s="47"/>
      <c r="R722" s="47"/>
      <c r="S722" s="47"/>
      <c r="T722" s="47" t="s">
        <v>931</v>
      </c>
      <c r="U722" s="47" t="s">
        <v>931</v>
      </c>
      <c r="V722" s="47" t="s">
        <v>931</v>
      </c>
      <c r="W722" s="47" t="s">
        <v>931</v>
      </c>
      <c r="X722" s="47" t="s">
        <v>932</v>
      </c>
      <c r="Y722" s="47" t="s">
        <v>387</v>
      </c>
      <c r="Z722" s="47" t="s">
        <v>1148</v>
      </c>
      <c r="AA722" s="47" t="s">
        <v>1149</v>
      </c>
      <c r="AB722" s="47" t="s">
        <v>931</v>
      </c>
      <c r="AC722" s="47" t="s">
        <v>931</v>
      </c>
      <c r="AD722" s="47" t="s">
        <v>5156</v>
      </c>
      <c r="AE722" s="47" t="s">
        <v>937</v>
      </c>
      <c r="AF722" s="47" t="s">
        <v>931</v>
      </c>
      <c r="AG722" s="47" t="s">
        <v>931</v>
      </c>
      <c r="AH722" s="47" t="s">
        <v>931</v>
      </c>
      <c r="AI722" s="47" t="s">
        <v>931</v>
      </c>
      <c r="AJ722" s="47" t="s">
        <v>931</v>
      </c>
      <c r="AK722" s="47" t="s">
        <v>930</v>
      </c>
      <c r="AL722" s="47" t="s">
        <v>931</v>
      </c>
      <c r="AM722" s="47" t="s">
        <v>931</v>
      </c>
      <c r="AN722" s="37"/>
    </row>
    <row r="723" spans="1:40" hidden="1">
      <c r="A723" s="47" t="s">
        <v>982</v>
      </c>
      <c r="B723" s="47" t="s">
        <v>919</v>
      </c>
      <c r="C723" s="47" t="s">
        <v>5168</v>
      </c>
      <c r="D723" s="47" t="e">
        <f t="shared" si="18"/>
        <v>#VALUE!</v>
      </c>
      <c r="E723" s="47" t="s">
        <v>5169</v>
      </c>
      <c r="F723" s="47" t="s">
        <v>5170</v>
      </c>
      <c r="G723" s="47" t="s">
        <v>3859</v>
      </c>
      <c r="H723" s="47" t="s">
        <v>1287</v>
      </c>
      <c r="I723" s="47" t="s">
        <v>5152</v>
      </c>
      <c r="J723" s="47" t="s">
        <v>5153</v>
      </c>
      <c r="K723" s="47" t="s">
        <v>163</v>
      </c>
      <c r="L723" s="47" t="s">
        <v>1309</v>
      </c>
      <c r="M723" s="47" t="s">
        <v>928</v>
      </c>
      <c r="N723" s="47" t="s">
        <v>929</v>
      </c>
      <c r="O723" s="47" t="s">
        <v>930</v>
      </c>
      <c r="P723" s="47" t="s">
        <v>930</v>
      </c>
      <c r="Q723" s="47"/>
      <c r="R723" s="47"/>
      <c r="S723" s="47"/>
      <c r="T723" s="47" t="s">
        <v>931</v>
      </c>
      <c r="U723" s="47" t="s">
        <v>931</v>
      </c>
      <c r="V723" s="47" t="s">
        <v>931</v>
      </c>
      <c r="W723" s="47" t="s">
        <v>931</v>
      </c>
      <c r="X723" s="47" t="s">
        <v>995</v>
      </c>
      <c r="Y723" s="47" t="s">
        <v>3859</v>
      </c>
      <c r="Z723" s="47" t="s">
        <v>3863</v>
      </c>
      <c r="AA723" s="47" t="s">
        <v>3864</v>
      </c>
      <c r="AB723" s="47" t="s">
        <v>931</v>
      </c>
      <c r="AC723" s="47" t="s">
        <v>931</v>
      </c>
      <c r="AD723" s="47" t="s">
        <v>5156</v>
      </c>
      <c r="AE723" s="47" t="s">
        <v>937</v>
      </c>
      <c r="AF723" s="47" t="s">
        <v>931</v>
      </c>
      <c r="AG723" s="47" t="s">
        <v>931</v>
      </c>
      <c r="AH723" s="47" t="s">
        <v>931</v>
      </c>
      <c r="AI723" s="47" t="s">
        <v>931</v>
      </c>
      <c r="AJ723" s="47" t="s">
        <v>931</v>
      </c>
      <c r="AK723" s="47" t="s">
        <v>930</v>
      </c>
      <c r="AL723" s="47" t="s">
        <v>931</v>
      </c>
      <c r="AM723" s="47" t="s">
        <v>931</v>
      </c>
      <c r="AN723" s="37"/>
    </row>
    <row r="724" spans="1:40" hidden="1">
      <c r="A724" s="47" t="s">
        <v>982</v>
      </c>
      <c r="B724" s="47" t="s">
        <v>919</v>
      </c>
      <c r="C724" s="47" t="s">
        <v>5171</v>
      </c>
      <c r="D724" s="47" t="e">
        <f t="shared" si="18"/>
        <v>#VALUE!</v>
      </c>
      <c r="E724" s="47" t="s">
        <v>5172</v>
      </c>
      <c r="F724" s="47" t="s">
        <v>5173</v>
      </c>
      <c r="G724" s="47" t="s">
        <v>441</v>
      </c>
      <c r="H724" s="47" t="s">
        <v>1287</v>
      </c>
      <c r="I724" s="47" t="s">
        <v>5152</v>
      </c>
      <c r="J724" s="47" t="s">
        <v>5153</v>
      </c>
      <c r="K724" s="47" t="s">
        <v>163</v>
      </c>
      <c r="L724" s="47" t="s">
        <v>987</v>
      </c>
      <c r="M724" s="47" t="s">
        <v>928</v>
      </c>
      <c r="N724" s="47" t="s">
        <v>929</v>
      </c>
      <c r="O724" s="47" t="s">
        <v>930</v>
      </c>
      <c r="P724" s="47" t="s">
        <v>930</v>
      </c>
      <c r="Q724" s="47"/>
      <c r="R724" s="47"/>
      <c r="S724" s="47"/>
      <c r="T724" s="47" t="s">
        <v>931</v>
      </c>
      <c r="U724" s="47" t="s">
        <v>931</v>
      </c>
      <c r="V724" s="47" t="s">
        <v>931</v>
      </c>
      <c r="W724" s="47" t="s">
        <v>931</v>
      </c>
      <c r="X724" s="47" t="s">
        <v>995</v>
      </c>
      <c r="Y724" s="47" t="s">
        <v>441</v>
      </c>
      <c r="Z724" s="47" t="s">
        <v>3027</v>
      </c>
      <c r="AA724" s="47" t="s">
        <v>3028</v>
      </c>
      <c r="AB724" s="47" t="s">
        <v>931</v>
      </c>
      <c r="AC724" s="47" t="s">
        <v>931</v>
      </c>
      <c r="AD724" s="47" t="s">
        <v>5156</v>
      </c>
      <c r="AE724" s="47" t="s">
        <v>937</v>
      </c>
      <c r="AF724" s="47" t="s">
        <v>931</v>
      </c>
      <c r="AG724" s="47" t="s">
        <v>931</v>
      </c>
      <c r="AH724" s="47" t="s">
        <v>931</v>
      </c>
      <c r="AI724" s="47" t="s">
        <v>931</v>
      </c>
      <c r="AJ724" s="47" t="s">
        <v>931</v>
      </c>
      <c r="AK724" s="47" t="s">
        <v>930</v>
      </c>
      <c r="AL724" s="47" t="s">
        <v>931</v>
      </c>
      <c r="AM724" s="47" t="s">
        <v>931</v>
      </c>
      <c r="AN724" s="37"/>
    </row>
    <row r="725" spans="1:40" hidden="1">
      <c r="A725" s="47" t="s">
        <v>982</v>
      </c>
      <c r="B725" s="47" t="s">
        <v>919</v>
      </c>
      <c r="C725" s="47" t="s">
        <v>5174</v>
      </c>
      <c r="D725" s="47" t="e">
        <f t="shared" si="18"/>
        <v>#VALUE!</v>
      </c>
      <c r="E725" s="47" t="s">
        <v>5175</v>
      </c>
      <c r="F725" s="47" t="s">
        <v>5176</v>
      </c>
      <c r="G725" s="47" t="s">
        <v>472</v>
      </c>
      <c r="H725" s="47" t="s">
        <v>1287</v>
      </c>
      <c r="I725" s="47" t="s">
        <v>5152</v>
      </c>
      <c r="J725" s="47" t="s">
        <v>5153</v>
      </c>
      <c r="K725" s="47" t="s">
        <v>163</v>
      </c>
      <c r="L725" s="47" t="s">
        <v>987</v>
      </c>
      <c r="M725" s="47" t="s">
        <v>928</v>
      </c>
      <c r="N725" s="47" t="s">
        <v>929</v>
      </c>
      <c r="O725" s="47" t="s">
        <v>930</v>
      </c>
      <c r="P725" s="47" t="s">
        <v>930</v>
      </c>
      <c r="Q725" s="47"/>
      <c r="R725" s="47"/>
      <c r="S725" s="47"/>
      <c r="T725" s="47" t="s">
        <v>931</v>
      </c>
      <c r="U725" s="47" t="s">
        <v>931</v>
      </c>
      <c r="V725" s="47" t="s">
        <v>931</v>
      </c>
      <c r="W725" s="47" t="s">
        <v>931</v>
      </c>
      <c r="X725" s="47" t="s">
        <v>932</v>
      </c>
      <c r="Y725" s="47" t="s">
        <v>472</v>
      </c>
      <c r="Z725" s="47" t="s">
        <v>1018</v>
      </c>
      <c r="AA725" s="47" t="s">
        <v>1019</v>
      </c>
      <c r="AB725" s="47" t="s">
        <v>931</v>
      </c>
      <c r="AC725" s="47" t="s">
        <v>931</v>
      </c>
      <c r="AD725" s="47" t="s">
        <v>5156</v>
      </c>
      <c r="AE725" s="47" t="s">
        <v>937</v>
      </c>
      <c r="AF725" s="47" t="s">
        <v>931</v>
      </c>
      <c r="AG725" s="47" t="s">
        <v>931</v>
      </c>
      <c r="AH725" s="47" t="s">
        <v>931</v>
      </c>
      <c r="AI725" s="47" t="s">
        <v>931</v>
      </c>
      <c r="AJ725" s="47" t="s">
        <v>931</v>
      </c>
      <c r="AK725" s="47" t="s">
        <v>930</v>
      </c>
      <c r="AL725" s="47" t="s">
        <v>931</v>
      </c>
      <c r="AM725" s="47" t="s">
        <v>931</v>
      </c>
      <c r="AN725" s="37"/>
    </row>
    <row r="726" spans="1:40" hidden="1">
      <c r="A726" s="47" t="s">
        <v>982</v>
      </c>
      <c r="B726" s="47" t="s">
        <v>919</v>
      </c>
      <c r="C726" s="47" t="s">
        <v>5177</v>
      </c>
      <c r="D726" s="47" t="e">
        <f t="shared" si="18"/>
        <v>#VALUE!</v>
      </c>
      <c r="E726" s="47" t="s">
        <v>5178</v>
      </c>
      <c r="F726" s="47" t="s">
        <v>5179</v>
      </c>
      <c r="G726" s="47" t="s">
        <v>468</v>
      </c>
      <c r="H726" s="47" t="s">
        <v>1287</v>
      </c>
      <c r="I726" s="47" t="s">
        <v>5152</v>
      </c>
      <c r="J726" s="47" t="s">
        <v>5153</v>
      </c>
      <c r="K726" s="47" t="s">
        <v>163</v>
      </c>
      <c r="L726" s="47" t="s">
        <v>987</v>
      </c>
      <c r="M726" s="47" t="s">
        <v>928</v>
      </c>
      <c r="N726" s="47" t="s">
        <v>929</v>
      </c>
      <c r="O726" s="47" t="s">
        <v>930</v>
      </c>
      <c r="P726" s="47" t="s">
        <v>930</v>
      </c>
      <c r="Q726" s="47"/>
      <c r="R726" s="47"/>
      <c r="S726" s="47"/>
      <c r="T726" s="47" t="s">
        <v>931</v>
      </c>
      <c r="U726" s="47" t="s">
        <v>931</v>
      </c>
      <c r="V726" s="47" t="s">
        <v>931</v>
      </c>
      <c r="W726" s="47" t="s">
        <v>931</v>
      </c>
      <c r="X726" s="47" t="s">
        <v>932</v>
      </c>
      <c r="Y726" s="47" t="s">
        <v>468</v>
      </c>
      <c r="Z726" s="47" t="s">
        <v>3299</v>
      </c>
      <c r="AA726" s="47" t="s">
        <v>3300</v>
      </c>
      <c r="AB726" s="47" t="s">
        <v>931</v>
      </c>
      <c r="AC726" s="47" t="s">
        <v>931</v>
      </c>
      <c r="AD726" s="47" t="s">
        <v>5156</v>
      </c>
      <c r="AE726" s="47" t="s">
        <v>937</v>
      </c>
      <c r="AF726" s="47" t="s">
        <v>931</v>
      </c>
      <c r="AG726" s="47" t="s">
        <v>931</v>
      </c>
      <c r="AH726" s="47" t="s">
        <v>931</v>
      </c>
      <c r="AI726" s="47" t="s">
        <v>931</v>
      </c>
      <c r="AJ726" s="47" t="s">
        <v>931</v>
      </c>
      <c r="AK726" s="47" t="s">
        <v>930</v>
      </c>
      <c r="AL726" s="47" t="s">
        <v>931</v>
      </c>
      <c r="AM726" s="47" t="s">
        <v>931</v>
      </c>
      <c r="AN726" s="37"/>
    </row>
    <row r="727" spans="1:40" hidden="1">
      <c r="A727" s="47" t="s">
        <v>982</v>
      </c>
      <c r="B727" s="47" t="s">
        <v>919</v>
      </c>
      <c r="C727" s="47" t="s">
        <v>5180</v>
      </c>
      <c r="D727" s="47" t="e">
        <f t="shared" si="18"/>
        <v>#VALUE!</v>
      </c>
      <c r="E727" s="47" t="s">
        <v>5181</v>
      </c>
      <c r="F727" s="47" t="s">
        <v>5182</v>
      </c>
      <c r="G727" s="47" t="s">
        <v>470</v>
      </c>
      <c r="H727" s="47" t="s">
        <v>924</v>
      </c>
      <c r="I727" s="47" t="s">
        <v>925</v>
      </c>
      <c r="J727" s="47" t="s">
        <v>1257</v>
      </c>
      <c r="K727" s="47" t="s">
        <v>163</v>
      </c>
      <c r="L727" s="47" t="s">
        <v>1282</v>
      </c>
      <c r="M727" s="47" t="s">
        <v>928</v>
      </c>
      <c r="N727" s="47" t="s">
        <v>946</v>
      </c>
      <c r="O727" s="47" t="s">
        <v>930</v>
      </c>
      <c r="P727" s="47" t="s">
        <v>930</v>
      </c>
      <c r="Q727" s="47"/>
      <c r="R727" s="47"/>
      <c r="S727" s="47"/>
      <c r="T727" s="47" t="s">
        <v>931</v>
      </c>
      <c r="U727" s="47" t="s">
        <v>931</v>
      </c>
      <c r="V727" s="47" t="s">
        <v>931</v>
      </c>
      <c r="W727" s="47" t="s">
        <v>931</v>
      </c>
      <c r="X727" s="47" t="s">
        <v>932</v>
      </c>
      <c r="Y727" s="47" t="s">
        <v>470</v>
      </c>
      <c r="Z727" s="47" t="s">
        <v>3315</v>
      </c>
      <c r="AA727" s="47" t="s">
        <v>3316</v>
      </c>
      <c r="AB727" s="47" t="s">
        <v>931</v>
      </c>
      <c r="AC727" s="47" t="s">
        <v>470</v>
      </c>
      <c r="AD727" s="47" t="s">
        <v>936</v>
      </c>
      <c r="AE727" s="47" t="s">
        <v>937</v>
      </c>
      <c r="AF727" s="47" t="s">
        <v>931</v>
      </c>
      <c r="AG727" s="47" t="s">
        <v>5183</v>
      </c>
      <c r="AH727" s="47" t="s">
        <v>931</v>
      </c>
      <c r="AI727" s="47" t="s">
        <v>931</v>
      </c>
      <c r="AJ727" s="47" t="s">
        <v>931</v>
      </c>
      <c r="AK727" s="47" t="s">
        <v>930</v>
      </c>
      <c r="AL727" s="47" t="s">
        <v>931</v>
      </c>
      <c r="AM727" s="47" t="s">
        <v>931</v>
      </c>
      <c r="AN727" s="37"/>
    </row>
    <row r="728" spans="1:40" hidden="1">
      <c r="A728" s="47" t="s">
        <v>982</v>
      </c>
      <c r="B728" s="47" t="s">
        <v>919</v>
      </c>
      <c r="C728" s="47" t="s">
        <v>5184</v>
      </c>
      <c r="D728" s="47" t="e">
        <f t="shared" si="18"/>
        <v>#VALUE!</v>
      </c>
      <c r="E728" s="47" t="s">
        <v>1233</v>
      </c>
      <c r="F728" s="47" t="s">
        <v>5185</v>
      </c>
      <c r="G728" s="47" t="s">
        <v>2038</v>
      </c>
      <c r="H728" s="47" t="s">
        <v>969</v>
      </c>
      <c r="I728" s="47" t="s">
        <v>925</v>
      </c>
      <c r="J728" s="47" t="s">
        <v>926</v>
      </c>
      <c r="K728" s="47" t="s">
        <v>163</v>
      </c>
      <c r="L728" s="47" t="s">
        <v>1909</v>
      </c>
      <c r="M728" s="47" t="s">
        <v>928</v>
      </c>
      <c r="N728" s="47" t="s">
        <v>946</v>
      </c>
      <c r="O728" s="47" t="s">
        <v>930</v>
      </c>
      <c r="P728" s="47" t="s">
        <v>930</v>
      </c>
      <c r="Q728" s="47"/>
      <c r="R728" s="47"/>
      <c r="S728" s="47"/>
      <c r="T728" s="47" t="s">
        <v>931</v>
      </c>
      <c r="U728" s="47" t="s">
        <v>931</v>
      </c>
      <c r="V728" s="47" t="s">
        <v>931</v>
      </c>
      <c r="W728" s="47" t="s">
        <v>931</v>
      </c>
      <c r="X728" s="47" t="s">
        <v>995</v>
      </c>
      <c r="Y728" s="47" t="s">
        <v>2038</v>
      </c>
      <c r="Z728" s="47" t="s">
        <v>5186</v>
      </c>
      <c r="AA728" s="47" t="s">
        <v>5187</v>
      </c>
      <c r="AB728" s="47" t="s">
        <v>931</v>
      </c>
      <c r="AC728" s="47" t="s">
        <v>931</v>
      </c>
      <c r="AD728" s="47" t="s">
        <v>936</v>
      </c>
      <c r="AE728" s="47" t="s">
        <v>937</v>
      </c>
      <c r="AF728" s="47" t="s">
        <v>931</v>
      </c>
      <c r="AG728" s="47" t="s">
        <v>931</v>
      </c>
      <c r="AH728" s="47" t="s">
        <v>931</v>
      </c>
      <c r="AI728" s="47" t="s">
        <v>931</v>
      </c>
      <c r="AJ728" s="47" t="s">
        <v>931</v>
      </c>
      <c r="AK728" s="47" t="s">
        <v>930</v>
      </c>
      <c r="AL728" s="47" t="s">
        <v>931</v>
      </c>
      <c r="AM728" s="47" t="s">
        <v>931</v>
      </c>
      <c r="AN728" s="37"/>
    </row>
    <row r="729" spans="1:40" hidden="1">
      <c r="A729" s="47" t="s">
        <v>982</v>
      </c>
      <c r="B729" s="47" t="s">
        <v>919</v>
      </c>
      <c r="C729" s="47" t="s">
        <v>5188</v>
      </c>
      <c r="D729" s="47" t="e">
        <f t="shared" si="18"/>
        <v>#VALUE!</v>
      </c>
      <c r="E729" s="47" t="s">
        <v>5189</v>
      </c>
      <c r="F729" s="47" t="s">
        <v>5190</v>
      </c>
      <c r="G729" s="47" t="s">
        <v>409</v>
      </c>
      <c r="H729" s="47" t="s">
        <v>969</v>
      </c>
      <c r="I729" s="47" t="s">
        <v>925</v>
      </c>
      <c r="J729" s="47" t="s">
        <v>926</v>
      </c>
      <c r="K729" s="47" t="s">
        <v>163</v>
      </c>
      <c r="L729" s="47" t="s">
        <v>1909</v>
      </c>
      <c r="M729" s="47" t="s">
        <v>928</v>
      </c>
      <c r="N729" s="47" t="s">
        <v>946</v>
      </c>
      <c r="O729" s="47" t="s">
        <v>930</v>
      </c>
      <c r="P729" s="47" t="s">
        <v>930</v>
      </c>
      <c r="Q729" s="47"/>
      <c r="R729" s="47"/>
      <c r="S729" s="47"/>
      <c r="T729" s="47" t="s">
        <v>931</v>
      </c>
      <c r="U729" s="47" t="s">
        <v>931</v>
      </c>
      <c r="V729" s="47" t="s">
        <v>931</v>
      </c>
      <c r="W729" s="47" t="s">
        <v>931</v>
      </c>
      <c r="X729" s="47" t="s">
        <v>932</v>
      </c>
      <c r="Y729" s="47" t="s">
        <v>409</v>
      </c>
      <c r="Z729" s="47" t="s">
        <v>4330</v>
      </c>
      <c r="AA729" s="47" t="s">
        <v>4331</v>
      </c>
      <c r="AB729" s="47" t="s">
        <v>931</v>
      </c>
      <c r="AC729" s="47" t="s">
        <v>931</v>
      </c>
      <c r="AD729" s="47" t="s">
        <v>936</v>
      </c>
      <c r="AE729" s="47" t="s">
        <v>937</v>
      </c>
      <c r="AF729" s="47" t="s">
        <v>931</v>
      </c>
      <c r="AG729" s="47" t="s">
        <v>931</v>
      </c>
      <c r="AH729" s="47" t="s">
        <v>931</v>
      </c>
      <c r="AI729" s="47" t="s">
        <v>931</v>
      </c>
      <c r="AJ729" s="47" t="s">
        <v>931</v>
      </c>
      <c r="AK729" s="47" t="s">
        <v>930</v>
      </c>
      <c r="AL729" s="47" t="s">
        <v>931</v>
      </c>
      <c r="AM729" s="47" t="s">
        <v>931</v>
      </c>
      <c r="AN729" s="37"/>
    </row>
    <row r="730" spans="1:40" hidden="1">
      <c r="A730" s="47" t="s">
        <v>982</v>
      </c>
      <c r="B730" s="47" t="s">
        <v>919</v>
      </c>
      <c r="C730" s="47" t="s">
        <v>5191</v>
      </c>
      <c r="D730" s="47" t="e">
        <f t="shared" si="18"/>
        <v>#VALUE!</v>
      </c>
      <c r="E730" s="47" t="s">
        <v>5192</v>
      </c>
      <c r="F730" s="47" t="s">
        <v>5193</v>
      </c>
      <c r="G730" s="47" t="s">
        <v>923</v>
      </c>
      <c r="H730" s="47" t="s">
        <v>969</v>
      </c>
      <c r="I730" s="47" t="s">
        <v>925</v>
      </c>
      <c r="J730" s="47" t="s">
        <v>1257</v>
      </c>
      <c r="K730" s="47" t="s">
        <v>163</v>
      </c>
      <c r="L730" s="47" t="s">
        <v>5194</v>
      </c>
      <c r="M730" s="47" t="s">
        <v>1004</v>
      </c>
      <c r="N730" s="47" t="s">
        <v>946</v>
      </c>
      <c r="O730" s="47" t="s">
        <v>930</v>
      </c>
      <c r="P730" s="47" t="s">
        <v>930</v>
      </c>
      <c r="Q730" s="47"/>
      <c r="R730" s="47"/>
      <c r="S730" s="47"/>
      <c r="T730" s="47" t="s">
        <v>931</v>
      </c>
      <c r="U730" s="47" t="s">
        <v>931</v>
      </c>
      <c r="V730" s="47" t="s">
        <v>931</v>
      </c>
      <c r="W730" s="47" t="s">
        <v>931</v>
      </c>
      <c r="X730" s="47" t="s">
        <v>932</v>
      </c>
      <c r="Y730" s="47" t="s">
        <v>923</v>
      </c>
      <c r="Z730" s="47" t="s">
        <v>933</v>
      </c>
      <c r="AA730" s="47" t="s">
        <v>934</v>
      </c>
      <c r="AB730" s="47" t="s">
        <v>931</v>
      </c>
      <c r="AC730" s="47" t="s">
        <v>1049</v>
      </c>
      <c r="AD730" s="47" t="s">
        <v>936</v>
      </c>
      <c r="AE730" s="47" t="s">
        <v>937</v>
      </c>
      <c r="AF730" s="47" t="s">
        <v>931</v>
      </c>
      <c r="AG730" s="47" t="s">
        <v>931</v>
      </c>
      <c r="AH730" s="47" t="s">
        <v>931</v>
      </c>
      <c r="AI730" s="47" t="s">
        <v>931</v>
      </c>
      <c r="AJ730" s="47" t="s">
        <v>931</v>
      </c>
      <c r="AK730" s="47" t="s">
        <v>930</v>
      </c>
      <c r="AL730" s="47" t="s">
        <v>931</v>
      </c>
      <c r="AM730" s="47" t="s">
        <v>931</v>
      </c>
      <c r="AN730" s="37"/>
    </row>
    <row r="731" spans="1:40" hidden="1">
      <c r="A731" s="47" t="s">
        <v>982</v>
      </c>
      <c r="B731" s="47" t="s">
        <v>919</v>
      </c>
      <c r="C731" s="47" t="s">
        <v>5195</v>
      </c>
      <c r="D731" s="47" t="e">
        <f t="shared" si="18"/>
        <v>#VALUE!</v>
      </c>
      <c r="E731" s="47" t="s">
        <v>5196</v>
      </c>
      <c r="F731" s="47" t="s">
        <v>5197</v>
      </c>
      <c r="G731" s="47" t="s">
        <v>409</v>
      </c>
      <c r="H731" s="47" t="s">
        <v>924</v>
      </c>
      <c r="I731" s="47" t="s">
        <v>925</v>
      </c>
      <c r="J731" s="47" t="s">
        <v>1257</v>
      </c>
      <c r="K731" s="47" t="s">
        <v>163</v>
      </c>
      <c r="L731" s="47" t="s">
        <v>1196</v>
      </c>
      <c r="M731" s="47" t="s">
        <v>928</v>
      </c>
      <c r="N731" s="47" t="s">
        <v>946</v>
      </c>
      <c r="O731" s="47" t="s">
        <v>930</v>
      </c>
      <c r="P731" s="47" t="s">
        <v>930</v>
      </c>
      <c r="Q731" s="47"/>
      <c r="R731" s="47"/>
      <c r="S731" s="47"/>
      <c r="T731" s="47" t="s">
        <v>931</v>
      </c>
      <c r="U731" s="47" t="s">
        <v>931</v>
      </c>
      <c r="V731" s="47" t="s">
        <v>931</v>
      </c>
      <c r="W731" s="47" t="s">
        <v>931</v>
      </c>
      <c r="X731" s="47" t="s">
        <v>932</v>
      </c>
      <c r="Y731" s="47" t="s">
        <v>409</v>
      </c>
      <c r="Z731" s="47" t="s">
        <v>4330</v>
      </c>
      <c r="AA731" s="47" t="s">
        <v>4331</v>
      </c>
      <c r="AB731" s="47" t="s">
        <v>931</v>
      </c>
      <c r="AC731" s="47" t="s">
        <v>931</v>
      </c>
      <c r="AD731" s="47" t="s">
        <v>936</v>
      </c>
      <c r="AE731" s="47" t="s">
        <v>937</v>
      </c>
      <c r="AF731" s="47" t="s">
        <v>931</v>
      </c>
      <c r="AG731" s="47" t="s">
        <v>931</v>
      </c>
      <c r="AH731" s="47" t="s">
        <v>931</v>
      </c>
      <c r="AI731" s="47" t="s">
        <v>931</v>
      </c>
      <c r="AJ731" s="47" t="s">
        <v>931</v>
      </c>
      <c r="AK731" s="47" t="s">
        <v>930</v>
      </c>
      <c r="AL731" s="47" t="s">
        <v>931</v>
      </c>
      <c r="AM731" s="47" t="s">
        <v>931</v>
      </c>
      <c r="AN731" s="37"/>
    </row>
    <row r="732" spans="1:40" hidden="1">
      <c r="A732" s="47" t="s">
        <v>982</v>
      </c>
      <c r="B732" s="47" t="s">
        <v>919</v>
      </c>
      <c r="C732" s="47" t="s">
        <v>5198</v>
      </c>
      <c r="D732" s="47" t="e">
        <f t="shared" si="18"/>
        <v>#VALUE!</v>
      </c>
      <c r="E732" s="47" t="s">
        <v>1212</v>
      </c>
      <c r="F732" s="47" t="s">
        <v>1213</v>
      </c>
      <c r="G732" s="47" t="s">
        <v>985</v>
      </c>
      <c r="H732" s="47" t="s">
        <v>969</v>
      </c>
      <c r="I732" s="47" t="s">
        <v>925</v>
      </c>
      <c r="J732" s="47" t="s">
        <v>1257</v>
      </c>
      <c r="K732" s="47" t="s">
        <v>163</v>
      </c>
      <c r="L732" s="47" t="s">
        <v>1371</v>
      </c>
      <c r="M732" s="47" t="s">
        <v>928</v>
      </c>
      <c r="N732" s="47" t="s">
        <v>946</v>
      </c>
      <c r="O732" s="47" t="s">
        <v>930</v>
      </c>
      <c r="P732" s="47" t="s">
        <v>930</v>
      </c>
      <c r="Q732" s="47"/>
      <c r="R732" s="47"/>
      <c r="S732" s="47"/>
      <c r="T732" s="47" t="s">
        <v>931</v>
      </c>
      <c r="U732" s="47" t="s">
        <v>931</v>
      </c>
      <c r="V732" s="47" t="s">
        <v>931</v>
      </c>
      <c r="W732" s="47" t="s">
        <v>931</v>
      </c>
      <c r="X732" s="47" t="s">
        <v>932</v>
      </c>
      <c r="Y732" s="47" t="s">
        <v>985</v>
      </c>
      <c r="Z732" s="47" t="s">
        <v>988</v>
      </c>
      <c r="AA732" s="47" t="s">
        <v>989</v>
      </c>
      <c r="AB732" s="47" t="s">
        <v>931</v>
      </c>
      <c r="AC732" s="47" t="s">
        <v>931</v>
      </c>
      <c r="AD732" s="47" t="s">
        <v>936</v>
      </c>
      <c r="AE732" s="47" t="s">
        <v>937</v>
      </c>
      <c r="AF732" s="47" t="s">
        <v>931</v>
      </c>
      <c r="AG732" s="47" t="s">
        <v>931</v>
      </c>
      <c r="AH732" s="47" t="s">
        <v>931</v>
      </c>
      <c r="AI732" s="47" t="s">
        <v>931</v>
      </c>
      <c r="AJ732" s="47" t="s">
        <v>931</v>
      </c>
      <c r="AK732" s="47" t="s">
        <v>930</v>
      </c>
      <c r="AL732" s="47" t="s">
        <v>931</v>
      </c>
      <c r="AM732" s="47" t="s">
        <v>931</v>
      </c>
      <c r="AN732" s="37"/>
    </row>
    <row r="733" spans="1:40" hidden="1">
      <c r="A733" s="47" t="s">
        <v>982</v>
      </c>
      <c r="B733" s="47" t="s">
        <v>919</v>
      </c>
      <c r="C733" s="47" t="s">
        <v>5199</v>
      </c>
      <c r="D733" s="47" t="e">
        <f t="shared" si="18"/>
        <v>#VALUE!</v>
      </c>
      <c r="E733" s="47" t="s">
        <v>328</v>
      </c>
      <c r="F733" s="47" t="s">
        <v>5200</v>
      </c>
      <c r="G733" s="47" t="s">
        <v>372</v>
      </c>
      <c r="H733" s="47" t="s">
        <v>969</v>
      </c>
      <c r="I733" s="47" t="s">
        <v>925</v>
      </c>
      <c r="J733" s="47" t="s">
        <v>926</v>
      </c>
      <c r="K733" s="47" t="s">
        <v>163</v>
      </c>
      <c r="L733" s="47" t="s">
        <v>1173</v>
      </c>
      <c r="M733" s="47" t="s">
        <v>1004</v>
      </c>
      <c r="N733" s="47" t="s">
        <v>946</v>
      </c>
      <c r="O733" s="47" t="s">
        <v>930</v>
      </c>
      <c r="P733" s="47" t="s">
        <v>930</v>
      </c>
      <c r="Q733" s="47"/>
      <c r="R733" s="47"/>
      <c r="S733" s="47"/>
      <c r="T733" s="47" t="s">
        <v>931</v>
      </c>
      <c r="U733" s="47" t="s">
        <v>931</v>
      </c>
      <c r="V733" s="47" t="s">
        <v>931</v>
      </c>
      <c r="W733" s="47" t="s">
        <v>931</v>
      </c>
      <c r="X733" s="47" t="s">
        <v>932</v>
      </c>
      <c r="Y733" s="47" t="s">
        <v>372</v>
      </c>
      <c r="Z733" s="47" t="s">
        <v>3213</v>
      </c>
      <c r="AA733" s="47" t="s">
        <v>3214</v>
      </c>
      <c r="AB733" s="47" t="s">
        <v>931</v>
      </c>
      <c r="AC733" s="47" t="s">
        <v>515</v>
      </c>
      <c r="AD733" s="47" t="s">
        <v>936</v>
      </c>
      <c r="AE733" s="47" t="s">
        <v>937</v>
      </c>
      <c r="AF733" s="47" t="s">
        <v>931</v>
      </c>
      <c r="AG733" s="47" t="s">
        <v>931</v>
      </c>
      <c r="AH733" s="47" t="s">
        <v>931</v>
      </c>
      <c r="AI733" s="47" t="s">
        <v>931</v>
      </c>
      <c r="AJ733" s="47" t="s">
        <v>931</v>
      </c>
      <c r="AK733" s="47" t="s">
        <v>930</v>
      </c>
      <c r="AL733" s="47" t="s">
        <v>931</v>
      </c>
      <c r="AM733" s="47" t="s">
        <v>931</v>
      </c>
      <c r="AN733" s="37"/>
    </row>
    <row r="734" spans="1:40" hidden="1">
      <c r="A734" s="47" t="s">
        <v>982</v>
      </c>
      <c r="B734" s="47" t="s">
        <v>919</v>
      </c>
      <c r="C734" s="47" t="s">
        <v>5201</v>
      </c>
      <c r="D734" s="47" t="e">
        <f t="shared" si="18"/>
        <v>#VALUE!</v>
      </c>
      <c r="E734" s="47" t="s">
        <v>5202</v>
      </c>
      <c r="F734" s="47" t="s">
        <v>5203</v>
      </c>
      <c r="G734" s="47" t="s">
        <v>843</v>
      </c>
      <c r="H734" s="47" t="s">
        <v>969</v>
      </c>
      <c r="I734" s="47" t="s">
        <v>925</v>
      </c>
      <c r="J734" s="47" t="s">
        <v>926</v>
      </c>
      <c r="K734" s="47" t="s">
        <v>163</v>
      </c>
      <c r="L734" s="47" t="s">
        <v>928</v>
      </c>
      <c r="M734" s="47" t="s">
        <v>928</v>
      </c>
      <c r="N734" s="47" t="s">
        <v>946</v>
      </c>
      <c r="O734" s="47" t="s">
        <v>930</v>
      </c>
      <c r="P734" s="47" t="s">
        <v>930</v>
      </c>
      <c r="Q734" s="47"/>
      <c r="R734" s="47"/>
      <c r="S734" s="47"/>
      <c r="T734" s="47" t="s">
        <v>931</v>
      </c>
      <c r="U734" s="47" t="s">
        <v>931</v>
      </c>
      <c r="V734" s="47" t="s">
        <v>931</v>
      </c>
      <c r="W734" s="47" t="s">
        <v>931</v>
      </c>
      <c r="X734" s="47" t="s">
        <v>932</v>
      </c>
      <c r="Y734" s="47" t="s">
        <v>843</v>
      </c>
      <c r="Z734" s="47" t="s">
        <v>4048</v>
      </c>
      <c r="AA734" s="47" t="s">
        <v>4049</v>
      </c>
      <c r="AB734" s="47" t="s">
        <v>931</v>
      </c>
      <c r="AC734" s="47" t="s">
        <v>5204</v>
      </c>
      <c r="AD734" s="47" t="s">
        <v>936</v>
      </c>
      <c r="AE734" s="47" t="s">
        <v>937</v>
      </c>
      <c r="AF734" s="47" t="s">
        <v>931</v>
      </c>
      <c r="AG734" s="47" t="s">
        <v>931</v>
      </c>
      <c r="AH734" s="47" t="s">
        <v>931</v>
      </c>
      <c r="AI734" s="47" t="s">
        <v>931</v>
      </c>
      <c r="AJ734" s="47" t="s">
        <v>931</v>
      </c>
      <c r="AK734" s="47" t="s">
        <v>930</v>
      </c>
      <c r="AL734" s="47" t="s">
        <v>931</v>
      </c>
      <c r="AM734" s="47" t="s">
        <v>931</v>
      </c>
      <c r="AN734" s="37"/>
    </row>
    <row r="735" spans="1:40" hidden="1">
      <c r="A735" s="47" t="s">
        <v>982</v>
      </c>
      <c r="B735" s="47" t="s">
        <v>919</v>
      </c>
      <c r="C735" s="47" t="s">
        <v>5205</v>
      </c>
      <c r="D735" s="47" t="e">
        <f t="shared" si="18"/>
        <v>#VALUE!</v>
      </c>
      <c r="E735" s="47" t="s">
        <v>5206</v>
      </c>
      <c r="F735" s="47" t="s">
        <v>5207</v>
      </c>
      <c r="G735" s="47" t="s">
        <v>438</v>
      </c>
      <c r="H735" s="47" t="s">
        <v>969</v>
      </c>
      <c r="I735" s="47" t="s">
        <v>925</v>
      </c>
      <c r="J735" s="47" t="s">
        <v>926</v>
      </c>
      <c r="K735" s="47" t="s">
        <v>163</v>
      </c>
      <c r="L735" s="47" t="s">
        <v>945</v>
      </c>
      <c r="M735" s="47" t="s">
        <v>928</v>
      </c>
      <c r="N735" s="47" t="s">
        <v>946</v>
      </c>
      <c r="O735" s="47" t="s">
        <v>930</v>
      </c>
      <c r="P735" s="47" t="s">
        <v>930</v>
      </c>
      <c r="Q735" s="47"/>
      <c r="R735" s="47"/>
      <c r="S735" s="47"/>
      <c r="T735" s="47" t="s">
        <v>931</v>
      </c>
      <c r="U735" s="47" t="s">
        <v>931</v>
      </c>
      <c r="V735" s="47" t="s">
        <v>931</v>
      </c>
      <c r="W735" s="47" t="s">
        <v>931</v>
      </c>
      <c r="X735" s="47" t="s">
        <v>932</v>
      </c>
      <c r="Y735" s="47" t="s">
        <v>438</v>
      </c>
      <c r="Z735" s="47" t="s">
        <v>3765</v>
      </c>
      <c r="AA735" s="47" t="s">
        <v>3766</v>
      </c>
      <c r="AB735" s="47" t="s">
        <v>931</v>
      </c>
      <c r="AC735" s="47" t="s">
        <v>437</v>
      </c>
      <c r="AD735" s="47" t="s">
        <v>936</v>
      </c>
      <c r="AE735" s="47" t="s">
        <v>937</v>
      </c>
      <c r="AF735" s="47" t="s">
        <v>931</v>
      </c>
      <c r="AG735" s="47" t="s">
        <v>931</v>
      </c>
      <c r="AH735" s="47" t="s">
        <v>931</v>
      </c>
      <c r="AI735" s="47" t="s">
        <v>931</v>
      </c>
      <c r="AJ735" s="47" t="s">
        <v>931</v>
      </c>
      <c r="AK735" s="47" t="s">
        <v>930</v>
      </c>
      <c r="AL735" s="47" t="s">
        <v>931</v>
      </c>
      <c r="AM735" s="47" t="s">
        <v>931</v>
      </c>
      <c r="AN735" s="37"/>
    </row>
    <row r="736" spans="1:40" hidden="1">
      <c r="A736" s="47" t="s">
        <v>982</v>
      </c>
      <c r="B736" s="47" t="s">
        <v>919</v>
      </c>
      <c r="C736" s="47" t="s">
        <v>5208</v>
      </c>
      <c r="D736" s="47" t="e">
        <f t="shared" si="18"/>
        <v>#VALUE!</v>
      </c>
      <c r="E736" s="47" t="s">
        <v>5209</v>
      </c>
      <c r="F736" s="47" t="s">
        <v>5210</v>
      </c>
      <c r="G736" s="47" t="s">
        <v>5211</v>
      </c>
      <c r="H736" s="47" t="s">
        <v>969</v>
      </c>
      <c r="I736" s="47" t="s">
        <v>925</v>
      </c>
      <c r="J736" s="47" t="s">
        <v>926</v>
      </c>
      <c r="K736" s="47" t="s">
        <v>163</v>
      </c>
      <c r="L736" s="47" t="s">
        <v>1003</v>
      </c>
      <c r="M736" s="47" t="s">
        <v>928</v>
      </c>
      <c r="N736" s="47" t="s">
        <v>946</v>
      </c>
      <c r="O736" s="47" t="s">
        <v>930</v>
      </c>
      <c r="P736" s="47" t="s">
        <v>930</v>
      </c>
      <c r="Q736" s="47"/>
      <c r="R736" s="47"/>
      <c r="S736" s="47"/>
      <c r="T736" s="47" t="s">
        <v>931</v>
      </c>
      <c r="U736" s="47" t="s">
        <v>931</v>
      </c>
      <c r="V736" s="47" t="s">
        <v>931</v>
      </c>
      <c r="W736" s="47" t="s">
        <v>931</v>
      </c>
      <c r="X736" s="47" t="s">
        <v>982</v>
      </c>
      <c r="Y736" s="47" t="s">
        <v>5211</v>
      </c>
      <c r="Z736" s="47" t="s">
        <v>5212</v>
      </c>
      <c r="AA736" s="47" t="s">
        <v>931</v>
      </c>
      <c r="AB736" s="47" t="s">
        <v>931</v>
      </c>
      <c r="AC736" s="47" t="s">
        <v>931</v>
      </c>
      <c r="AD736" s="47" t="s">
        <v>936</v>
      </c>
      <c r="AE736" s="47" t="s">
        <v>937</v>
      </c>
      <c r="AF736" s="47" t="s">
        <v>931</v>
      </c>
      <c r="AG736" s="47" t="s">
        <v>931</v>
      </c>
      <c r="AH736" s="47" t="s">
        <v>931</v>
      </c>
      <c r="AI736" s="47" t="s">
        <v>931</v>
      </c>
      <c r="AJ736" s="47" t="s">
        <v>931</v>
      </c>
      <c r="AK736" s="47" t="s">
        <v>930</v>
      </c>
      <c r="AL736" s="47" t="s">
        <v>931</v>
      </c>
      <c r="AM736" s="47" t="s">
        <v>931</v>
      </c>
      <c r="AN736" s="37"/>
    </row>
    <row r="737" spans="1:40" hidden="1">
      <c r="A737" s="47" t="s">
        <v>982</v>
      </c>
      <c r="B737" s="47" t="s">
        <v>919</v>
      </c>
      <c r="C737" s="47" t="s">
        <v>5213</v>
      </c>
      <c r="D737" s="47" t="e">
        <f t="shared" si="18"/>
        <v>#VALUE!</v>
      </c>
      <c r="E737" s="47" t="s">
        <v>5140</v>
      </c>
      <c r="F737" s="47" t="s">
        <v>5214</v>
      </c>
      <c r="G737" s="47" t="s">
        <v>5215</v>
      </c>
      <c r="H737" s="47" t="s">
        <v>924</v>
      </c>
      <c r="I737" s="47" t="s">
        <v>925</v>
      </c>
      <c r="J737" s="47" t="s">
        <v>926</v>
      </c>
      <c r="K737" s="47" t="s">
        <v>163</v>
      </c>
      <c r="L737" s="47" t="s">
        <v>1015</v>
      </c>
      <c r="M737" s="47" t="s">
        <v>928</v>
      </c>
      <c r="N737" s="47" t="s">
        <v>946</v>
      </c>
      <c r="O737" s="47" t="s">
        <v>930</v>
      </c>
      <c r="P737" s="47" t="s">
        <v>930</v>
      </c>
      <c r="Q737" s="47"/>
      <c r="R737" s="47"/>
      <c r="S737" s="47"/>
      <c r="T737" s="47" t="s">
        <v>931</v>
      </c>
      <c r="U737" s="47" t="s">
        <v>931</v>
      </c>
      <c r="V737" s="47" t="s">
        <v>931</v>
      </c>
      <c r="W737" s="47" t="s">
        <v>931</v>
      </c>
      <c r="X737" s="47" t="s">
        <v>982</v>
      </c>
      <c r="Y737" s="47" t="s">
        <v>5215</v>
      </c>
      <c r="Z737" s="47" t="s">
        <v>5216</v>
      </c>
      <c r="AA737" s="47" t="s">
        <v>931</v>
      </c>
      <c r="AB737" s="47" t="s">
        <v>931</v>
      </c>
      <c r="AC737" s="47" t="s">
        <v>437</v>
      </c>
      <c r="AD737" s="47" t="s">
        <v>936</v>
      </c>
      <c r="AE737" s="47" t="s">
        <v>937</v>
      </c>
      <c r="AF737" s="47" t="s">
        <v>931</v>
      </c>
      <c r="AG737" s="47" t="s">
        <v>931</v>
      </c>
      <c r="AH737" s="47" t="s">
        <v>998</v>
      </c>
      <c r="AI737" s="47" t="s">
        <v>931</v>
      </c>
      <c r="AJ737" s="47" t="s">
        <v>931</v>
      </c>
      <c r="AK737" s="47" t="s">
        <v>930</v>
      </c>
      <c r="AL737" s="47" t="s">
        <v>931</v>
      </c>
      <c r="AM737" s="47" t="s">
        <v>931</v>
      </c>
      <c r="AN737" s="37"/>
    </row>
    <row r="738" spans="1:40" hidden="1">
      <c r="A738" s="47" t="s">
        <v>982</v>
      </c>
      <c r="B738" s="47" t="s">
        <v>919</v>
      </c>
      <c r="C738" s="47" t="s">
        <v>5217</v>
      </c>
      <c r="D738" s="47" t="e">
        <f t="shared" si="18"/>
        <v>#VALUE!</v>
      </c>
      <c r="E738" s="47" t="s">
        <v>3850</v>
      </c>
      <c r="F738" s="47" t="s">
        <v>3851</v>
      </c>
      <c r="G738" s="47" t="s">
        <v>386</v>
      </c>
      <c r="H738" s="47" t="s">
        <v>969</v>
      </c>
      <c r="I738" s="47" t="s">
        <v>925</v>
      </c>
      <c r="J738" s="47" t="s">
        <v>926</v>
      </c>
      <c r="K738" s="47" t="s">
        <v>163</v>
      </c>
      <c r="L738" s="47" t="s">
        <v>1309</v>
      </c>
      <c r="M738" s="47" t="s">
        <v>928</v>
      </c>
      <c r="N738" s="47" t="s">
        <v>929</v>
      </c>
      <c r="O738" s="47" t="s">
        <v>930</v>
      </c>
      <c r="P738" s="47" t="s">
        <v>930</v>
      </c>
      <c r="Q738" s="47"/>
      <c r="R738" s="47"/>
      <c r="S738" s="47"/>
      <c r="T738" s="47" t="s">
        <v>931</v>
      </c>
      <c r="U738" s="47" t="s">
        <v>931</v>
      </c>
      <c r="V738" s="47" t="s">
        <v>931</v>
      </c>
      <c r="W738" s="47" t="s">
        <v>931</v>
      </c>
      <c r="X738" s="47" t="s">
        <v>932</v>
      </c>
      <c r="Y738" s="47" t="s">
        <v>386</v>
      </c>
      <c r="Z738" s="47" t="s">
        <v>1047</v>
      </c>
      <c r="AA738" s="47" t="s">
        <v>1048</v>
      </c>
      <c r="AB738" s="47" t="s">
        <v>931</v>
      </c>
      <c r="AC738" s="47" t="s">
        <v>414</v>
      </c>
      <c r="AD738" s="47" t="s">
        <v>936</v>
      </c>
      <c r="AE738" s="47" t="s">
        <v>937</v>
      </c>
      <c r="AF738" s="47" t="s">
        <v>931</v>
      </c>
      <c r="AG738" s="47" t="s">
        <v>931</v>
      </c>
      <c r="AH738" s="47" t="s">
        <v>931</v>
      </c>
      <c r="AI738" s="47" t="s">
        <v>931</v>
      </c>
      <c r="AJ738" s="47" t="s">
        <v>931</v>
      </c>
      <c r="AK738" s="47" t="s">
        <v>930</v>
      </c>
      <c r="AL738" s="47" t="s">
        <v>931</v>
      </c>
      <c r="AM738" s="47" t="s">
        <v>931</v>
      </c>
      <c r="AN738" s="37"/>
    </row>
    <row r="739" spans="1:40" hidden="1">
      <c r="A739" s="47" t="s">
        <v>982</v>
      </c>
      <c r="B739" s="47" t="s">
        <v>919</v>
      </c>
      <c r="C739" s="47" t="s">
        <v>5218</v>
      </c>
      <c r="D739" s="47" t="e">
        <f t="shared" si="18"/>
        <v>#VALUE!</v>
      </c>
      <c r="E739" s="47" t="s">
        <v>92</v>
      </c>
      <c r="F739" s="47" t="s">
        <v>298</v>
      </c>
      <c r="G739" s="47" t="s">
        <v>359</v>
      </c>
      <c r="H739" s="47" t="s">
        <v>1287</v>
      </c>
      <c r="I739" s="47" t="s">
        <v>925</v>
      </c>
      <c r="J739" s="47" t="s">
        <v>926</v>
      </c>
      <c r="K739" s="47" t="s">
        <v>163</v>
      </c>
      <c r="L739" s="47" t="s">
        <v>956</v>
      </c>
      <c r="M739" s="47" t="s">
        <v>928</v>
      </c>
      <c r="N739" s="47" t="s">
        <v>946</v>
      </c>
      <c r="O739" s="47" t="s">
        <v>930</v>
      </c>
      <c r="P739" s="47" t="s">
        <v>930</v>
      </c>
      <c r="Q739" s="47"/>
      <c r="R739" s="47"/>
      <c r="S739" s="47"/>
      <c r="T739" s="47" t="s">
        <v>931</v>
      </c>
      <c r="U739" s="47" t="s">
        <v>931</v>
      </c>
      <c r="V739" s="47" t="s">
        <v>931</v>
      </c>
      <c r="W739" s="47" t="s">
        <v>931</v>
      </c>
      <c r="X739" s="47" t="s">
        <v>995</v>
      </c>
      <c r="Y739" s="47" t="s">
        <v>359</v>
      </c>
      <c r="Z739" s="47" t="s">
        <v>3965</v>
      </c>
      <c r="AA739" s="47" t="s">
        <v>3966</v>
      </c>
      <c r="AB739" s="47" t="s">
        <v>931</v>
      </c>
      <c r="AC739" s="47" t="s">
        <v>379</v>
      </c>
      <c r="AD739" s="47" t="s">
        <v>936</v>
      </c>
      <c r="AE739" s="47" t="s">
        <v>937</v>
      </c>
      <c r="AF739" s="47" t="s">
        <v>931</v>
      </c>
      <c r="AG739" s="47" t="s">
        <v>931</v>
      </c>
      <c r="AH739" s="47" t="s">
        <v>931</v>
      </c>
      <c r="AI739" s="47" t="s">
        <v>931</v>
      </c>
      <c r="AJ739" s="47" t="s">
        <v>931</v>
      </c>
      <c r="AK739" s="47" t="s">
        <v>930</v>
      </c>
      <c r="AL739" s="47" t="s">
        <v>931</v>
      </c>
      <c r="AM739" s="47" t="s">
        <v>931</v>
      </c>
      <c r="AN739" s="37"/>
    </row>
    <row r="740" spans="1:40" hidden="1">
      <c r="A740" s="47" t="s">
        <v>982</v>
      </c>
      <c r="B740" s="47" t="s">
        <v>919</v>
      </c>
      <c r="C740" s="47" t="s">
        <v>5219</v>
      </c>
      <c r="D740" s="47" t="e">
        <f t="shared" si="18"/>
        <v>#VALUE!</v>
      </c>
      <c r="E740" s="47" t="s">
        <v>295</v>
      </c>
      <c r="F740" s="47" t="s">
        <v>296</v>
      </c>
      <c r="G740" s="47" t="s">
        <v>3859</v>
      </c>
      <c r="H740" s="47" t="s">
        <v>1100</v>
      </c>
      <c r="I740" s="47" t="s">
        <v>925</v>
      </c>
      <c r="J740" s="47" t="s">
        <v>926</v>
      </c>
      <c r="K740" s="47" t="s">
        <v>163</v>
      </c>
      <c r="L740" s="47" t="s">
        <v>2831</v>
      </c>
      <c r="M740" s="47" t="s">
        <v>928</v>
      </c>
      <c r="N740" s="47" t="s">
        <v>5101</v>
      </c>
      <c r="O740" s="47" t="s">
        <v>930</v>
      </c>
      <c r="P740" s="47" t="s">
        <v>930</v>
      </c>
      <c r="Q740" s="47"/>
      <c r="R740" s="47"/>
      <c r="S740" s="47"/>
      <c r="T740" s="47" t="s">
        <v>931</v>
      </c>
      <c r="U740" s="47" t="s">
        <v>931</v>
      </c>
      <c r="V740" s="47" t="s">
        <v>931</v>
      </c>
      <c r="W740" s="47" t="s">
        <v>931</v>
      </c>
      <c r="X740" s="47" t="s">
        <v>995</v>
      </c>
      <c r="Y740" s="47" t="s">
        <v>3859</v>
      </c>
      <c r="Z740" s="47" t="s">
        <v>3863</v>
      </c>
      <c r="AA740" s="47" t="s">
        <v>3864</v>
      </c>
      <c r="AB740" s="47" t="s">
        <v>931</v>
      </c>
      <c r="AC740" s="47" t="s">
        <v>435</v>
      </c>
      <c r="AD740" s="47" t="s">
        <v>936</v>
      </c>
      <c r="AE740" s="47" t="s">
        <v>937</v>
      </c>
      <c r="AF740" s="47" t="s">
        <v>931</v>
      </c>
      <c r="AG740" s="47" t="s">
        <v>931</v>
      </c>
      <c r="AH740" s="47" t="s">
        <v>931</v>
      </c>
      <c r="AI740" s="47" t="s">
        <v>931</v>
      </c>
      <c r="AJ740" s="47" t="s">
        <v>931</v>
      </c>
      <c r="AK740" s="47" t="s">
        <v>930</v>
      </c>
      <c r="AL740" s="47" t="s">
        <v>931</v>
      </c>
      <c r="AM740" s="47" t="s">
        <v>931</v>
      </c>
      <c r="AN740" s="37"/>
    </row>
    <row r="741" spans="1:40" hidden="1">
      <c r="A741" s="47" t="s">
        <v>982</v>
      </c>
      <c r="B741" s="47" t="s">
        <v>919</v>
      </c>
      <c r="C741" s="47" t="s">
        <v>5220</v>
      </c>
      <c r="D741" s="47">
        <f t="shared" si="18"/>
        <v>162320</v>
      </c>
      <c r="E741" s="47" t="s">
        <v>295</v>
      </c>
      <c r="F741" s="47" t="s">
        <v>296</v>
      </c>
      <c r="G741" s="47" t="s">
        <v>3859</v>
      </c>
      <c r="H741" s="47" t="s">
        <v>1100</v>
      </c>
      <c r="I741" s="47" t="s">
        <v>5221</v>
      </c>
      <c r="J741" s="47" t="s">
        <v>1024</v>
      </c>
      <c r="K741" s="47" t="s">
        <v>163</v>
      </c>
      <c r="L741" s="47" t="s">
        <v>1118</v>
      </c>
      <c r="M741" s="47" t="s">
        <v>2725</v>
      </c>
      <c r="N741" s="47" t="s">
        <v>946</v>
      </c>
      <c r="O741" s="47" t="s">
        <v>930</v>
      </c>
      <c r="P741" s="47" t="s">
        <v>930</v>
      </c>
      <c r="Q741" s="47"/>
      <c r="R741" s="47"/>
      <c r="S741" s="47"/>
      <c r="T741" s="47" t="s">
        <v>5222</v>
      </c>
      <c r="U741" s="47" t="s">
        <v>5223</v>
      </c>
      <c r="V741" s="47" t="s">
        <v>3855</v>
      </c>
      <c r="W741" s="47" t="s">
        <v>931</v>
      </c>
      <c r="X741" s="47" t="s">
        <v>995</v>
      </c>
      <c r="Y741" s="47" t="s">
        <v>3859</v>
      </c>
      <c r="Z741" s="47" t="s">
        <v>3863</v>
      </c>
      <c r="AA741" s="47" t="s">
        <v>3864</v>
      </c>
      <c r="AB741" s="47" t="s">
        <v>931</v>
      </c>
      <c r="AC741" s="47" t="s">
        <v>435</v>
      </c>
      <c r="AD741" s="47" t="s">
        <v>991</v>
      </c>
      <c r="AE741" s="47" t="s">
        <v>937</v>
      </c>
      <c r="AF741" s="47" t="s">
        <v>931</v>
      </c>
      <c r="AG741" s="47" t="s">
        <v>931</v>
      </c>
      <c r="AH741" s="47" t="s">
        <v>364</v>
      </c>
      <c r="AI741" s="47" t="s">
        <v>931</v>
      </c>
      <c r="AJ741" s="47" t="s">
        <v>365</v>
      </c>
      <c r="AK741" s="47" t="s">
        <v>930</v>
      </c>
      <c r="AL741" s="47" t="s">
        <v>931</v>
      </c>
      <c r="AM741" s="47" t="s">
        <v>931</v>
      </c>
      <c r="AN741" s="37"/>
    </row>
    <row r="742" spans="1:40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</row>
  </sheetData>
  <autoFilter ref="A1:AN741" xr:uid="{53F1AF3A-CAE8-4AAB-B55D-35F4780B0F7B}">
    <filterColumn colId="5">
      <filters>
        <filter val="Tin học đại cương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3BA8-1238-41DE-8EE7-A87BD21E387B}">
  <sheetPr filterMode="1"/>
  <dimension ref="A1:AB287"/>
  <sheetViews>
    <sheetView topLeftCell="N175" workbookViewId="0">
      <selection activeCell="O295" sqref="O295"/>
    </sheetView>
  </sheetViews>
  <sheetFormatPr defaultColWidth="8.85546875" defaultRowHeight="12.75"/>
  <cols>
    <col min="4" max="4" width="22.42578125" customWidth="1"/>
    <col min="21" max="21" width="12" customWidth="1"/>
    <col min="23" max="23" width="22" customWidth="1"/>
    <col min="24" max="24" width="30.28515625" customWidth="1"/>
  </cols>
  <sheetData>
    <row r="1" spans="1:26" ht="15">
      <c r="A1" s="13" t="s">
        <v>539</v>
      </c>
      <c r="B1" s="13" t="s">
        <v>540</v>
      </c>
      <c r="C1" s="13" t="s">
        <v>541</v>
      </c>
      <c r="D1" s="14" t="s">
        <v>147</v>
      </c>
      <c r="E1" s="14" t="s">
        <v>148</v>
      </c>
      <c r="F1" s="15" t="s">
        <v>542</v>
      </c>
      <c r="G1" s="16" t="s">
        <v>149</v>
      </c>
      <c r="H1" s="15" t="s">
        <v>543</v>
      </c>
      <c r="I1" s="15" t="s">
        <v>544</v>
      </c>
      <c r="J1" s="17" t="s">
        <v>545</v>
      </c>
      <c r="K1" s="15" t="s">
        <v>154</v>
      </c>
      <c r="L1" s="15" t="s">
        <v>9</v>
      </c>
      <c r="M1" s="15" t="s">
        <v>546</v>
      </c>
      <c r="N1" s="15" t="s">
        <v>547</v>
      </c>
      <c r="O1" s="15" t="s">
        <v>548</v>
      </c>
      <c r="P1" s="15" t="s">
        <v>549</v>
      </c>
      <c r="Q1" s="15" t="s">
        <v>550</v>
      </c>
      <c r="R1" s="15" t="s">
        <v>551</v>
      </c>
      <c r="S1" s="13" t="s">
        <v>552</v>
      </c>
      <c r="T1" s="13" t="s">
        <v>144</v>
      </c>
      <c r="U1" s="15" t="s">
        <v>553</v>
      </c>
      <c r="V1" s="15" t="s">
        <v>554</v>
      </c>
      <c r="W1" s="13" t="s">
        <v>158</v>
      </c>
      <c r="X1" s="13" t="s">
        <v>5224</v>
      </c>
      <c r="Y1" s="15" t="s">
        <v>5225</v>
      </c>
      <c r="Z1" s="13" t="s">
        <v>5226</v>
      </c>
    </row>
    <row r="2" spans="1:26" hidden="1">
      <c r="A2" s="18">
        <v>161250</v>
      </c>
      <c r="B2" s="18">
        <v>161250</v>
      </c>
      <c r="C2" s="18" t="s">
        <v>314</v>
      </c>
      <c r="D2" s="19" t="s">
        <v>315</v>
      </c>
      <c r="E2" s="19" t="s">
        <v>356</v>
      </c>
      <c r="F2" s="20">
        <v>130</v>
      </c>
      <c r="G2" s="21" t="s">
        <v>193</v>
      </c>
      <c r="H2" s="21" t="s">
        <v>164</v>
      </c>
      <c r="I2" s="21" t="s">
        <v>238</v>
      </c>
      <c r="J2" s="22">
        <v>46052</v>
      </c>
      <c r="K2" s="21" t="s">
        <v>14</v>
      </c>
      <c r="L2" s="21" t="s">
        <v>358</v>
      </c>
      <c r="M2" s="20">
        <v>670</v>
      </c>
      <c r="N2" s="20">
        <v>43</v>
      </c>
      <c r="O2" s="20" t="s">
        <v>163</v>
      </c>
      <c r="P2" s="20">
        <v>674</v>
      </c>
      <c r="Q2" s="20" t="s">
        <v>360</v>
      </c>
      <c r="R2" s="20" t="s">
        <v>361</v>
      </c>
      <c r="S2" s="18" t="s">
        <v>362</v>
      </c>
      <c r="T2" s="18">
        <v>190467</v>
      </c>
      <c r="U2" s="20" t="s">
        <v>363</v>
      </c>
      <c r="V2" s="20">
        <v>67</v>
      </c>
      <c r="W2" s="18" t="s">
        <v>359</v>
      </c>
      <c r="X2" s="18" t="s">
        <v>364</v>
      </c>
      <c r="Y2" s="20" t="s">
        <v>365</v>
      </c>
      <c r="Z2" s="18" t="s">
        <v>359</v>
      </c>
    </row>
    <row r="3" spans="1:26" hidden="1">
      <c r="A3" s="18">
        <v>161250</v>
      </c>
      <c r="B3" s="18">
        <v>161250</v>
      </c>
      <c r="C3" s="18" t="s">
        <v>314</v>
      </c>
      <c r="D3" s="19" t="s">
        <v>315</v>
      </c>
      <c r="E3" s="19" t="s">
        <v>356</v>
      </c>
      <c r="F3" s="20">
        <v>131</v>
      </c>
      <c r="G3" s="21" t="s">
        <v>196</v>
      </c>
      <c r="H3" s="21" t="s">
        <v>164</v>
      </c>
      <c r="I3" s="21" t="s">
        <v>238</v>
      </c>
      <c r="J3" s="22">
        <v>46052</v>
      </c>
      <c r="K3" s="21" t="s">
        <v>14</v>
      </c>
      <c r="L3" s="21" t="s">
        <v>358</v>
      </c>
      <c r="M3" s="20">
        <v>670</v>
      </c>
      <c r="N3" s="20">
        <v>42</v>
      </c>
      <c r="O3" s="20" t="s">
        <v>163</v>
      </c>
      <c r="P3" s="20">
        <v>674</v>
      </c>
      <c r="Q3" s="20" t="s">
        <v>360</v>
      </c>
      <c r="R3" s="20" t="s">
        <v>361</v>
      </c>
      <c r="S3" s="18" t="s">
        <v>362</v>
      </c>
      <c r="T3" s="18">
        <v>190468</v>
      </c>
      <c r="U3" s="20" t="s">
        <v>363</v>
      </c>
      <c r="V3" s="20">
        <v>67</v>
      </c>
      <c r="W3" s="18" t="s">
        <v>359</v>
      </c>
      <c r="X3" s="18" t="s">
        <v>364</v>
      </c>
      <c r="Y3" s="20" t="s">
        <v>365</v>
      </c>
      <c r="Z3" s="18" t="s">
        <v>359</v>
      </c>
    </row>
    <row r="4" spans="1:26">
      <c r="A4" s="18">
        <v>161251</v>
      </c>
      <c r="B4" s="18">
        <v>161251</v>
      </c>
      <c r="C4" s="18" t="s">
        <v>330</v>
      </c>
      <c r="D4" s="19" t="s">
        <v>331</v>
      </c>
      <c r="E4" s="19" t="s">
        <v>366</v>
      </c>
      <c r="F4" s="20">
        <v>131</v>
      </c>
      <c r="G4" s="21" t="s">
        <v>196</v>
      </c>
      <c r="H4" s="21" t="s">
        <v>194</v>
      </c>
      <c r="I4" s="21" t="s">
        <v>165</v>
      </c>
      <c r="J4" s="22">
        <v>46055</v>
      </c>
      <c r="K4" s="21" t="s">
        <v>367</v>
      </c>
      <c r="L4" s="21" t="s">
        <v>358</v>
      </c>
      <c r="M4" s="20">
        <v>670</v>
      </c>
      <c r="N4" s="20">
        <v>51</v>
      </c>
      <c r="O4" s="20" t="s">
        <v>163</v>
      </c>
      <c r="P4" s="20">
        <v>674</v>
      </c>
      <c r="Q4" s="20" t="s">
        <v>360</v>
      </c>
      <c r="R4" s="20" t="s">
        <v>361</v>
      </c>
      <c r="S4" s="18" t="s">
        <v>362</v>
      </c>
      <c r="T4" s="18">
        <v>190489</v>
      </c>
      <c r="U4" s="20" t="s">
        <v>363</v>
      </c>
      <c r="V4" s="20">
        <v>67</v>
      </c>
      <c r="W4" s="18" t="s">
        <v>368</v>
      </c>
      <c r="X4" s="18" t="s">
        <v>364</v>
      </c>
      <c r="Y4" s="20" t="s">
        <v>365</v>
      </c>
      <c r="Z4" s="18" t="s">
        <v>37</v>
      </c>
    </row>
    <row r="5" spans="1:26">
      <c r="A5" s="18">
        <v>161251</v>
      </c>
      <c r="B5" s="18">
        <v>161251</v>
      </c>
      <c r="C5" s="18" t="s">
        <v>330</v>
      </c>
      <c r="D5" s="19" t="s">
        <v>331</v>
      </c>
      <c r="E5" s="19" t="s">
        <v>366</v>
      </c>
      <c r="F5" s="20">
        <v>132</v>
      </c>
      <c r="G5" s="21" t="s">
        <v>197</v>
      </c>
      <c r="H5" s="21" t="s">
        <v>194</v>
      </c>
      <c r="I5" s="21" t="s">
        <v>165</v>
      </c>
      <c r="J5" s="22">
        <v>46055</v>
      </c>
      <c r="K5" s="21" t="s">
        <v>367</v>
      </c>
      <c r="L5" s="21" t="s">
        <v>358</v>
      </c>
      <c r="M5" s="20">
        <v>670</v>
      </c>
      <c r="N5" s="20">
        <v>51</v>
      </c>
      <c r="O5" s="20" t="s">
        <v>163</v>
      </c>
      <c r="P5" s="20">
        <v>674</v>
      </c>
      <c r="Q5" s="20" t="s">
        <v>360</v>
      </c>
      <c r="R5" s="20" t="s">
        <v>361</v>
      </c>
      <c r="S5" s="18" t="s">
        <v>362</v>
      </c>
      <c r="T5" s="18">
        <v>190490</v>
      </c>
      <c r="U5" s="20" t="s">
        <v>363</v>
      </c>
      <c r="V5" s="20">
        <v>67</v>
      </c>
      <c r="W5" s="18" t="s">
        <v>368</v>
      </c>
      <c r="X5" s="18" t="s">
        <v>364</v>
      </c>
      <c r="Y5" s="20" t="s">
        <v>365</v>
      </c>
      <c r="Z5" s="18" t="s">
        <v>37</v>
      </c>
    </row>
    <row r="6" spans="1:26">
      <c r="A6" s="18">
        <v>161251</v>
      </c>
      <c r="B6" s="18">
        <v>161251</v>
      </c>
      <c r="C6" s="18" t="s">
        <v>330</v>
      </c>
      <c r="D6" s="19" t="s">
        <v>331</v>
      </c>
      <c r="E6" s="19" t="s">
        <v>366</v>
      </c>
      <c r="F6" s="20">
        <v>130</v>
      </c>
      <c r="G6" s="21" t="s">
        <v>193</v>
      </c>
      <c r="H6" s="21" t="s">
        <v>194</v>
      </c>
      <c r="I6" s="21" t="s">
        <v>165</v>
      </c>
      <c r="J6" s="22">
        <v>46055</v>
      </c>
      <c r="K6" s="21" t="s">
        <v>367</v>
      </c>
      <c r="L6" s="21" t="s">
        <v>358</v>
      </c>
      <c r="M6" s="20">
        <v>670</v>
      </c>
      <c r="N6" s="20">
        <v>52</v>
      </c>
      <c r="O6" s="20" t="s">
        <v>163</v>
      </c>
      <c r="P6" s="20">
        <v>674</v>
      </c>
      <c r="Q6" s="20" t="s">
        <v>360</v>
      </c>
      <c r="R6" s="20" t="s">
        <v>361</v>
      </c>
      <c r="S6" s="18" t="s">
        <v>362</v>
      </c>
      <c r="T6" s="18">
        <v>190491</v>
      </c>
      <c r="U6" s="20" t="s">
        <v>363</v>
      </c>
      <c r="V6" s="20">
        <v>67</v>
      </c>
      <c r="W6" s="18" t="s">
        <v>368</v>
      </c>
      <c r="X6" s="18" t="s">
        <v>364</v>
      </c>
      <c r="Y6" s="20" t="s">
        <v>365</v>
      </c>
      <c r="Z6" s="18" t="s">
        <v>37</v>
      </c>
    </row>
    <row r="7" spans="1:26">
      <c r="A7" s="18">
        <v>161252</v>
      </c>
      <c r="B7" s="18">
        <v>161252</v>
      </c>
      <c r="C7" s="18" t="s">
        <v>330</v>
      </c>
      <c r="D7" s="19" t="s">
        <v>331</v>
      </c>
      <c r="E7" s="19" t="s">
        <v>369</v>
      </c>
      <c r="F7" s="20">
        <v>130</v>
      </c>
      <c r="G7" s="21" t="s">
        <v>193</v>
      </c>
      <c r="H7" s="21" t="s">
        <v>194</v>
      </c>
      <c r="I7" s="21" t="s">
        <v>165</v>
      </c>
      <c r="J7" s="22">
        <v>46055</v>
      </c>
      <c r="K7" s="21" t="s">
        <v>367</v>
      </c>
      <c r="L7" s="21" t="s">
        <v>358</v>
      </c>
      <c r="M7" s="20">
        <v>670</v>
      </c>
      <c r="N7" s="20">
        <v>47</v>
      </c>
      <c r="O7" s="20" t="s">
        <v>163</v>
      </c>
      <c r="P7" s="20">
        <v>674</v>
      </c>
      <c r="Q7" s="20" t="s">
        <v>360</v>
      </c>
      <c r="R7" s="20" t="s">
        <v>361</v>
      </c>
      <c r="S7" s="18" t="s">
        <v>362</v>
      </c>
      <c r="T7" s="18">
        <v>190493</v>
      </c>
      <c r="U7" s="20" t="s">
        <v>363</v>
      </c>
      <c r="V7" s="20">
        <v>67</v>
      </c>
      <c r="W7" s="18" t="s">
        <v>370</v>
      </c>
      <c r="X7" s="18" t="s">
        <v>364</v>
      </c>
      <c r="Y7" s="20" t="s">
        <v>365</v>
      </c>
      <c r="Z7" s="18" t="s">
        <v>37</v>
      </c>
    </row>
    <row r="8" spans="1:26">
      <c r="A8" s="18">
        <v>161252</v>
      </c>
      <c r="B8" s="18">
        <v>161252</v>
      </c>
      <c r="C8" s="18" t="s">
        <v>330</v>
      </c>
      <c r="D8" s="19" t="s">
        <v>331</v>
      </c>
      <c r="E8" s="19" t="s">
        <v>369</v>
      </c>
      <c r="F8" s="20">
        <v>131</v>
      </c>
      <c r="G8" s="21" t="s">
        <v>196</v>
      </c>
      <c r="H8" s="21" t="s">
        <v>194</v>
      </c>
      <c r="I8" s="21" t="s">
        <v>165</v>
      </c>
      <c r="J8" s="22">
        <v>46055</v>
      </c>
      <c r="K8" s="21" t="s">
        <v>367</v>
      </c>
      <c r="L8" s="21" t="s">
        <v>358</v>
      </c>
      <c r="M8" s="20">
        <v>670</v>
      </c>
      <c r="N8" s="20">
        <v>47</v>
      </c>
      <c r="O8" s="20" t="s">
        <v>163</v>
      </c>
      <c r="P8" s="20">
        <v>674</v>
      </c>
      <c r="Q8" s="20" t="s">
        <v>360</v>
      </c>
      <c r="R8" s="20" t="s">
        <v>361</v>
      </c>
      <c r="S8" s="18" t="s">
        <v>362</v>
      </c>
      <c r="T8" s="18">
        <v>190492</v>
      </c>
      <c r="U8" s="20" t="s">
        <v>363</v>
      </c>
      <c r="V8" s="20">
        <v>67</v>
      </c>
      <c r="W8" s="18" t="s">
        <v>370</v>
      </c>
      <c r="X8" s="18" t="s">
        <v>364</v>
      </c>
      <c r="Y8" s="20" t="s">
        <v>365</v>
      </c>
      <c r="Z8" s="18" t="s">
        <v>37</v>
      </c>
    </row>
    <row r="9" spans="1:26">
      <c r="A9" s="18">
        <v>161252</v>
      </c>
      <c r="B9" s="18">
        <v>161252</v>
      </c>
      <c r="C9" s="18" t="s">
        <v>330</v>
      </c>
      <c r="D9" s="19" t="s">
        <v>331</v>
      </c>
      <c r="E9" s="19" t="s">
        <v>369</v>
      </c>
      <c r="F9" s="20">
        <v>132</v>
      </c>
      <c r="G9" s="21" t="s">
        <v>197</v>
      </c>
      <c r="H9" s="21" t="s">
        <v>194</v>
      </c>
      <c r="I9" s="21" t="s">
        <v>165</v>
      </c>
      <c r="J9" s="22">
        <v>46055</v>
      </c>
      <c r="K9" s="21" t="s">
        <v>367</v>
      </c>
      <c r="L9" s="21" t="s">
        <v>358</v>
      </c>
      <c r="M9" s="20">
        <v>670</v>
      </c>
      <c r="N9" s="20">
        <v>47</v>
      </c>
      <c r="O9" s="20" t="s">
        <v>163</v>
      </c>
      <c r="P9" s="20">
        <v>674</v>
      </c>
      <c r="Q9" s="20" t="s">
        <v>360</v>
      </c>
      <c r="R9" s="20" t="s">
        <v>361</v>
      </c>
      <c r="S9" s="18" t="s">
        <v>362</v>
      </c>
      <c r="T9" s="18">
        <v>190494</v>
      </c>
      <c r="U9" s="20" t="s">
        <v>363</v>
      </c>
      <c r="V9" s="20">
        <v>67</v>
      </c>
      <c r="W9" s="18" t="s">
        <v>370</v>
      </c>
      <c r="X9" s="18" t="s">
        <v>364</v>
      </c>
      <c r="Y9" s="20" t="s">
        <v>365</v>
      </c>
      <c r="Z9" s="18" t="s">
        <v>37</v>
      </c>
    </row>
    <row r="10" spans="1:26" hidden="1">
      <c r="A10" s="18">
        <v>161253</v>
      </c>
      <c r="B10" s="18">
        <v>161253</v>
      </c>
      <c r="C10" s="18" t="s">
        <v>272</v>
      </c>
      <c r="D10" s="19" t="s">
        <v>273</v>
      </c>
      <c r="E10" s="19" t="s">
        <v>366</v>
      </c>
      <c r="F10" s="20">
        <v>130</v>
      </c>
      <c r="G10" s="21" t="s">
        <v>193</v>
      </c>
      <c r="H10" s="21" t="s">
        <v>164</v>
      </c>
      <c r="I10" s="21" t="s">
        <v>165</v>
      </c>
      <c r="J10" s="22">
        <v>46048</v>
      </c>
      <c r="K10" s="21" t="s">
        <v>371</v>
      </c>
      <c r="L10" s="21" t="s">
        <v>358</v>
      </c>
      <c r="M10" s="20">
        <v>670</v>
      </c>
      <c r="N10" s="20">
        <v>60</v>
      </c>
      <c r="O10" s="20" t="s">
        <v>163</v>
      </c>
      <c r="P10" s="20">
        <v>674</v>
      </c>
      <c r="Q10" s="20" t="s">
        <v>360</v>
      </c>
      <c r="R10" s="20" t="s">
        <v>361</v>
      </c>
      <c r="S10" s="18" t="s">
        <v>362</v>
      </c>
      <c r="T10" s="18">
        <v>190235</v>
      </c>
      <c r="U10" s="20" t="s">
        <v>363</v>
      </c>
      <c r="V10" s="20">
        <v>67</v>
      </c>
      <c r="W10" s="18" t="s">
        <v>372</v>
      </c>
      <c r="X10" s="18" t="s">
        <v>364</v>
      </c>
      <c r="Y10" s="20" t="s">
        <v>365</v>
      </c>
      <c r="Z10" s="18" t="s">
        <v>373</v>
      </c>
    </row>
    <row r="11" spans="1:26" hidden="1">
      <c r="A11" s="18">
        <v>161253</v>
      </c>
      <c r="B11" s="18">
        <v>161253</v>
      </c>
      <c r="C11" s="18" t="s">
        <v>272</v>
      </c>
      <c r="D11" s="19" t="s">
        <v>273</v>
      </c>
      <c r="E11" s="19" t="s">
        <v>366</v>
      </c>
      <c r="F11" s="20">
        <v>131</v>
      </c>
      <c r="G11" s="21" t="s">
        <v>196</v>
      </c>
      <c r="H11" s="21" t="s">
        <v>164</v>
      </c>
      <c r="I11" s="21" t="s">
        <v>165</v>
      </c>
      <c r="J11" s="22">
        <v>46048</v>
      </c>
      <c r="K11" s="21" t="s">
        <v>371</v>
      </c>
      <c r="L11" s="21" t="s">
        <v>358</v>
      </c>
      <c r="M11" s="20">
        <v>670</v>
      </c>
      <c r="N11" s="20">
        <v>60</v>
      </c>
      <c r="O11" s="20" t="s">
        <v>163</v>
      </c>
      <c r="P11" s="20">
        <v>674</v>
      </c>
      <c r="Q11" s="20" t="s">
        <v>360</v>
      </c>
      <c r="R11" s="20" t="s">
        <v>361</v>
      </c>
      <c r="S11" s="18" t="s">
        <v>362</v>
      </c>
      <c r="T11" s="18">
        <v>190234</v>
      </c>
      <c r="U11" s="20" t="s">
        <v>363</v>
      </c>
      <c r="V11" s="20">
        <v>67</v>
      </c>
      <c r="W11" s="18" t="s">
        <v>372</v>
      </c>
      <c r="X11" s="18" t="s">
        <v>364</v>
      </c>
      <c r="Y11" s="20" t="s">
        <v>365</v>
      </c>
      <c r="Z11" s="18" t="s">
        <v>373</v>
      </c>
    </row>
    <row r="12" spans="1:26" hidden="1">
      <c r="A12" s="18">
        <v>161254</v>
      </c>
      <c r="B12" s="18">
        <v>161254</v>
      </c>
      <c r="C12" s="18" t="s">
        <v>272</v>
      </c>
      <c r="D12" s="19" t="s">
        <v>273</v>
      </c>
      <c r="E12" s="19" t="s">
        <v>369</v>
      </c>
      <c r="F12" s="20">
        <v>131</v>
      </c>
      <c r="G12" s="21" t="s">
        <v>196</v>
      </c>
      <c r="H12" s="21" t="s">
        <v>164</v>
      </c>
      <c r="I12" s="21" t="s">
        <v>165</v>
      </c>
      <c r="J12" s="22">
        <v>46048</v>
      </c>
      <c r="K12" s="21" t="s">
        <v>371</v>
      </c>
      <c r="L12" s="21" t="s">
        <v>358</v>
      </c>
      <c r="M12" s="20">
        <v>670</v>
      </c>
      <c r="N12" s="20">
        <v>65</v>
      </c>
      <c r="O12" s="20" t="s">
        <v>163</v>
      </c>
      <c r="P12" s="20">
        <v>674</v>
      </c>
      <c r="Q12" s="20" t="s">
        <v>360</v>
      </c>
      <c r="R12" s="20" t="s">
        <v>361</v>
      </c>
      <c r="S12" s="18" t="s">
        <v>362</v>
      </c>
      <c r="T12" s="18">
        <v>190237</v>
      </c>
      <c r="U12" s="20" t="s">
        <v>363</v>
      </c>
      <c r="V12" s="20">
        <v>67</v>
      </c>
      <c r="W12" s="18" t="s">
        <v>374</v>
      </c>
      <c r="X12" s="18" t="s">
        <v>364</v>
      </c>
      <c r="Y12" s="20" t="s">
        <v>365</v>
      </c>
      <c r="Z12" s="18" t="s">
        <v>373</v>
      </c>
    </row>
    <row r="13" spans="1:26" hidden="1">
      <c r="A13" s="18">
        <v>161254</v>
      </c>
      <c r="B13" s="18">
        <v>161254</v>
      </c>
      <c r="C13" s="18" t="s">
        <v>272</v>
      </c>
      <c r="D13" s="19" t="s">
        <v>273</v>
      </c>
      <c r="E13" s="19" t="s">
        <v>369</v>
      </c>
      <c r="F13" s="20">
        <v>130</v>
      </c>
      <c r="G13" s="21" t="s">
        <v>193</v>
      </c>
      <c r="H13" s="21" t="s">
        <v>164</v>
      </c>
      <c r="I13" s="21" t="s">
        <v>165</v>
      </c>
      <c r="J13" s="22">
        <v>46048</v>
      </c>
      <c r="K13" s="21" t="s">
        <v>371</v>
      </c>
      <c r="L13" s="21" t="s">
        <v>358</v>
      </c>
      <c r="M13" s="20">
        <v>670</v>
      </c>
      <c r="N13" s="20">
        <v>66</v>
      </c>
      <c r="O13" s="20" t="s">
        <v>163</v>
      </c>
      <c r="P13" s="20">
        <v>674</v>
      </c>
      <c r="Q13" s="20" t="s">
        <v>360</v>
      </c>
      <c r="R13" s="20" t="s">
        <v>361</v>
      </c>
      <c r="S13" s="18" t="s">
        <v>362</v>
      </c>
      <c r="T13" s="18">
        <v>190236</v>
      </c>
      <c r="U13" s="20" t="s">
        <v>363</v>
      </c>
      <c r="V13" s="20">
        <v>67</v>
      </c>
      <c r="W13" s="18" t="s">
        <v>374</v>
      </c>
      <c r="X13" s="18" t="s">
        <v>364</v>
      </c>
      <c r="Y13" s="20" t="s">
        <v>365</v>
      </c>
      <c r="Z13" s="18" t="s">
        <v>373</v>
      </c>
    </row>
    <row r="14" spans="1:26">
      <c r="A14" s="18">
        <v>161255</v>
      </c>
      <c r="B14" s="18">
        <v>161255</v>
      </c>
      <c r="C14" s="18" t="s">
        <v>92</v>
      </c>
      <c r="D14" s="19" t="s">
        <v>298</v>
      </c>
      <c r="E14" s="19" t="s">
        <v>375</v>
      </c>
      <c r="F14" s="20">
        <v>130</v>
      </c>
      <c r="G14" s="21" t="s">
        <v>193</v>
      </c>
      <c r="H14" s="21" t="s">
        <v>228</v>
      </c>
      <c r="I14" s="21" t="s">
        <v>165</v>
      </c>
      <c r="J14" s="22">
        <v>46041</v>
      </c>
      <c r="K14" s="72" t="s">
        <v>475</v>
      </c>
      <c r="L14" s="21" t="s">
        <v>358</v>
      </c>
      <c r="M14" s="20">
        <v>670</v>
      </c>
      <c r="N14" s="20">
        <v>61</v>
      </c>
      <c r="O14" s="20" t="s">
        <v>163</v>
      </c>
      <c r="P14" s="20">
        <v>674</v>
      </c>
      <c r="Q14" s="20" t="s">
        <v>360</v>
      </c>
      <c r="R14" s="20" t="s">
        <v>361</v>
      </c>
      <c r="S14" s="18" t="s">
        <v>362</v>
      </c>
      <c r="T14" s="18">
        <v>190407</v>
      </c>
      <c r="U14" s="20" t="s">
        <v>378</v>
      </c>
      <c r="V14" s="20">
        <v>67</v>
      </c>
      <c r="W14" s="18" t="s">
        <v>377</v>
      </c>
      <c r="X14" s="18" t="s">
        <v>364</v>
      </c>
      <c r="Y14" s="20" t="s">
        <v>365</v>
      </c>
      <c r="Z14" s="18" t="s">
        <v>379</v>
      </c>
    </row>
    <row r="15" spans="1:26">
      <c r="A15" s="18">
        <v>161255</v>
      </c>
      <c r="B15" s="18">
        <v>161255</v>
      </c>
      <c r="C15" s="18" t="s">
        <v>92</v>
      </c>
      <c r="D15" s="19" t="s">
        <v>298</v>
      </c>
      <c r="E15" s="19" t="s">
        <v>375</v>
      </c>
      <c r="F15" s="20">
        <v>131</v>
      </c>
      <c r="G15" s="21" t="s">
        <v>196</v>
      </c>
      <c r="H15" s="21" t="s">
        <v>228</v>
      </c>
      <c r="I15" s="21" t="s">
        <v>165</v>
      </c>
      <c r="J15" s="22">
        <v>46041</v>
      </c>
      <c r="K15" s="72" t="s">
        <v>475</v>
      </c>
      <c r="L15" s="21" t="s">
        <v>358</v>
      </c>
      <c r="M15" s="20">
        <v>670</v>
      </c>
      <c r="N15" s="20">
        <v>61</v>
      </c>
      <c r="O15" s="20" t="s">
        <v>163</v>
      </c>
      <c r="P15" s="20">
        <v>674</v>
      </c>
      <c r="Q15" s="20" t="s">
        <v>360</v>
      </c>
      <c r="R15" s="20" t="s">
        <v>361</v>
      </c>
      <c r="S15" s="18" t="s">
        <v>362</v>
      </c>
      <c r="T15" s="18">
        <v>190408</v>
      </c>
      <c r="U15" s="20" t="s">
        <v>378</v>
      </c>
      <c r="V15" s="20">
        <v>67</v>
      </c>
      <c r="W15" s="18" t="s">
        <v>377</v>
      </c>
      <c r="X15" s="18" t="s">
        <v>364</v>
      </c>
      <c r="Y15" s="20" t="s">
        <v>365</v>
      </c>
      <c r="Z15" s="18" t="s">
        <v>379</v>
      </c>
    </row>
    <row r="16" spans="1:26">
      <c r="A16" s="18">
        <v>161256</v>
      </c>
      <c r="B16" s="18">
        <v>161256</v>
      </c>
      <c r="C16" s="18" t="s">
        <v>92</v>
      </c>
      <c r="D16" s="19" t="s">
        <v>298</v>
      </c>
      <c r="E16" s="19" t="s">
        <v>380</v>
      </c>
      <c r="F16" s="20">
        <v>130</v>
      </c>
      <c r="G16" s="21" t="s">
        <v>193</v>
      </c>
      <c r="H16" s="21" t="s">
        <v>228</v>
      </c>
      <c r="I16" s="21" t="s">
        <v>165</v>
      </c>
      <c r="J16" s="22">
        <v>46041</v>
      </c>
      <c r="K16" s="72" t="s">
        <v>475</v>
      </c>
      <c r="L16" s="21" t="s">
        <v>358</v>
      </c>
      <c r="M16" s="20">
        <v>670</v>
      </c>
      <c r="N16" s="20">
        <v>61</v>
      </c>
      <c r="O16" s="20" t="s">
        <v>163</v>
      </c>
      <c r="P16" s="20">
        <v>674</v>
      </c>
      <c r="Q16" s="20" t="s">
        <v>360</v>
      </c>
      <c r="R16" s="20" t="s">
        <v>361</v>
      </c>
      <c r="S16" s="18" t="s">
        <v>362</v>
      </c>
      <c r="T16" s="18">
        <v>190410</v>
      </c>
      <c r="U16" s="20" t="s">
        <v>378</v>
      </c>
      <c r="V16" s="20">
        <v>67</v>
      </c>
      <c r="W16" s="18" t="s">
        <v>377</v>
      </c>
      <c r="X16" s="18" t="s">
        <v>364</v>
      </c>
      <c r="Y16" s="20" t="s">
        <v>365</v>
      </c>
      <c r="Z16" s="18" t="s">
        <v>379</v>
      </c>
    </row>
    <row r="17" spans="1:26">
      <c r="A17" s="18">
        <v>161256</v>
      </c>
      <c r="B17" s="18">
        <v>161256</v>
      </c>
      <c r="C17" s="18" t="s">
        <v>92</v>
      </c>
      <c r="D17" s="19" t="s">
        <v>298</v>
      </c>
      <c r="E17" s="19" t="s">
        <v>380</v>
      </c>
      <c r="F17" s="20">
        <v>131</v>
      </c>
      <c r="G17" s="21" t="s">
        <v>196</v>
      </c>
      <c r="H17" s="21" t="s">
        <v>228</v>
      </c>
      <c r="I17" s="21" t="s">
        <v>165</v>
      </c>
      <c r="J17" s="22">
        <v>46041</v>
      </c>
      <c r="K17" s="72" t="s">
        <v>475</v>
      </c>
      <c r="L17" s="21" t="s">
        <v>358</v>
      </c>
      <c r="M17" s="20">
        <v>670</v>
      </c>
      <c r="N17" s="20">
        <v>61</v>
      </c>
      <c r="O17" s="20" t="s">
        <v>163</v>
      </c>
      <c r="P17" s="20">
        <v>674</v>
      </c>
      <c r="Q17" s="20" t="s">
        <v>360</v>
      </c>
      <c r="R17" s="20" t="s">
        <v>361</v>
      </c>
      <c r="S17" s="18" t="s">
        <v>362</v>
      </c>
      <c r="T17" s="18">
        <v>190409</v>
      </c>
      <c r="U17" s="20" t="s">
        <v>378</v>
      </c>
      <c r="V17" s="20">
        <v>67</v>
      </c>
      <c r="W17" s="18" t="s">
        <v>377</v>
      </c>
      <c r="X17" s="18" t="s">
        <v>364</v>
      </c>
      <c r="Y17" s="20" t="s">
        <v>365</v>
      </c>
      <c r="Z17" s="18" t="s">
        <v>379</v>
      </c>
    </row>
    <row r="18" spans="1:26">
      <c r="A18" s="18">
        <v>161257</v>
      </c>
      <c r="B18" s="18">
        <v>161257</v>
      </c>
      <c r="C18" s="18" t="s">
        <v>92</v>
      </c>
      <c r="D18" s="19" t="s">
        <v>298</v>
      </c>
      <c r="E18" s="19" t="s">
        <v>381</v>
      </c>
      <c r="F18" s="20">
        <v>131</v>
      </c>
      <c r="G18" s="21" t="s">
        <v>196</v>
      </c>
      <c r="H18" s="21" t="s">
        <v>228</v>
      </c>
      <c r="I18" s="21" t="s">
        <v>165</v>
      </c>
      <c r="J18" s="22">
        <v>46041</v>
      </c>
      <c r="K18" s="72" t="s">
        <v>475</v>
      </c>
      <c r="L18" s="21" t="s">
        <v>358</v>
      </c>
      <c r="M18" s="20">
        <v>670</v>
      </c>
      <c r="N18" s="20">
        <v>64</v>
      </c>
      <c r="O18" s="20" t="s">
        <v>163</v>
      </c>
      <c r="P18" s="20">
        <v>674</v>
      </c>
      <c r="Q18" s="20" t="s">
        <v>360</v>
      </c>
      <c r="R18" s="20" t="s">
        <v>361</v>
      </c>
      <c r="S18" s="18" t="s">
        <v>362</v>
      </c>
      <c r="T18" s="18">
        <v>190411</v>
      </c>
      <c r="U18" s="20" t="s">
        <v>378</v>
      </c>
      <c r="V18" s="20">
        <v>67</v>
      </c>
      <c r="W18" s="18" t="s">
        <v>382</v>
      </c>
      <c r="X18" s="18" t="s">
        <v>364</v>
      </c>
      <c r="Y18" s="20" t="s">
        <v>365</v>
      </c>
      <c r="Z18" s="18" t="s">
        <v>379</v>
      </c>
    </row>
    <row r="19" spans="1:26">
      <c r="A19" s="18">
        <v>161257</v>
      </c>
      <c r="B19" s="18">
        <v>161257</v>
      </c>
      <c r="C19" s="18" t="s">
        <v>92</v>
      </c>
      <c r="D19" s="19" t="s">
        <v>298</v>
      </c>
      <c r="E19" s="19" t="s">
        <v>381</v>
      </c>
      <c r="F19" s="20">
        <v>130</v>
      </c>
      <c r="G19" s="21" t="s">
        <v>193</v>
      </c>
      <c r="H19" s="21" t="s">
        <v>228</v>
      </c>
      <c r="I19" s="21" t="s">
        <v>165</v>
      </c>
      <c r="J19" s="22">
        <v>46041</v>
      </c>
      <c r="K19" s="72" t="s">
        <v>475</v>
      </c>
      <c r="L19" s="21" t="s">
        <v>358</v>
      </c>
      <c r="M19" s="20">
        <v>670</v>
      </c>
      <c r="N19" s="20">
        <v>64</v>
      </c>
      <c r="O19" s="20" t="s">
        <v>163</v>
      </c>
      <c r="P19" s="20">
        <v>674</v>
      </c>
      <c r="Q19" s="20" t="s">
        <v>360</v>
      </c>
      <c r="R19" s="20" t="s">
        <v>361</v>
      </c>
      <c r="S19" s="18" t="s">
        <v>362</v>
      </c>
      <c r="T19" s="18">
        <v>190412</v>
      </c>
      <c r="U19" s="20" t="s">
        <v>378</v>
      </c>
      <c r="V19" s="20">
        <v>67</v>
      </c>
      <c r="W19" s="18" t="s">
        <v>382</v>
      </c>
      <c r="X19" s="18" t="s">
        <v>364</v>
      </c>
      <c r="Y19" s="20" t="s">
        <v>365</v>
      </c>
      <c r="Z19" s="18" t="s">
        <v>379</v>
      </c>
    </row>
    <row r="20" spans="1:26" hidden="1">
      <c r="A20" s="18">
        <v>161258</v>
      </c>
      <c r="B20" s="18">
        <v>161258</v>
      </c>
      <c r="C20" s="18" t="s">
        <v>555</v>
      </c>
      <c r="D20" s="19" t="s">
        <v>556</v>
      </c>
      <c r="E20" s="19" t="s">
        <v>557</v>
      </c>
      <c r="F20" s="20">
        <v>365</v>
      </c>
      <c r="G20" s="21" t="s">
        <v>169</v>
      </c>
      <c r="H20" s="23" t="s">
        <v>558</v>
      </c>
      <c r="I20" s="21"/>
      <c r="J20" s="22"/>
      <c r="K20" s="21"/>
      <c r="L20" s="21"/>
      <c r="M20" s="20">
        <v>670</v>
      </c>
      <c r="N20" s="20">
        <v>39</v>
      </c>
      <c r="O20" s="20" t="s">
        <v>163</v>
      </c>
      <c r="P20" s="20">
        <v>674</v>
      </c>
      <c r="Q20" s="20" t="s">
        <v>360</v>
      </c>
      <c r="R20" s="20" t="s">
        <v>361</v>
      </c>
      <c r="S20" s="18" t="s">
        <v>362</v>
      </c>
      <c r="T20" s="18">
        <v>190345</v>
      </c>
      <c r="U20" s="20" t="s">
        <v>23</v>
      </c>
      <c r="V20" s="20">
        <v>67</v>
      </c>
      <c r="W20" s="18" t="s">
        <v>435</v>
      </c>
      <c r="X20" s="18"/>
      <c r="Y20" s="20"/>
      <c r="Z20" s="18" t="s">
        <v>476</v>
      </c>
    </row>
    <row r="21" spans="1:26" hidden="1">
      <c r="A21" s="18">
        <v>161259</v>
      </c>
      <c r="B21" s="18">
        <v>161259</v>
      </c>
      <c r="C21" s="18" t="s">
        <v>555</v>
      </c>
      <c r="D21" s="19" t="s">
        <v>556</v>
      </c>
      <c r="E21" s="19" t="s">
        <v>369</v>
      </c>
      <c r="F21" s="20">
        <v>365</v>
      </c>
      <c r="G21" s="21" t="s">
        <v>169</v>
      </c>
      <c r="H21" s="23" t="s">
        <v>558</v>
      </c>
      <c r="I21" s="21"/>
      <c r="J21" s="22"/>
      <c r="K21" s="21"/>
      <c r="L21" s="21"/>
      <c r="M21" s="20">
        <v>670</v>
      </c>
      <c r="N21" s="20">
        <v>40</v>
      </c>
      <c r="O21" s="20" t="s">
        <v>163</v>
      </c>
      <c r="P21" s="20">
        <v>674</v>
      </c>
      <c r="Q21" s="20" t="s">
        <v>360</v>
      </c>
      <c r="R21" s="20" t="s">
        <v>361</v>
      </c>
      <c r="S21" s="18" t="s">
        <v>362</v>
      </c>
      <c r="T21" s="18">
        <v>190346</v>
      </c>
      <c r="U21" s="20" t="s">
        <v>23</v>
      </c>
      <c r="V21" s="20">
        <v>67</v>
      </c>
      <c r="W21" s="18" t="s">
        <v>1251</v>
      </c>
      <c r="X21" s="18" t="s">
        <v>998</v>
      </c>
      <c r="Y21" s="20" t="s">
        <v>365</v>
      </c>
      <c r="Z21" s="18" t="s">
        <v>476</v>
      </c>
    </row>
    <row r="22" spans="1:26" hidden="1">
      <c r="A22" s="18">
        <v>161260</v>
      </c>
      <c r="B22" s="18">
        <v>161260</v>
      </c>
      <c r="C22" s="18" t="s">
        <v>555</v>
      </c>
      <c r="D22" s="19" t="s">
        <v>556</v>
      </c>
      <c r="E22" s="19" t="s">
        <v>559</v>
      </c>
      <c r="F22" s="20">
        <v>365</v>
      </c>
      <c r="G22" s="21" t="s">
        <v>169</v>
      </c>
      <c r="H22" s="23" t="s">
        <v>558</v>
      </c>
      <c r="I22" s="21"/>
      <c r="J22" s="22"/>
      <c r="K22" s="21"/>
      <c r="L22" s="21"/>
      <c r="M22" s="20">
        <v>670</v>
      </c>
      <c r="N22" s="20">
        <v>39</v>
      </c>
      <c r="O22" s="20" t="s">
        <v>163</v>
      </c>
      <c r="P22" s="20">
        <v>674</v>
      </c>
      <c r="Q22" s="20" t="s">
        <v>360</v>
      </c>
      <c r="R22" s="20" t="s">
        <v>361</v>
      </c>
      <c r="S22" s="18" t="s">
        <v>362</v>
      </c>
      <c r="T22" s="18">
        <v>190347</v>
      </c>
      <c r="U22" s="20" t="s">
        <v>24</v>
      </c>
      <c r="V22" s="20">
        <v>67</v>
      </c>
      <c r="W22" s="18" t="s">
        <v>476</v>
      </c>
      <c r="X22" s="18"/>
      <c r="Y22" s="20"/>
      <c r="Z22" s="18" t="s">
        <v>476</v>
      </c>
    </row>
    <row r="23" spans="1:26" hidden="1">
      <c r="A23" s="18">
        <v>161261</v>
      </c>
      <c r="B23" s="18">
        <v>161261</v>
      </c>
      <c r="C23" s="18" t="s">
        <v>555</v>
      </c>
      <c r="D23" s="19" t="s">
        <v>556</v>
      </c>
      <c r="E23" s="19" t="s">
        <v>560</v>
      </c>
      <c r="F23" s="20">
        <v>365</v>
      </c>
      <c r="G23" s="21" t="s">
        <v>169</v>
      </c>
      <c r="H23" s="23" t="s">
        <v>558</v>
      </c>
      <c r="I23" s="21"/>
      <c r="J23" s="22"/>
      <c r="K23" s="21"/>
      <c r="L23" s="21"/>
      <c r="M23" s="20">
        <v>670</v>
      </c>
      <c r="N23" s="20">
        <v>40</v>
      </c>
      <c r="O23" s="20" t="s">
        <v>163</v>
      </c>
      <c r="P23" s="20">
        <v>674</v>
      </c>
      <c r="Q23" s="20" t="s">
        <v>360</v>
      </c>
      <c r="R23" s="20" t="s">
        <v>361</v>
      </c>
      <c r="S23" s="18" t="s">
        <v>362</v>
      </c>
      <c r="T23" s="18">
        <v>190348</v>
      </c>
      <c r="U23" s="20" t="s">
        <v>23</v>
      </c>
      <c r="V23" s="20">
        <v>67</v>
      </c>
      <c r="W23" s="18" t="s">
        <v>4498</v>
      </c>
      <c r="X23" s="18" t="s">
        <v>998</v>
      </c>
      <c r="Y23" s="20"/>
      <c r="Z23" s="18" t="s">
        <v>476</v>
      </c>
    </row>
    <row r="24" spans="1:26" hidden="1">
      <c r="A24" s="18">
        <v>161262</v>
      </c>
      <c r="B24" s="18">
        <v>161262</v>
      </c>
      <c r="C24" s="18" t="s">
        <v>555</v>
      </c>
      <c r="D24" s="19" t="s">
        <v>556</v>
      </c>
      <c r="E24" s="19" t="s">
        <v>561</v>
      </c>
      <c r="F24" s="20">
        <v>365</v>
      </c>
      <c r="G24" s="21" t="s">
        <v>169</v>
      </c>
      <c r="H24" s="23" t="s">
        <v>558</v>
      </c>
      <c r="I24" s="21"/>
      <c r="J24" s="22"/>
      <c r="K24" s="21"/>
      <c r="L24" s="21"/>
      <c r="M24" s="20">
        <v>670</v>
      </c>
      <c r="N24" s="20">
        <v>40</v>
      </c>
      <c r="O24" s="20" t="s">
        <v>163</v>
      </c>
      <c r="P24" s="20">
        <v>674</v>
      </c>
      <c r="Q24" s="20" t="s">
        <v>360</v>
      </c>
      <c r="R24" s="20" t="s">
        <v>361</v>
      </c>
      <c r="S24" s="18" t="s">
        <v>362</v>
      </c>
      <c r="T24" s="18">
        <v>190349</v>
      </c>
      <c r="U24" s="20" t="s">
        <v>23</v>
      </c>
      <c r="V24" s="20">
        <v>67</v>
      </c>
      <c r="W24" s="18" t="s">
        <v>1251</v>
      </c>
      <c r="X24" s="18" t="s">
        <v>998</v>
      </c>
      <c r="Y24" s="20" t="s">
        <v>365</v>
      </c>
      <c r="Z24" s="18" t="s">
        <v>476</v>
      </c>
    </row>
    <row r="25" spans="1:26" hidden="1">
      <c r="A25" s="18">
        <v>161263</v>
      </c>
      <c r="B25" s="18">
        <v>161263</v>
      </c>
      <c r="C25" s="18" t="s">
        <v>555</v>
      </c>
      <c r="D25" s="19" t="s">
        <v>556</v>
      </c>
      <c r="E25" s="19" t="s">
        <v>562</v>
      </c>
      <c r="F25" s="20">
        <v>365</v>
      </c>
      <c r="G25" s="21" t="s">
        <v>169</v>
      </c>
      <c r="H25" s="23" t="s">
        <v>558</v>
      </c>
      <c r="I25" s="21"/>
      <c r="J25" s="22"/>
      <c r="K25" s="21"/>
      <c r="L25" s="21"/>
      <c r="M25" s="20">
        <v>670</v>
      </c>
      <c r="N25" s="20">
        <v>38</v>
      </c>
      <c r="O25" s="20" t="s">
        <v>163</v>
      </c>
      <c r="P25" s="20">
        <v>674</v>
      </c>
      <c r="Q25" s="20" t="s">
        <v>360</v>
      </c>
      <c r="R25" s="20" t="s">
        <v>361</v>
      </c>
      <c r="S25" s="18" t="s">
        <v>362</v>
      </c>
      <c r="T25" s="18">
        <v>190350</v>
      </c>
      <c r="U25" s="20" t="s">
        <v>23</v>
      </c>
      <c r="V25" s="20">
        <v>67</v>
      </c>
      <c r="W25" s="18" t="s">
        <v>435</v>
      </c>
      <c r="X25" s="18"/>
      <c r="Y25" s="20"/>
      <c r="Z25" s="18" t="s">
        <v>476</v>
      </c>
    </row>
    <row r="26" spans="1:26" hidden="1">
      <c r="A26" s="18">
        <v>161264</v>
      </c>
      <c r="B26" s="18">
        <v>161264</v>
      </c>
      <c r="C26" s="18" t="s">
        <v>555</v>
      </c>
      <c r="D26" s="19" t="s">
        <v>556</v>
      </c>
      <c r="E26" s="19" t="s">
        <v>563</v>
      </c>
      <c r="F26" s="20">
        <v>365</v>
      </c>
      <c r="G26" s="21" t="s">
        <v>169</v>
      </c>
      <c r="H26" s="23" t="s">
        <v>558</v>
      </c>
      <c r="I26" s="21"/>
      <c r="J26" s="22"/>
      <c r="K26" s="21"/>
      <c r="L26" s="21"/>
      <c r="M26" s="20">
        <v>670</v>
      </c>
      <c r="N26" s="20">
        <v>38</v>
      </c>
      <c r="O26" s="20" t="s">
        <v>163</v>
      </c>
      <c r="P26" s="20">
        <v>674</v>
      </c>
      <c r="Q26" s="20" t="s">
        <v>360</v>
      </c>
      <c r="R26" s="20" t="s">
        <v>361</v>
      </c>
      <c r="S26" s="18" t="s">
        <v>362</v>
      </c>
      <c r="T26" s="18">
        <v>190351</v>
      </c>
      <c r="U26" s="20" t="s">
        <v>24</v>
      </c>
      <c r="V26" s="20">
        <v>67</v>
      </c>
      <c r="W26" s="18" t="s">
        <v>3960</v>
      </c>
      <c r="X26" s="18" t="s">
        <v>998</v>
      </c>
      <c r="Y26" s="20"/>
      <c r="Z26" s="18" t="s">
        <v>476</v>
      </c>
    </row>
    <row r="27" spans="1:26" hidden="1">
      <c r="A27" s="18">
        <v>161265</v>
      </c>
      <c r="B27" s="18">
        <v>161265</v>
      </c>
      <c r="C27" s="18" t="s">
        <v>555</v>
      </c>
      <c r="D27" s="19" t="s">
        <v>556</v>
      </c>
      <c r="E27" s="19" t="s">
        <v>564</v>
      </c>
      <c r="F27" s="20">
        <v>365</v>
      </c>
      <c r="G27" s="21" t="s">
        <v>169</v>
      </c>
      <c r="H27" s="23" t="s">
        <v>558</v>
      </c>
      <c r="I27" s="21"/>
      <c r="J27" s="22"/>
      <c r="K27" s="21"/>
      <c r="L27" s="21"/>
      <c r="M27" s="20">
        <v>670</v>
      </c>
      <c r="N27" s="20">
        <v>40</v>
      </c>
      <c r="O27" s="20" t="s">
        <v>163</v>
      </c>
      <c r="P27" s="20">
        <v>674</v>
      </c>
      <c r="Q27" s="20" t="s">
        <v>360</v>
      </c>
      <c r="R27" s="20" t="s">
        <v>361</v>
      </c>
      <c r="S27" s="18" t="s">
        <v>362</v>
      </c>
      <c r="T27" s="18">
        <v>190352</v>
      </c>
      <c r="U27" s="20" t="s">
        <v>23</v>
      </c>
      <c r="V27" s="20">
        <v>67</v>
      </c>
      <c r="W27" s="18" t="s">
        <v>448</v>
      </c>
      <c r="X27" s="18" t="s">
        <v>998</v>
      </c>
      <c r="Y27" s="20"/>
      <c r="Z27" s="18" t="s">
        <v>476</v>
      </c>
    </row>
    <row r="28" spans="1:26" hidden="1">
      <c r="A28" s="18">
        <v>161266</v>
      </c>
      <c r="B28" s="18">
        <v>161266</v>
      </c>
      <c r="C28" s="18" t="s">
        <v>555</v>
      </c>
      <c r="D28" s="19" t="s">
        <v>556</v>
      </c>
      <c r="E28" s="19" t="s">
        <v>565</v>
      </c>
      <c r="F28" s="20">
        <v>365</v>
      </c>
      <c r="G28" s="21" t="s">
        <v>169</v>
      </c>
      <c r="H28" s="23" t="s">
        <v>558</v>
      </c>
      <c r="I28" s="21"/>
      <c r="J28" s="22"/>
      <c r="K28" s="21"/>
      <c r="L28" s="21"/>
      <c r="M28" s="20">
        <v>670</v>
      </c>
      <c r="N28" s="20">
        <v>40</v>
      </c>
      <c r="O28" s="20" t="s">
        <v>163</v>
      </c>
      <c r="P28" s="20">
        <v>674</v>
      </c>
      <c r="Q28" s="20" t="s">
        <v>360</v>
      </c>
      <c r="R28" s="20" t="s">
        <v>361</v>
      </c>
      <c r="S28" s="18" t="s">
        <v>362</v>
      </c>
      <c r="T28" s="18">
        <v>190353</v>
      </c>
      <c r="U28" s="20" t="s">
        <v>23</v>
      </c>
      <c r="V28" s="20">
        <v>67</v>
      </c>
      <c r="W28" s="18" t="s">
        <v>2776</v>
      </c>
      <c r="X28" s="18" t="s">
        <v>998</v>
      </c>
      <c r="Y28" s="20"/>
      <c r="Z28" s="18" t="s">
        <v>476</v>
      </c>
    </row>
    <row r="29" spans="1:26">
      <c r="A29" s="18">
        <v>161268</v>
      </c>
      <c r="B29" s="18">
        <v>161267</v>
      </c>
      <c r="C29" s="18" t="s">
        <v>383</v>
      </c>
      <c r="D29" s="19" t="s">
        <v>384</v>
      </c>
      <c r="E29" s="19" t="s">
        <v>385</v>
      </c>
      <c r="F29" s="20">
        <v>365</v>
      </c>
      <c r="G29" s="21" t="s">
        <v>169</v>
      </c>
      <c r="H29" s="21" t="s">
        <v>194</v>
      </c>
      <c r="I29" s="21" t="s">
        <v>278</v>
      </c>
      <c r="J29" s="22">
        <v>46056</v>
      </c>
      <c r="K29" s="21" t="s">
        <v>12</v>
      </c>
      <c r="L29" s="21" t="s">
        <v>358</v>
      </c>
      <c r="M29" s="20">
        <v>670</v>
      </c>
      <c r="N29" s="20">
        <v>40</v>
      </c>
      <c r="O29" s="20" t="s">
        <v>163</v>
      </c>
      <c r="P29" s="20">
        <v>674</v>
      </c>
      <c r="Q29" s="20" t="s">
        <v>360</v>
      </c>
      <c r="R29" s="20" t="s">
        <v>361</v>
      </c>
      <c r="S29" s="18" t="s">
        <v>362</v>
      </c>
      <c r="T29" s="18">
        <v>190275</v>
      </c>
      <c r="U29" s="20" t="s">
        <v>26</v>
      </c>
      <c r="V29" s="20">
        <v>67</v>
      </c>
      <c r="W29" s="18" t="s">
        <v>386</v>
      </c>
      <c r="X29" s="18" t="s">
        <v>364</v>
      </c>
      <c r="Y29" s="20" t="s">
        <v>365</v>
      </c>
      <c r="Z29" s="18" t="s">
        <v>387</v>
      </c>
    </row>
    <row r="30" spans="1:26">
      <c r="A30" s="18">
        <v>161269</v>
      </c>
      <c r="B30" s="18">
        <v>161267</v>
      </c>
      <c r="C30" s="18" t="s">
        <v>383</v>
      </c>
      <c r="D30" s="19" t="s">
        <v>384</v>
      </c>
      <c r="E30" s="19" t="s">
        <v>388</v>
      </c>
      <c r="F30" s="20">
        <v>365</v>
      </c>
      <c r="G30" s="21" t="s">
        <v>169</v>
      </c>
      <c r="H30" s="21" t="s">
        <v>194</v>
      </c>
      <c r="I30" s="21" t="s">
        <v>278</v>
      </c>
      <c r="J30" s="22">
        <v>46056</v>
      </c>
      <c r="K30" s="21" t="s">
        <v>12</v>
      </c>
      <c r="L30" s="21" t="s">
        <v>358</v>
      </c>
      <c r="M30" s="20">
        <v>670</v>
      </c>
      <c r="N30" s="20">
        <v>40</v>
      </c>
      <c r="O30" s="20" t="s">
        <v>163</v>
      </c>
      <c r="P30" s="20">
        <v>674</v>
      </c>
      <c r="Q30" s="20" t="s">
        <v>360</v>
      </c>
      <c r="R30" s="20" t="s">
        <v>361</v>
      </c>
      <c r="S30" s="18" t="s">
        <v>362</v>
      </c>
      <c r="T30" s="18">
        <v>190276</v>
      </c>
      <c r="U30" s="20" t="s">
        <v>27</v>
      </c>
      <c r="V30" s="20">
        <v>67</v>
      </c>
      <c r="W30" s="18" t="s">
        <v>389</v>
      </c>
      <c r="X30" s="18" t="s">
        <v>364</v>
      </c>
      <c r="Y30" s="20" t="s">
        <v>365</v>
      </c>
      <c r="Z30" s="18" t="s">
        <v>387</v>
      </c>
    </row>
    <row r="31" spans="1:26">
      <c r="A31" s="18">
        <v>161270</v>
      </c>
      <c r="B31" s="18">
        <v>161267</v>
      </c>
      <c r="C31" s="18" t="s">
        <v>383</v>
      </c>
      <c r="D31" s="19" t="s">
        <v>384</v>
      </c>
      <c r="E31" s="19" t="s">
        <v>390</v>
      </c>
      <c r="F31" s="20">
        <v>365</v>
      </c>
      <c r="G31" s="21" t="s">
        <v>169</v>
      </c>
      <c r="H31" s="21" t="s">
        <v>194</v>
      </c>
      <c r="I31" s="21" t="s">
        <v>278</v>
      </c>
      <c r="J31" s="22">
        <v>46056</v>
      </c>
      <c r="K31" s="21" t="s">
        <v>12</v>
      </c>
      <c r="L31" s="21" t="s">
        <v>358</v>
      </c>
      <c r="M31" s="20">
        <v>670</v>
      </c>
      <c r="N31" s="20">
        <v>40</v>
      </c>
      <c r="O31" s="20" t="s">
        <v>163</v>
      </c>
      <c r="P31" s="20">
        <v>674</v>
      </c>
      <c r="Q31" s="20" t="s">
        <v>360</v>
      </c>
      <c r="R31" s="20" t="s">
        <v>361</v>
      </c>
      <c r="S31" s="18" t="s">
        <v>362</v>
      </c>
      <c r="T31" s="18">
        <v>190277</v>
      </c>
      <c r="U31" s="20" t="s">
        <v>26</v>
      </c>
      <c r="V31" s="20">
        <v>67</v>
      </c>
      <c r="W31" s="18" t="s">
        <v>391</v>
      </c>
      <c r="X31" s="18" t="s">
        <v>364</v>
      </c>
      <c r="Y31" s="20" t="s">
        <v>365</v>
      </c>
      <c r="Z31" s="18" t="s">
        <v>387</v>
      </c>
    </row>
    <row r="32" spans="1:26">
      <c r="A32" s="18">
        <v>161272</v>
      </c>
      <c r="B32" s="18">
        <v>161267</v>
      </c>
      <c r="C32" s="18" t="s">
        <v>383</v>
      </c>
      <c r="D32" s="19" t="s">
        <v>384</v>
      </c>
      <c r="E32" s="19" t="s">
        <v>392</v>
      </c>
      <c r="F32" s="20">
        <v>365</v>
      </c>
      <c r="G32" s="21" t="s">
        <v>169</v>
      </c>
      <c r="H32" s="21" t="s">
        <v>194</v>
      </c>
      <c r="I32" s="21" t="s">
        <v>278</v>
      </c>
      <c r="J32" s="22">
        <v>46056</v>
      </c>
      <c r="K32" s="21" t="s">
        <v>12</v>
      </c>
      <c r="L32" s="21" t="s">
        <v>358</v>
      </c>
      <c r="M32" s="20">
        <v>670</v>
      </c>
      <c r="N32" s="20">
        <v>40</v>
      </c>
      <c r="O32" s="20" t="s">
        <v>163</v>
      </c>
      <c r="P32" s="20">
        <v>674</v>
      </c>
      <c r="Q32" s="20" t="s">
        <v>360</v>
      </c>
      <c r="R32" s="20" t="s">
        <v>361</v>
      </c>
      <c r="S32" s="18" t="s">
        <v>362</v>
      </c>
      <c r="T32" s="18">
        <v>190278</v>
      </c>
      <c r="U32" s="20" t="s">
        <v>27</v>
      </c>
      <c r="V32" s="20">
        <v>67</v>
      </c>
      <c r="W32" s="18" t="s">
        <v>389</v>
      </c>
      <c r="X32" s="18" t="s">
        <v>364</v>
      </c>
      <c r="Y32" s="20" t="s">
        <v>365</v>
      </c>
      <c r="Z32" s="18" t="s">
        <v>387</v>
      </c>
    </row>
    <row r="33" spans="1:26">
      <c r="A33" s="18">
        <v>161273</v>
      </c>
      <c r="B33" s="18">
        <v>161271</v>
      </c>
      <c r="C33" s="18" t="s">
        <v>383</v>
      </c>
      <c r="D33" s="19" t="s">
        <v>384</v>
      </c>
      <c r="E33" s="19" t="s">
        <v>393</v>
      </c>
      <c r="F33" s="20">
        <v>365</v>
      </c>
      <c r="G33" s="21" t="s">
        <v>169</v>
      </c>
      <c r="H33" s="21" t="s">
        <v>194</v>
      </c>
      <c r="I33" s="21" t="s">
        <v>278</v>
      </c>
      <c r="J33" s="22">
        <v>46056</v>
      </c>
      <c r="K33" s="21" t="s">
        <v>12</v>
      </c>
      <c r="L33" s="21" t="s">
        <v>358</v>
      </c>
      <c r="M33" s="20">
        <v>670</v>
      </c>
      <c r="N33" s="20">
        <v>41</v>
      </c>
      <c r="O33" s="20" t="s">
        <v>163</v>
      </c>
      <c r="P33" s="20">
        <v>674</v>
      </c>
      <c r="Q33" s="20" t="s">
        <v>360</v>
      </c>
      <c r="R33" s="20" t="s">
        <v>361</v>
      </c>
      <c r="S33" s="18" t="s">
        <v>362</v>
      </c>
      <c r="T33" s="18">
        <v>190279</v>
      </c>
      <c r="U33" s="20" t="s">
        <v>26</v>
      </c>
      <c r="V33" s="20">
        <v>67</v>
      </c>
      <c r="W33" s="18" t="s">
        <v>391</v>
      </c>
      <c r="X33" s="18" t="s">
        <v>364</v>
      </c>
      <c r="Y33" s="20" t="s">
        <v>365</v>
      </c>
      <c r="Z33" s="18" t="s">
        <v>387</v>
      </c>
    </row>
    <row r="34" spans="1:26">
      <c r="A34" s="18">
        <v>161274</v>
      </c>
      <c r="B34" s="18">
        <v>161271</v>
      </c>
      <c r="C34" s="18" t="s">
        <v>383</v>
      </c>
      <c r="D34" s="19" t="s">
        <v>384</v>
      </c>
      <c r="E34" s="19" t="s">
        <v>394</v>
      </c>
      <c r="F34" s="20">
        <v>365</v>
      </c>
      <c r="G34" s="21" t="s">
        <v>169</v>
      </c>
      <c r="H34" s="21" t="s">
        <v>194</v>
      </c>
      <c r="I34" s="21" t="s">
        <v>278</v>
      </c>
      <c r="J34" s="22">
        <v>46056</v>
      </c>
      <c r="K34" s="21" t="s">
        <v>12</v>
      </c>
      <c r="L34" s="21" t="s">
        <v>358</v>
      </c>
      <c r="M34" s="20">
        <v>670</v>
      </c>
      <c r="N34" s="20">
        <v>40</v>
      </c>
      <c r="O34" s="20" t="s">
        <v>163</v>
      </c>
      <c r="P34" s="20">
        <v>674</v>
      </c>
      <c r="Q34" s="20" t="s">
        <v>360</v>
      </c>
      <c r="R34" s="20" t="s">
        <v>361</v>
      </c>
      <c r="S34" s="18" t="s">
        <v>362</v>
      </c>
      <c r="T34" s="18">
        <v>190280</v>
      </c>
      <c r="U34" s="20" t="s">
        <v>21</v>
      </c>
      <c r="V34" s="20">
        <v>67</v>
      </c>
      <c r="W34" s="18" t="s">
        <v>387</v>
      </c>
      <c r="X34" s="18" t="s">
        <v>364</v>
      </c>
      <c r="Y34" s="20" t="s">
        <v>365</v>
      </c>
      <c r="Z34" s="18" t="s">
        <v>387</v>
      </c>
    </row>
    <row r="35" spans="1:26">
      <c r="A35" s="18">
        <v>161276</v>
      </c>
      <c r="B35" s="18">
        <v>161271</v>
      </c>
      <c r="C35" s="18" t="s">
        <v>383</v>
      </c>
      <c r="D35" s="19" t="s">
        <v>384</v>
      </c>
      <c r="E35" s="19" t="s">
        <v>395</v>
      </c>
      <c r="F35" s="20">
        <v>365</v>
      </c>
      <c r="G35" s="21" t="s">
        <v>169</v>
      </c>
      <c r="H35" s="21" t="s">
        <v>194</v>
      </c>
      <c r="I35" s="21" t="s">
        <v>278</v>
      </c>
      <c r="J35" s="22">
        <v>46056</v>
      </c>
      <c r="K35" s="21" t="s">
        <v>12</v>
      </c>
      <c r="L35" s="21" t="s">
        <v>358</v>
      </c>
      <c r="M35" s="20">
        <v>670</v>
      </c>
      <c r="N35" s="20">
        <v>31</v>
      </c>
      <c r="O35" s="20" t="s">
        <v>163</v>
      </c>
      <c r="P35" s="20">
        <v>674</v>
      </c>
      <c r="Q35" s="20" t="s">
        <v>360</v>
      </c>
      <c r="R35" s="20" t="s">
        <v>361</v>
      </c>
      <c r="S35" s="18" t="s">
        <v>362</v>
      </c>
      <c r="T35" s="18">
        <v>190281</v>
      </c>
      <c r="U35" s="20" t="s">
        <v>21</v>
      </c>
      <c r="V35" s="20">
        <v>67</v>
      </c>
      <c r="W35" s="18" t="s">
        <v>396</v>
      </c>
      <c r="X35" s="18" t="s">
        <v>364</v>
      </c>
      <c r="Y35" s="20" t="s">
        <v>365</v>
      </c>
      <c r="Z35" s="18" t="s">
        <v>387</v>
      </c>
    </row>
    <row r="36" spans="1:26">
      <c r="A36" s="18">
        <v>161277</v>
      </c>
      <c r="B36" s="18">
        <v>161271</v>
      </c>
      <c r="C36" s="18" t="s">
        <v>383</v>
      </c>
      <c r="D36" s="19" t="s">
        <v>384</v>
      </c>
      <c r="E36" s="19" t="s">
        <v>397</v>
      </c>
      <c r="F36" s="20">
        <v>365</v>
      </c>
      <c r="G36" s="21" t="s">
        <v>169</v>
      </c>
      <c r="H36" s="21" t="s">
        <v>194</v>
      </c>
      <c r="I36" s="21" t="s">
        <v>278</v>
      </c>
      <c r="J36" s="22">
        <v>46056</v>
      </c>
      <c r="K36" s="21" t="s">
        <v>12</v>
      </c>
      <c r="L36" s="21" t="s">
        <v>358</v>
      </c>
      <c r="M36" s="20">
        <v>670</v>
      </c>
      <c r="N36" s="20">
        <v>21</v>
      </c>
      <c r="O36" s="20" t="s">
        <v>163</v>
      </c>
      <c r="P36" s="20">
        <v>674</v>
      </c>
      <c r="Q36" s="20" t="s">
        <v>360</v>
      </c>
      <c r="R36" s="20" t="s">
        <v>361</v>
      </c>
      <c r="S36" s="18" t="s">
        <v>362</v>
      </c>
      <c r="T36" s="18">
        <v>190282</v>
      </c>
      <c r="U36" s="20" t="s">
        <v>27</v>
      </c>
      <c r="V36" s="20">
        <v>67</v>
      </c>
      <c r="W36" s="18" t="s">
        <v>398</v>
      </c>
      <c r="X36" s="18" t="s">
        <v>364</v>
      </c>
      <c r="Y36" s="20" t="s">
        <v>365</v>
      </c>
      <c r="Z36" s="18" t="s">
        <v>387</v>
      </c>
    </row>
    <row r="37" spans="1:26">
      <c r="A37" s="18">
        <v>161278</v>
      </c>
      <c r="B37" s="18">
        <v>161271</v>
      </c>
      <c r="C37" s="18" t="s">
        <v>383</v>
      </c>
      <c r="D37" s="19" t="s">
        <v>384</v>
      </c>
      <c r="E37" s="19" t="s">
        <v>399</v>
      </c>
      <c r="F37" s="20">
        <v>365</v>
      </c>
      <c r="G37" s="21" t="s">
        <v>169</v>
      </c>
      <c r="H37" s="21" t="s">
        <v>194</v>
      </c>
      <c r="I37" s="21" t="s">
        <v>278</v>
      </c>
      <c r="J37" s="22">
        <v>46056</v>
      </c>
      <c r="K37" s="21" t="s">
        <v>12</v>
      </c>
      <c r="L37" s="21" t="s">
        <v>358</v>
      </c>
      <c r="M37" s="20">
        <v>670</v>
      </c>
      <c r="N37" s="20">
        <v>41</v>
      </c>
      <c r="O37" s="20" t="s">
        <v>163</v>
      </c>
      <c r="P37" s="20">
        <v>674</v>
      </c>
      <c r="Q37" s="20" t="s">
        <v>360</v>
      </c>
      <c r="R37" s="20" t="s">
        <v>361</v>
      </c>
      <c r="S37" s="18" t="s">
        <v>362</v>
      </c>
      <c r="T37" s="18">
        <v>190283</v>
      </c>
      <c r="U37" s="20" t="s">
        <v>21</v>
      </c>
      <c r="V37" s="20">
        <v>67</v>
      </c>
      <c r="W37" s="18" t="s">
        <v>398</v>
      </c>
      <c r="X37" s="18" t="s">
        <v>364</v>
      </c>
      <c r="Y37" s="20" t="s">
        <v>365</v>
      </c>
      <c r="Z37" s="18" t="s">
        <v>387</v>
      </c>
    </row>
    <row r="38" spans="1:26" hidden="1">
      <c r="A38" s="18">
        <v>161279</v>
      </c>
      <c r="B38" s="18">
        <v>161279</v>
      </c>
      <c r="C38" s="18" t="s">
        <v>566</v>
      </c>
      <c r="D38" s="19" t="s">
        <v>567</v>
      </c>
      <c r="E38" s="19" t="s">
        <v>557</v>
      </c>
      <c r="F38" s="20">
        <v>365</v>
      </c>
      <c r="G38" s="21" t="s">
        <v>169</v>
      </c>
      <c r="H38" s="23" t="s">
        <v>558</v>
      </c>
      <c r="I38" s="21"/>
      <c r="J38" s="22"/>
      <c r="K38" s="21"/>
      <c r="L38" s="24"/>
      <c r="M38" s="20">
        <v>670</v>
      </c>
      <c r="N38" s="20">
        <v>40</v>
      </c>
      <c r="O38" s="20" t="s">
        <v>163</v>
      </c>
      <c r="P38" s="20">
        <v>674</v>
      </c>
      <c r="Q38" s="20" t="s">
        <v>360</v>
      </c>
      <c r="R38" s="20" t="s">
        <v>361</v>
      </c>
      <c r="S38" s="18" t="s">
        <v>362</v>
      </c>
      <c r="T38" s="18">
        <v>190284</v>
      </c>
      <c r="U38" s="20" t="s">
        <v>22</v>
      </c>
      <c r="V38" s="20">
        <v>67</v>
      </c>
      <c r="W38" s="18" t="s">
        <v>4453</v>
      </c>
      <c r="X38" s="18" t="s">
        <v>4461</v>
      </c>
      <c r="Y38" s="20"/>
      <c r="Z38" s="18" t="s">
        <v>4459</v>
      </c>
    </row>
    <row r="39" spans="1:26" hidden="1">
      <c r="A39" s="18">
        <v>161280</v>
      </c>
      <c r="B39" s="18">
        <v>161280</v>
      </c>
      <c r="C39" s="18" t="s">
        <v>566</v>
      </c>
      <c r="D39" s="19" t="s">
        <v>567</v>
      </c>
      <c r="E39" s="19" t="s">
        <v>369</v>
      </c>
      <c r="F39" s="20">
        <v>365</v>
      </c>
      <c r="G39" s="21" t="s">
        <v>169</v>
      </c>
      <c r="H39" s="23" t="s">
        <v>558</v>
      </c>
      <c r="I39" s="21"/>
      <c r="J39" s="22"/>
      <c r="K39" s="21"/>
      <c r="L39" s="24"/>
      <c r="M39" s="20">
        <v>670</v>
      </c>
      <c r="N39" s="20">
        <v>40</v>
      </c>
      <c r="O39" s="20" t="s">
        <v>163</v>
      </c>
      <c r="P39" s="20">
        <v>674</v>
      </c>
      <c r="Q39" s="20" t="s">
        <v>360</v>
      </c>
      <c r="R39" s="20" t="s">
        <v>361</v>
      </c>
      <c r="S39" s="18" t="s">
        <v>362</v>
      </c>
      <c r="T39" s="18">
        <v>190285</v>
      </c>
      <c r="U39" s="20" t="s">
        <v>22</v>
      </c>
      <c r="V39" s="20">
        <v>67</v>
      </c>
      <c r="W39" s="18" t="s">
        <v>4453</v>
      </c>
      <c r="X39" s="18" t="s">
        <v>4461</v>
      </c>
      <c r="Y39" s="20"/>
      <c r="Z39" s="18" t="s">
        <v>4459</v>
      </c>
    </row>
    <row r="40" spans="1:26" hidden="1">
      <c r="A40" s="18">
        <v>161281</v>
      </c>
      <c r="B40" s="18">
        <v>161281</v>
      </c>
      <c r="C40" s="18" t="s">
        <v>566</v>
      </c>
      <c r="D40" s="19" t="s">
        <v>567</v>
      </c>
      <c r="E40" s="19" t="s">
        <v>568</v>
      </c>
      <c r="F40" s="20">
        <v>365</v>
      </c>
      <c r="G40" s="21" t="s">
        <v>169</v>
      </c>
      <c r="H40" s="23" t="s">
        <v>558</v>
      </c>
      <c r="I40" s="21"/>
      <c r="J40" s="22"/>
      <c r="K40" s="21"/>
      <c r="L40" s="24"/>
      <c r="M40" s="20">
        <v>670</v>
      </c>
      <c r="N40" s="20">
        <v>40</v>
      </c>
      <c r="O40" s="20" t="s">
        <v>163</v>
      </c>
      <c r="P40" s="20">
        <v>674</v>
      </c>
      <c r="Q40" s="20" t="s">
        <v>360</v>
      </c>
      <c r="R40" s="20" t="s">
        <v>361</v>
      </c>
      <c r="S40" s="18" t="s">
        <v>362</v>
      </c>
      <c r="T40" s="18">
        <v>190286</v>
      </c>
      <c r="U40" s="20" t="s">
        <v>22</v>
      </c>
      <c r="V40" s="20">
        <v>67</v>
      </c>
      <c r="W40" s="18" t="s">
        <v>4453</v>
      </c>
      <c r="X40" s="18" t="s">
        <v>4461</v>
      </c>
      <c r="Y40" s="20"/>
      <c r="Z40" s="18" t="s">
        <v>4459</v>
      </c>
    </row>
    <row r="41" spans="1:26" hidden="1">
      <c r="A41" s="18">
        <v>161282</v>
      </c>
      <c r="B41" s="18">
        <v>161282</v>
      </c>
      <c r="C41" s="18" t="s">
        <v>566</v>
      </c>
      <c r="D41" s="19" t="s">
        <v>567</v>
      </c>
      <c r="E41" s="19" t="s">
        <v>560</v>
      </c>
      <c r="F41" s="20">
        <v>365</v>
      </c>
      <c r="G41" s="21" t="s">
        <v>169</v>
      </c>
      <c r="H41" s="23" t="s">
        <v>558</v>
      </c>
      <c r="I41" s="21"/>
      <c r="J41" s="22"/>
      <c r="K41" s="21"/>
      <c r="L41" s="24"/>
      <c r="M41" s="20">
        <v>670</v>
      </c>
      <c r="N41" s="20">
        <v>39</v>
      </c>
      <c r="O41" s="20" t="s">
        <v>163</v>
      </c>
      <c r="P41" s="20">
        <v>674</v>
      </c>
      <c r="Q41" s="20" t="s">
        <v>360</v>
      </c>
      <c r="R41" s="20" t="s">
        <v>361</v>
      </c>
      <c r="S41" s="18" t="s">
        <v>362</v>
      </c>
      <c r="T41" s="18">
        <v>190287</v>
      </c>
      <c r="U41" s="20" t="s">
        <v>22</v>
      </c>
      <c r="V41" s="20">
        <v>67</v>
      </c>
      <c r="W41" s="18" t="s">
        <v>4524</v>
      </c>
      <c r="X41" s="18" t="s">
        <v>4461</v>
      </c>
      <c r="Y41" s="20"/>
      <c r="Z41" s="18" t="s">
        <v>4459</v>
      </c>
    </row>
    <row r="42" spans="1:26" hidden="1">
      <c r="A42" s="18">
        <v>161283</v>
      </c>
      <c r="B42" s="18">
        <v>161283</v>
      </c>
      <c r="C42" s="18" t="s">
        <v>566</v>
      </c>
      <c r="D42" s="19" t="s">
        <v>567</v>
      </c>
      <c r="E42" s="19" t="s">
        <v>569</v>
      </c>
      <c r="F42" s="20">
        <v>365</v>
      </c>
      <c r="G42" s="21" t="s">
        <v>169</v>
      </c>
      <c r="H42" s="23" t="s">
        <v>558</v>
      </c>
      <c r="I42" s="21"/>
      <c r="J42" s="22"/>
      <c r="K42" s="21"/>
      <c r="L42" s="24"/>
      <c r="M42" s="20">
        <v>670</v>
      </c>
      <c r="N42" s="20">
        <v>40</v>
      </c>
      <c r="O42" s="20" t="s">
        <v>163</v>
      </c>
      <c r="P42" s="20">
        <v>674</v>
      </c>
      <c r="Q42" s="20" t="s">
        <v>360</v>
      </c>
      <c r="R42" s="20" t="s">
        <v>361</v>
      </c>
      <c r="S42" s="18" t="s">
        <v>362</v>
      </c>
      <c r="T42" s="18">
        <v>190288</v>
      </c>
      <c r="U42" s="20" t="s">
        <v>22</v>
      </c>
      <c r="V42" s="20">
        <v>67</v>
      </c>
      <c r="W42" s="18" t="s">
        <v>4453</v>
      </c>
      <c r="X42" s="18" t="s">
        <v>4461</v>
      </c>
      <c r="Y42" s="20"/>
      <c r="Z42" s="18" t="s">
        <v>4459</v>
      </c>
    </row>
    <row r="43" spans="1:26" hidden="1">
      <c r="A43" s="18">
        <v>161284</v>
      </c>
      <c r="B43" s="18">
        <v>161284</v>
      </c>
      <c r="C43" s="18" t="s">
        <v>566</v>
      </c>
      <c r="D43" s="19" t="s">
        <v>567</v>
      </c>
      <c r="E43" s="19" t="s">
        <v>570</v>
      </c>
      <c r="F43" s="20">
        <v>365</v>
      </c>
      <c r="G43" s="21" t="s">
        <v>169</v>
      </c>
      <c r="H43" s="23" t="s">
        <v>558</v>
      </c>
      <c r="I43" s="21"/>
      <c r="J43" s="22"/>
      <c r="K43" s="21"/>
      <c r="L43" s="24"/>
      <c r="M43" s="20">
        <v>670</v>
      </c>
      <c r="N43" s="20">
        <v>34</v>
      </c>
      <c r="O43" s="20" t="s">
        <v>163</v>
      </c>
      <c r="P43" s="20">
        <v>674</v>
      </c>
      <c r="Q43" s="20" t="s">
        <v>360</v>
      </c>
      <c r="R43" s="20" t="s">
        <v>361</v>
      </c>
      <c r="S43" s="18" t="s">
        <v>362</v>
      </c>
      <c r="T43" s="18">
        <v>190289</v>
      </c>
      <c r="U43" s="20" t="s">
        <v>22</v>
      </c>
      <c r="V43" s="20">
        <v>67</v>
      </c>
      <c r="W43" s="18" t="s">
        <v>4524</v>
      </c>
      <c r="X43" s="18" t="s">
        <v>4461</v>
      </c>
      <c r="Y43" s="20"/>
      <c r="Z43" s="18" t="s">
        <v>4459</v>
      </c>
    </row>
    <row r="44" spans="1:26" hidden="1">
      <c r="A44" s="18">
        <v>161285</v>
      </c>
      <c r="B44" s="18">
        <v>161285</v>
      </c>
      <c r="C44" s="18" t="s">
        <v>566</v>
      </c>
      <c r="D44" s="19" t="s">
        <v>567</v>
      </c>
      <c r="E44" s="19" t="s">
        <v>571</v>
      </c>
      <c r="F44" s="20">
        <v>365</v>
      </c>
      <c r="G44" s="21" t="s">
        <v>169</v>
      </c>
      <c r="H44" s="23" t="s">
        <v>558</v>
      </c>
      <c r="I44" s="21"/>
      <c r="J44" s="22"/>
      <c r="K44" s="21"/>
      <c r="L44" s="25"/>
      <c r="M44" s="20">
        <v>670</v>
      </c>
      <c r="N44" s="20">
        <v>40</v>
      </c>
      <c r="O44" s="20" t="s">
        <v>163</v>
      </c>
      <c r="P44" s="20">
        <v>674</v>
      </c>
      <c r="Q44" s="20" t="s">
        <v>360</v>
      </c>
      <c r="R44" s="20" t="s">
        <v>361</v>
      </c>
      <c r="S44" s="18" t="s">
        <v>362</v>
      </c>
      <c r="T44" s="18">
        <v>190290</v>
      </c>
      <c r="U44" s="20" t="s">
        <v>23</v>
      </c>
      <c r="V44" s="20">
        <v>67</v>
      </c>
      <c r="W44" s="18" t="s">
        <v>4524</v>
      </c>
      <c r="X44" s="18" t="s">
        <v>4461</v>
      </c>
      <c r="Y44" s="20"/>
      <c r="Z44" s="18" t="s">
        <v>4459</v>
      </c>
    </row>
    <row r="45" spans="1:26" hidden="1">
      <c r="A45" s="18">
        <v>161286</v>
      </c>
      <c r="B45" s="18">
        <v>161286</v>
      </c>
      <c r="C45" s="18" t="s">
        <v>566</v>
      </c>
      <c r="D45" s="19" t="s">
        <v>567</v>
      </c>
      <c r="E45" s="19" t="s">
        <v>572</v>
      </c>
      <c r="F45" s="20">
        <v>365</v>
      </c>
      <c r="G45" s="21" t="s">
        <v>169</v>
      </c>
      <c r="H45" s="23" t="s">
        <v>558</v>
      </c>
      <c r="I45" s="21"/>
      <c r="J45" s="22"/>
      <c r="K45" s="21"/>
      <c r="L45" s="24"/>
      <c r="M45" s="20">
        <v>670</v>
      </c>
      <c r="N45" s="20">
        <v>40</v>
      </c>
      <c r="O45" s="20" t="s">
        <v>163</v>
      </c>
      <c r="P45" s="20">
        <v>674</v>
      </c>
      <c r="Q45" s="20" t="s">
        <v>360</v>
      </c>
      <c r="R45" s="20" t="s">
        <v>361</v>
      </c>
      <c r="S45" s="18" t="s">
        <v>362</v>
      </c>
      <c r="T45" s="18">
        <v>190291</v>
      </c>
      <c r="U45" s="20" t="s">
        <v>22</v>
      </c>
      <c r="V45" s="20">
        <v>67</v>
      </c>
      <c r="W45" s="18" t="s">
        <v>4453</v>
      </c>
      <c r="X45" s="18" t="s">
        <v>4461</v>
      </c>
      <c r="Y45" s="20"/>
      <c r="Z45" s="18" t="s">
        <v>4459</v>
      </c>
    </row>
    <row r="46" spans="1:26" hidden="1">
      <c r="A46" s="18">
        <v>161287</v>
      </c>
      <c r="B46" s="18">
        <v>161287</v>
      </c>
      <c r="C46" s="18" t="s">
        <v>566</v>
      </c>
      <c r="D46" s="19" t="s">
        <v>567</v>
      </c>
      <c r="E46" s="19" t="s">
        <v>565</v>
      </c>
      <c r="F46" s="20">
        <v>365</v>
      </c>
      <c r="G46" s="21" t="s">
        <v>169</v>
      </c>
      <c r="H46" s="23" t="s">
        <v>558</v>
      </c>
      <c r="I46" s="21"/>
      <c r="J46" s="22"/>
      <c r="K46" s="21"/>
      <c r="L46" s="24"/>
      <c r="M46" s="20">
        <v>670</v>
      </c>
      <c r="N46" s="20">
        <v>41</v>
      </c>
      <c r="O46" s="20" t="s">
        <v>163</v>
      </c>
      <c r="P46" s="20">
        <v>674</v>
      </c>
      <c r="Q46" s="20" t="s">
        <v>360</v>
      </c>
      <c r="R46" s="20" t="s">
        <v>361</v>
      </c>
      <c r="S46" s="18" t="s">
        <v>362</v>
      </c>
      <c r="T46" s="18">
        <v>190292</v>
      </c>
      <c r="U46" s="20" t="s">
        <v>22</v>
      </c>
      <c r="V46" s="20">
        <v>67</v>
      </c>
      <c r="W46" s="18" t="s">
        <v>4453</v>
      </c>
      <c r="X46" s="18" t="s">
        <v>4461</v>
      </c>
      <c r="Y46" s="20"/>
      <c r="Z46" s="18" t="s">
        <v>4459</v>
      </c>
    </row>
    <row r="47" spans="1:26" hidden="1">
      <c r="A47" s="18">
        <v>161288</v>
      </c>
      <c r="B47" s="18">
        <v>161288</v>
      </c>
      <c r="C47" s="18" t="s">
        <v>573</v>
      </c>
      <c r="D47" s="19" t="s">
        <v>574</v>
      </c>
      <c r="E47" s="19" t="s">
        <v>557</v>
      </c>
      <c r="F47" s="20">
        <v>365</v>
      </c>
      <c r="G47" s="21" t="s">
        <v>169</v>
      </c>
      <c r="H47" s="21" t="s">
        <v>228</v>
      </c>
      <c r="I47" s="21" t="s">
        <v>283</v>
      </c>
      <c r="J47" s="22">
        <v>46044</v>
      </c>
      <c r="K47" s="21" t="s">
        <v>12</v>
      </c>
      <c r="L47" s="21" t="s">
        <v>446</v>
      </c>
      <c r="M47" s="20">
        <v>670</v>
      </c>
      <c r="N47" s="20">
        <v>27</v>
      </c>
      <c r="O47" s="20" t="s">
        <v>163</v>
      </c>
      <c r="P47" s="20">
        <v>674</v>
      </c>
      <c r="Q47" s="20" t="s">
        <v>360</v>
      </c>
      <c r="R47" s="20" t="s">
        <v>361</v>
      </c>
      <c r="S47" s="18" t="s">
        <v>362</v>
      </c>
      <c r="T47" s="18">
        <v>190628</v>
      </c>
      <c r="U47" s="20" t="s">
        <v>575</v>
      </c>
      <c r="V47" s="20">
        <v>67</v>
      </c>
      <c r="W47" s="18" t="s">
        <v>4549</v>
      </c>
      <c r="X47" s="18" t="s">
        <v>1067</v>
      </c>
      <c r="Y47" s="20" t="s">
        <v>365</v>
      </c>
      <c r="Z47" s="18" t="s">
        <v>1052</v>
      </c>
    </row>
    <row r="48" spans="1:26" hidden="1">
      <c r="A48" s="18">
        <v>161289</v>
      </c>
      <c r="B48" s="18">
        <v>161289</v>
      </c>
      <c r="C48" s="18" t="s">
        <v>573</v>
      </c>
      <c r="D48" s="19" t="s">
        <v>574</v>
      </c>
      <c r="E48" s="19" t="s">
        <v>576</v>
      </c>
      <c r="F48" s="20">
        <v>365</v>
      </c>
      <c r="G48" s="21" t="s">
        <v>169</v>
      </c>
      <c r="H48" s="21" t="s">
        <v>228</v>
      </c>
      <c r="I48" s="21" t="s">
        <v>283</v>
      </c>
      <c r="J48" s="22">
        <v>46044</v>
      </c>
      <c r="K48" s="21" t="s">
        <v>12</v>
      </c>
      <c r="L48" s="21" t="s">
        <v>577</v>
      </c>
      <c r="M48" s="20">
        <v>670</v>
      </c>
      <c r="N48" s="20">
        <v>27</v>
      </c>
      <c r="O48" s="20" t="s">
        <v>163</v>
      </c>
      <c r="P48" s="20">
        <v>674</v>
      </c>
      <c r="Q48" s="20" t="s">
        <v>360</v>
      </c>
      <c r="R48" s="20" t="s">
        <v>361</v>
      </c>
      <c r="S48" s="18" t="s">
        <v>362</v>
      </c>
      <c r="T48" s="18">
        <v>190629</v>
      </c>
      <c r="U48" s="20" t="s">
        <v>578</v>
      </c>
      <c r="V48" s="20">
        <v>67</v>
      </c>
      <c r="W48" s="18" t="s">
        <v>4580</v>
      </c>
      <c r="X48" s="18" t="s">
        <v>1067</v>
      </c>
      <c r="Y48" s="20" t="s">
        <v>365</v>
      </c>
      <c r="Z48" s="18" t="s">
        <v>1052</v>
      </c>
    </row>
    <row r="49" spans="1:26" hidden="1">
      <c r="A49" s="18">
        <v>161290</v>
      </c>
      <c r="B49" s="18">
        <v>161290</v>
      </c>
      <c r="C49" s="18" t="s">
        <v>573</v>
      </c>
      <c r="D49" s="19" t="s">
        <v>574</v>
      </c>
      <c r="E49" s="19" t="s">
        <v>568</v>
      </c>
      <c r="F49" s="20">
        <v>365</v>
      </c>
      <c r="G49" s="21" t="s">
        <v>169</v>
      </c>
      <c r="H49" s="21" t="s">
        <v>228</v>
      </c>
      <c r="I49" s="21" t="s">
        <v>283</v>
      </c>
      <c r="J49" s="22">
        <v>46044</v>
      </c>
      <c r="K49" s="21" t="s">
        <v>12</v>
      </c>
      <c r="L49" s="21" t="s">
        <v>579</v>
      </c>
      <c r="M49" s="20">
        <v>670</v>
      </c>
      <c r="N49" s="20">
        <v>27</v>
      </c>
      <c r="O49" s="20" t="s">
        <v>163</v>
      </c>
      <c r="P49" s="20">
        <v>674</v>
      </c>
      <c r="Q49" s="20" t="s">
        <v>360</v>
      </c>
      <c r="R49" s="20" t="s">
        <v>361</v>
      </c>
      <c r="S49" s="18" t="s">
        <v>362</v>
      </c>
      <c r="T49" s="18">
        <v>190630</v>
      </c>
      <c r="U49" s="20" t="s">
        <v>580</v>
      </c>
      <c r="V49" s="20">
        <v>67</v>
      </c>
      <c r="W49" s="18" t="s">
        <v>4531</v>
      </c>
      <c r="X49" s="18" t="s">
        <v>1067</v>
      </c>
      <c r="Y49" s="20" t="s">
        <v>365</v>
      </c>
      <c r="Z49" s="18" t="s">
        <v>1052</v>
      </c>
    </row>
    <row r="50" spans="1:26" hidden="1">
      <c r="A50" s="18">
        <v>161291</v>
      </c>
      <c r="B50" s="18">
        <v>161291</v>
      </c>
      <c r="C50" s="18" t="s">
        <v>573</v>
      </c>
      <c r="D50" s="19" t="s">
        <v>574</v>
      </c>
      <c r="E50" s="19" t="s">
        <v>560</v>
      </c>
      <c r="F50" s="20">
        <v>365</v>
      </c>
      <c r="G50" s="21" t="s">
        <v>169</v>
      </c>
      <c r="H50" s="21" t="s">
        <v>228</v>
      </c>
      <c r="I50" s="21" t="s">
        <v>283</v>
      </c>
      <c r="J50" s="22">
        <v>46044</v>
      </c>
      <c r="K50" s="21" t="s">
        <v>12</v>
      </c>
      <c r="L50" s="21" t="s">
        <v>406</v>
      </c>
      <c r="M50" s="20">
        <v>670</v>
      </c>
      <c r="N50" s="20">
        <v>26</v>
      </c>
      <c r="O50" s="20" t="s">
        <v>163</v>
      </c>
      <c r="P50" s="20">
        <v>674</v>
      </c>
      <c r="Q50" s="20" t="s">
        <v>360</v>
      </c>
      <c r="R50" s="20" t="s">
        <v>361</v>
      </c>
      <c r="S50" s="18" t="s">
        <v>362</v>
      </c>
      <c r="T50" s="18">
        <v>190631</v>
      </c>
      <c r="U50" s="20" t="s">
        <v>581</v>
      </c>
      <c r="V50" s="20">
        <v>67</v>
      </c>
      <c r="W50" s="18" t="s">
        <v>3434</v>
      </c>
      <c r="X50" s="18" t="s">
        <v>1067</v>
      </c>
      <c r="Y50" s="20" t="s">
        <v>365</v>
      </c>
      <c r="Z50" s="18" t="s">
        <v>1052</v>
      </c>
    </row>
    <row r="51" spans="1:26" hidden="1">
      <c r="A51" s="18">
        <v>161292</v>
      </c>
      <c r="B51" s="18">
        <v>161292</v>
      </c>
      <c r="C51" s="18" t="s">
        <v>573</v>
      </c>
      <c r="D51" s="19" t="s">
        <v>574</v>
      </c>
      <c r="E51" s="19" t="s">
        <v>561</v>
      </c>
      <c r="F51" s="20">
        <v>365</v>
      </c>
      <c r="G51" s="21" t="s">
        <v>169</v>
      </c>
      <c r="H51" s="21" t="s">
        <v>228</v>
      </c>
      <c r="I51" s="21" t="s">
        <v>283</v>
      </c>
      <c r="J51" s="22">
        <v>46044</v>
      </c>
      <c r="K51" s="21" t="s">
        <v>12</v>
      </c>
      <c r="L51" s="21" t="s">
        <v>582</v>
      </c>
      <c r="M51" s="20">
        <v>670</v>
      </c>
      <c r="N51" s="20">
        <v>20</v>
      </c>
      <c r="O51" s="20" t="s">
        <v>163</v>
      </c>
      <c r="P51" s="20">
        <v>674</v>
      </c>
      <c r="Q51" s="20" t="s">
        <v>360</v>
      </c>
      <c r="R51" s="20" t="s">
        <v>361</v>
      </c>
      <c r="S51" s="18" t="s">
        <v>362</v>
      </c>
      <c r="T51" s="18">
        <v>190632</v>
      </c>
      <c r="U51" s="20" t="s">
        <v>583</v>
      </c>
      <c r="V51" s="20">
        <v>67</v>
      </c>
      <c r="W51" s="18" t="s">
        <v>3367</v>
      </c>
      <c r="X51" s="18" t="s">
        <v>1067</v>
      </c>
      <c r="Y51" s="20" t="s">
        <v>365</v>
      </c>
      <c r="Z51" s="18" t="s">
        <v>1052</v>
      </c>
    </row>
    <row r="52" spans="1:26" hidden="1">
      <c r="A52" s="18">
        <v>161293</v>
      </c>
      <c r="B52" s="18">
        <v>161293</v>
      </c>
      <c r="C52" s="18" t="s">
        <v>573</v>
      </c>
      <c r="D52" s="19" t="s">
        <v>574</v>
      </c>
      <c r="E52" s="19" t="s">
        <v>562</v>
      </c>
      <c r="F52" s="20">
        <v>365</v>
      </c>
      <c r="G52" s="21" t="s">
        <v>169</v>
      </c>
      <c r="H52" s="21" t="s">
        <v>228</v>
      </c>
      <c r="I52" s="21" t="s">
        <v>283</v>
      </c>
      <c r="J52" s="22">
        <v>46044</v>
      </c>
      <c r="K52" s="21" t="s">
        <v>12</v>
      </c>
      <c r="L52" s="21" t="s">
        <v>498</v>
      </c>
      <c r="M52" s="20">
        <v>670</v>
      </c>
      <c r="N52" s="20">
        <v>26</v>
      </c>
      <c r="O52" s="20" t="s">
        <v>163</v>
      </c>
      <c r="P52" s="20">
        <v>674</v>
      </c>
      <c r="Q52" s="20" t="s">
        <v>360</v>
      </c>
      <c r="R52" s="20" t="s">
        <v>361</v>
      </c>
      <c r="S52" s="18" t="s">
        <v>362</v>
      </c>
      <c r="T52" s="18">
        <v>190633</v>
      </c>
      <c r="U52" s="20" t="s">
        <v>584</v>
      </c>
      <c r="V52" s="20">
        <v>67</v>
      </c>
      <c r="W52" s="18" t="s">
        <v>3605</v>
      </c>
      <c r="X52" s="18" t="s">
        <v>1067</v>
      </c>
      <c r="Y52" s="20" t="s">
        <v>365</v>
      </c>
      <c r="Z52" s="18" t="s">
        <v>1052</v>
      </c>
    </row>
    <row r="53" spans="1:26" hidden="1">
      <c r="A53" s="18">
        <v>161294</v>
      </c>
      <c r="B53" s="18">
        <v>161294</v>
      </c>
      <c r="C53" s="18" t="s">
        <v>573</v>
      </c>
      <c r="D53" s="19" t="s">
        <v>574</v>
      </c>
      <c r="E53" s="19" t="s">
        <v>563</v>
      </c>
      <c r="F53" s="20">
        <v>365</v>
      </c>
      <c r="G53" s="21" t="s">
        <v>169</v>
      </c>
      <c r="H53" s="21" t="s">
        <v>228</v>
      </c>
      <c r="I53" s="21" t="s">
        <v>283</v>
      </c>
      <c r="J53" s="22">
        <v>46044</v>
      </c>
      <c r="K53" s="21" t="s">
        <v>12</v>
      </c>
      <c r="L53" s="21" t="s">
        <v>403</v>
      </c>
      <c r="M53" s="20">
        <v>670</v>
      </c>
      <c r="N53" s="20">
        <v>28</v>
      </c>
      <c r="O53" s="20" t="s">
        <v>163</v>
      </c>
      <c r="P53" s="20">
        <v>674</v>
      </c>
      <c r="Q53" s="20" t="s">
        <v>360</v>
      </c>
      <c r="R53" s="20" t="s">
        <v>361</v>
      </c>
      <c r="S53" s="18" t="s">
        <v>362</v>
      </c>
      <c r="T53" s="18">
        <v>190634</v>
      </c>
      <c r="U53" s="20" t="s">
        <v>575</v>
      </c>
      <c r="V53" s="20">
        <v>67</v>
      </c>
      <c r="W53" s="18" t="s">
        <v>4549</v>
      </c>
      <c r="X53" s="18" t="s">
        <v>1067</v>
      </c>
      <c r="Y53" s="20" t="s">
        <v>365</v>
      </c>
      <c r="Z53" s="18" t="s">
        <v>1052</v>
      </c>
    </row>
    <row r="54" spans="1:26" hidden="1">
      <c r="A54" s="18">
        <v>161295</v>
      </c>
      <c r="B54" s="18">
        <v>161295</v>
      </c>
      <c r="C54" s="18" t="s">
        <v>573</v>
      </c>
      <c r="D54" s="19" t="s">
        <v>574</v>
      </c>
      <c r="E54" s="19" t="s">
        <v>564</v>
      </c>
      <c r="F54" s="20">
        <v>365</v>
      </c>
      <c r="G54" s="21" t="s">
        <v>169</v>
      </c>
      <c r="H54" s="21" t="s">
        <v>228</v>
      </c>
      <c r="I54" s="21" t="s">
        <v>283</v>
      </c>
      <c r="J54" s="22">
        <v>46044</v>
      </c>
      <c r="K54" s="21" t="s">
        <v>12</v>
      </c>
      <c r="L54" s="21" t="s">
        <v>585</v>
      </c>
      <c r="M54" s="20">
        <v>670</v>
      </c>
      <c r="N54" s="20">
        <v>29</v>
      </c>
      <c r="O54" s="20" t="s">
        <v>163</v>
      </c>
      <c r="P54" s="20">
        <v>674</v>
      </c>
      <c r="Q54" s="20" t="s">
        <v>360</v>
      </c>
      <c r="R54" s="20" t="s">
        <v>361</v>
      </c>
      <c r="S54" s="18" t="s">
        <v>362</v>
      </c>
      <c r="T54" s="18">
        <v>190635</v>
      </c>
      <c r="U54" s="20" t="s">
        <v>578</v>
      </c>
      <c r="V54" s="20">
        <v>67</v>
      </c>
      <c r="W54" s="18" t="s">
        <v>4580</v>
      </c>
      <c r="X54" s="18" t="s">
        <v>1067</v>
      </c>
      <c r="Y54" s="20" t="s">
        <v>365</v>
      </c>
      <c r="Z54" s="18" t="s">
        <v>1052</v>
      </c>
    </row>
    <row r="55" spans="1:26" hidden="1">
      <c r="A55" s="18">
        <v>161296</v>
      </c>
      <c r="B55" s="18">
        <v>161296</v>
      </c>
      <c r="C55" s="18" t="s">
        <v>573</v>
      </c>
      <c r="D55" s="19" t="s">
        <v>574</v>
      </c>
      <c r="E55" s="19" t="s">
        <v>565</v>
      </c>
      <c r="F55" s="20">
        <v>365</v>
      </c>
      <c r="G55" s="21" t="s">
        <v>169</v>
      </c>
      <c r="H55" s="21" t="s">
        <v>228</v>
      </c>
      <c r="I55" s="21" t="s">
        <v>283</v>
      </c>
      <c r="J55" s="22">
        <v>46044</v>
      </c>
      <c r="K55" s="21" t="s">
        <v>12</v>
      </c>
      <c r="L55" s="21" t="s">
        <v>586</v>
      </c>
      <c r="M55" s="20">
        <v>670</v>
      </c>
      <c r="N55" s="20">
        <v>29</v>
      </c>
      <c r="O55" s="20" t="s">
        <v>163</v>
      </c>
      <c r="P55" s="20">
        <v>674</v>
      </c>
      <c r="Q55" s="20" t="s">
        <v>360</v>
      </c>
      <c r="R55" s="20" t="s">
        <v>361</v>
      </c>
      <c r="S55" s="18" t="s">
        <v>362</v>
      </c>
      <c r="T55" s="18">
        <v>190636</v>
      </c>
      <c r="U55" s="20" t="s">
        <v>580</v>
      </c>
      <c r="V55" s="20">
        <v>67</v>
      </c>
      <c r="W55" s="18" t="s">
        <v>4531</v>
      </c>
      <c r="X55" s="18" t="s">
        <v>1067</v>
      </c>
      <c r="Y55" s="20" t="s">
        <v>365</v>
      </c>
      <c r="Z55" s="18" t="s">
        <v>1052</v>
      </c>
    </row>
    <row r="56" spans="1:26" hidden="1">
      <c r="A56" s="18">
        <v>161297</v>
      </c>
      <c r="B56" s="18">
        <v>161297</v>
      </c>
      <c r="C56" s="18" t="s">
        <v>573</v>
      </c>
      <c r="D56" s="19" t="s">
        <v>574</v>
      </c>
      <c r="E56" s="19" t="s">
        <v>587</v>
      </c>
      <c r="F56" s="20">
        <v>365</v>
      </c>
      <c r="G56" s="21" t="s">
        <v>169</v>
      </c>
      <c r="H56" s="21" t="s">
        <v>228</v>
      </c>
      <c r="I56" s="21" t="s">
        <v>283</v>
      </c>
      <c r="J56" s="22">
        <v>46044</v>
      </c>
      <c r="K56" s="21" t="s">
        <v>12</v>
      </c>
      <c r="L56" s="21" t="s">
        <v>588</v>
      </c>
      <c r="M56" s="20">
        <v>670</v>
      </c>
      <c r="N56" s="20">
        <v>29</v>
      </c>
      <c r="O56" s="20" t="s">
        <v>163</v>
      </c>
      <c r="P56" s="20">
        <v>674</v>
      </c>
      <c r="Q56" s="20" t="s">
        <v>360</v>
      </c>
      <c r="R56" s="20" t="s">
        <v>361</v>
      </c>
      <c r="S56" s="18" t="s">
        <v>362</v>
      </c>
      <c r="T56" s="18">
        <v>190637</v>
      </c>
      <c r="U56" s="20" t="s">
        <v>581</v>
      </c>
      <c r="V56" s="20">
        <v>67</v>
      </c>
      <c r="W56" s="18" t="s">
        <v>4665</v>
      </c>
      <c r="X56" s="18" t="s">
        <v>1067</v>
      </c>
      <c r="Y56" s="20" t="s">
        <v>365</v>
      </c>
      <c r="Z56" s="18" t="s">
        <v>1052</v>
      </c>
    </row>
    <row r="57" spans="1:26" hidden="1">
      <c r="A57" s="18">
        <v>161298</v>
      </c>
      <c r="B57" s="18">
        <v>161298</v>
      </c>
      <c r="C57" s="18" t="s">
        <v>573</v>
      </c>
      <c r="D57" s="19" t="s">
        <v>574</v>
      </c>
      <c r="E57" s="19" t="s">
        <v>589</v>
      </c>
      <c r="F57" s="20">
        <v>365</v>
      </c>
      <c r="G57" s="21" t="s">
        <v>169</v>
      </c>
      <c r="H57" s="21" t="s">
        <v>228</v>
      </c>
      <c r="I57" s="21" t="s">
        <v>283</v>
      </c>
      <c r="J57" s="22">
        <v>46044</v>
      </c>
      <c r="K57" s="21" t="s">
        <v>12</v>
      </c>
      <c r="L57" s="21" t="s">
        <v>590</v>
      </c>
      <c r="M57" s="20">
        <v>670</v>
      </c>
      <c r="N57" s="20">
        <v>29</v>
      </c>
      <c r="O57" s="20" t="s">
        <v>163</v>
      </c>
      <c r="P57" s="20">
        <v>674</v>
      </c>
      <c r="Q57" s="20" t="s">
        <v>360</v>
      </c>
      <c r="R57" s="20" t="s">
        <v>361</v>
      </c>
      <c r="S57" s="18" t="s">
        <v>362</v>
      </c>
      <c r="T57" s="18">
        <v>190638</v>
      </c>
      <c r="U57" s="20" t="s">
        <v>583</v>
      </c>
      <c r="V57" s="20">
        <v>67</v>
      </c>
      <c r="W57" s="18" t="s">
        <v>4646</v>
      </c>
      <c r="X57" s="18" t="s">
        <v>1067</v>
      </c>
      <c r="Y57" s="20" t="s">
        <v>365</v>
      </c>
      <c r="Z57" s="18" t="s">
        <v>1052</v>
      </c>
    </row>
    <row r="58" spans="1:26" hidden="1">
      <c r="A58" s="18">
        <v>161299</v>
      </c>
      <c r="B58" s="18">
        <v>161299</v>
      </c>
      <c r="C58" s="18" t="s">
        <v>573</v>
      </c>
      <c r="D58" s="19" t="s">
        <v>574</v>
      </c>
      <c r="E58" s="19" t="s">
        <v>591</v>
      </c>
      <c r="F58" s="20">
        <v>365</v>
      </c>
      <c r="G58" s="21" t="s">
        <v>169</v>
      </c>
      <c r="H58" s="21" t="s">
        <v>228</v>
      </c>
      <c r="I58" s="21" t="s">
        <v>283</v>
      </c>
      <c r="J58" s="22">
        <v>46044</v>
      </c>
      <c r="K58" s="21" t="s">
        <v>12</v>
      </c>
      <c r="L58" s="21" t="s">
        <v>592</v>
      </c>
      <c r="M58" s="20">
        <v>670</v>
      </c>
      <c r="N58" s="20">
        <v>28</v>
      </c>
      <c r="O58" s="20" t="s">
        <v>163</v>
      </c>
      <c r="P58" s="20">
        <v>674</v>
      </c>
      <c r="Q58" s="20" t="s">
        <v>360</v>
      </c>
      <c r="R58" s="20" t="s">
        <v>361</v>
      </c>
      <c r="S58" s="18" t="s">
        <v>362</v>
      </c>
      <c r="T58" s="18">
        <v>190639</v>
      </c>
      <c r="U58" s="20" t="s">
        <v>584</v>
      </c>
      <c r="V58" s="20">
        <v>67</v>
      </c>
      <c r="W58" s="18" t="s">
        <v>4634</v>
      </c>
      <c r="X58" s="18" t="s">
        <v>1067</v>
      </c>
      <c r="Y58" s="20" t="s">
        <v>365</v>
      </c>
      <c r="Z58" s="18" t="s">
        <v>1052</v>
      </c>
    </row>
    <row r="59" spans="1:26" hidden="1">
      <c r="A59" s="18">
        <v>161300</v>
      </c>
      <c r="B59" s="18">
        <v>161300</v>
      </c>
      <c r="C59" s="18" t="s">
        <v>573</v>
      </c>
      <c r="D59" s="19" t="s">
        <v>574</v>
      </c>
      <c r="E59" s="19" t="s">
        <v>593</v>
      </c>
      <c r="F59" s="20">
        <v>365</v>
      </c>
      <c r="G59" s="21" t="s">
        <v>169</v>
      </c>
      <c r="H59" s="21" t="s">
        <v>228</v>
      </c>
      <c r="I59" s="21" t="s">
        <v>283</v>
      </c>
      <c r="J59" s="22">
        <v>46044</v>
      </c>
      <c r="K59" s="21" t="s">
        <v>12</v>
      </c>
      <c r="L59" s="21" t="s">
        <v>378</v>
      </c>
      <c r="M59" s="20">
        <v>670</v>
      </c>
      <c r="N59" s="20">
        <v>29</v>
      </c>
      <c r="O59" s="20" t="s">
        <v>163</v>
      </c>
      <c r="P59" s="20">
        <v>674</v>
      </c>
      <c r="Q59" s="20" t="s">
        <v>360</v>
      </c>
      <c r="R59" s="20" t="s">
        <v>361</v>
      </c>
      <c r="S59" s="18" t="s">
        <v>362</v>
      </c>
      <c r="T59" s="18">
        <v>190640</v>
      </c>
      <c r="U59" s="20" t="s">
        <v>594</v>
      </c>
      <c r="V59" s="20">
        <v>67</v>
      </c>
      <c r="W59" s="18" t="s">
        <v>3690</v>
      </c>
      <c r="X59" s="18" t="s">
        <v>1067</v>
      </c>
      <c r="Y59" s="20" t="s">
        <v>365</v>
      </c>
      <c r="Z59" s="18" t="s">
        <v>1052</v>
      </c>
    </row>
    <row r="60" spans="1:26">
      <c r="A60" s="18">
        <v>161301</v>
      </c>
      <c r="B60" s="18">
        <v>161301</v>
      </c>
      <c r="C60" s="18" t="s">
        <v>137</v>
      </c>
      <c r="D60" s="19" t="s">
        <v>400</v>
      </c>
      <c r="E60" s="19" t="s">
        <v>401</v>
      </c>
      <c r="F60" s="20">
        <v>365</v>
      </c>
      <c r="G60" s="21" t="s">
        <v>169</v>
      </c>
      <c r="H60" s="21" t="s">
        <v>228</v>
      </c>
      <c r="I60" s="21" t="s">
        <v>238</v>
      </c>
      <c r="J60" s="22">
        <v>46045</v>
      </c>
      <c r="K60" s="21" t="s">
        <v>15</v>
      </c>
      <c r="L60" s="21" t="s">
        <v>358</v>
      </c>
      <c r="M60" s="20">
        <v>670</v>
      </c>
      <c r="N60" s="20">
        <v>38</v>
      </c>
      <c r="O60" s="20" t="s">
        <v>163</v>
      </c>
      <c r="P60" s="20">
        <v>674</v>
      </c>
      <c r="Q60" s="20" t="s">
        <v>360</v>
      </c>
      <c r="R60" s="20" t="s">
        <v>361</v>
      </c>
      <c r="S60" s="18" t="s">
        <v>362</v>
      </c>
      <c r="T60" s="18">
        <v>190487</v>
      </c>
      <c r="U60" s="20" t="s">
        <v>403</v>
      </c>
      <c r="V60" s="20">
        <v>67</v>
      </c>
      <c r="W60" s="18" t="s">
        <v>402</v>
      </c>
      <c r="X60" s="18" t="s">
        <v>364</v>
      </c>
      <c r="Y60" s="20" t="s">
        <v>365</v>
      </c>
      <c r="Z60" s="18" t="s">
        <v>402</v>
      </c>
    </row>
    <row r="61" spans="1:26" hidden="1">
      <c r="A61" s="18">
        <v>161302</v>
      </c>
      <c r="B61" s="18">
        <v>161302</v>
      </c>
      <c r="C61" s="18" t="s">
        <v>404</v>
      </c>
      <c r="D61" s="19" t="s">
        <v>405</v>
      </c>
      <c r="E61" s="19" t="s">
        <v>401</v>
      </c>
      <c r="F61" s="20">
        <v>365</v>
      </c>
      <c r="G61" s="21" t="s">
        <v>169</v>
      </c>
      <c r="H61" s="21" t="s">
        <v>164</v>
      </c>
      <c r="I61" s="21" t="s">
        <v>238</v>
      </c>
      <c r="J61" s="22">
        <v>46052</v>
      </c>
      <c r="K61" s="21" t="s">
        <v>14</v>
      </c>
      <c r="L61" s="21" t="s">
        <v>358</v>
      </c>
      <c r="M61" s="20">
        <v>670</v>
      </c>
      <c r="N61" s="20">
        <v>42</v>
      </c>
      <c r="O61" s="20" t="s">
        <v>163</v>
      </c>
      <c r="P61" s="20">
        <v>674</v>
      </c>
      <c r="Q61" s="20" t="s">
        <v>360</v>
      </c>
      <c r="R61" s="20" t="s">
        <v>361</v>
      </c>
      <c r="S61" s="18" t="s">
        <v>362</v>
      </c>
      <c r="T61" s="18">
        <v>190473</v>
      </c>
      <c r="U61" s="20" t="s">
        <v>406</v>
      </c>
      <c r="V61" s="20">
        <v>67</v>
      </c>
      <c r="W61" s="18" t="s">
        <v>359</v>
      </c>
      <c r="X61" s="18" t="s">
        <v>364</v>
      </c>
      <c r="Y61" s="20" t="s">
        <v>365</v>
      </c>
      <c r="Z61" s="18" t="s">
        <v>359</v>
      </c>
    </row>
    <row r="62" spans="1:26">
      <c r="A62" s="18">
        <v>161303</v>
      </c>
      <c r="B62" s="18">
        <v>161303</v>
      </c>
      <c r="C62" s="18" t="s">
        <v>118</v>
      </c>
      <c r="D62" s="19" t="s">
        <v>407</v>
      </c>
      <c r="E62" s="19" t="s">
        <v>401</v>
      </c>
      <c r="F62" s="20">
        <v>130</v>
      </c>
      <c r="G62" s="21" t="s">
        <v>193</v>
      </c>
      <c r="H62" s="21" t="s">
        <v>228</v>
      </c>
      <c r="I62" s="21" t="s">
        <v>278</v>
      </c>
      <c r="J62" s="22">
        <v>46042</v>
      </c>
      <c r="K62" s="21" t="s">
        <v>15</v>
      </c>
      <c r="L62" s="21" t="s">
        <v>358</v>
      </c>
      <c r="M62" s="20">
        <v>670</v>
      </c>
      <c r="N62" s="20">
        <v>45</v>
      </c>
      <c r="O62" s="20" t="s">
        <v>163</v>
      </c>
      <c r="P62" s="20">
        <v>674</v>
      </c>
      <c r="Q62" s="20" t="s">
        <v>360</v>
      </c>
      <c r="R62" s="20" t="s">
        <v>361</v>
      </c>
      <c r="S62" s="18" t="s">
        <v>362</v>
      </c>
      <c r="T62" s="18">
        <v>190423</v>
      </c>
      <c r="U62" s="20" t="s">
        <v>406</v>
      </c>
      <c r="V62" s="20">
        <v>67</v>
      </c>
      <c r="W62" s="18" t="s">
        <v>408</v>
      </c>
      <c r="X62" s="18" t="s">
        <v>364</v>
      </c>
      <c r="Y62" s="20" t="s">
        <v>365</v>
      </c>
      <c r="Z62" s="18" t="s">
        <v>409</v>
      </c>
    </row>
    <row r="63" spans="1:26">
      <c r="A63" s="18">
        <v>161303</v>
      </c>
      <c r="B63" s="18">
        <v>161303</v>
      </c>
      <c r="C63" s="18" t="s">
        <v>118</v>
      </c>
      <c r="D63" s="19" t="s">
        <v>407</v>
      </c>
      <c r="E63" s="19" t="s">
        <v>401</v>
      </c>
      <c r="F63" s="20">
        <v>131</v>
      </c>
      <c r="G63" s="21" t="s">
        <v>196</v>
      </c>
      <c r="H63" s="21" t="s">
        <v>228</v>
      </c>
      <c r="I63" s="21" t="s">
        <v>278</v>
      </c>
      <c r="J63" s="22">
        <v>46042</v>
      </c>
      <c r="K63" s="21" t="s">
        <v>15</v>
      </c>
      <c r="L63" s="21" t="s">
        <v>358</v>
      </c>
      <c r="M63" s="20">
        <v>670</v>
      </c>
      <c r="N63" s="20">
        <v>44</v>
      </c>
      <c r="O63" s="20" t="s">
        <v>163</v>
      </c>
      <c r="P63" s="20">
        <v>674</v>
      </c>
      <c r="Q63" s="20" t="s">
        <v>360</v>
      </c>
      <c r="R63" s="20" t="s">
        <v>361</v>
      </c>
      <c r="S63" s="18" t="s">
        <v>362</v>
      </c>
      <c r="T63" s="18">
        <v>190424</v>
      </c>
      <c r="U63" s="20" t="s">
        <v>406</v>
      </c>
      <c r="V63" s="20">
        <v>67</v>
      </c>
      <c r="W63" s="18" t="s">
        <v>408</v>
      </c>
      <c r="X63" s="18" t="s">
        <v>364</v>
      </c>
      <c r="Y63" s="20" t="s">
        <v>365</v>
      </c>
      <c r="Z63" s="18" t="s">
        <v>409</v>
      </c>
    </row>
    <row r="64" spans="1:26">
      <c r="A64" s="18">
        <v>161304</v>
      </c>
      <c r="B64" s="18">
        <v>161304</v>
      </c>
      <c r="C64" s="18" t="s">
        <v>333</v>
      </c>
      <c r="D64" s="19" t="s">
        <v>334</v>
      </c>
      <c r="E64" s="19" t="s">
        <v>401</v>
      </c>
      <c r="F64" s="20">
        <v>131</v>
      </c>
      <c r="G64" s="21" t="s">
        <v>196</v>
      </c>
      <c r="H64" s="21" t="s">
        <v>194</v>
      </c>
      <c r="I64" s="21" t="s">
        <v>165</v>
      </c>
      <c r="J64" s="22">
        <v>46055</v>
      </c>
      <c r="K64" s="21" t="s">
        <v>15</v>
      </c>
      <c r="L64" s="21" t="s">
        <v>358</v>
      </c>
      <c r="M64" s="20">
        <v>670</v>
      </c>
      <c r="N64" s="20">
        <v>51</v>
      </c>
      <c r="O64" s="20" t="s">
        <v>163</v>
      </c>
      <c r="P64" s="20">
        <v>674</v>
      </c>
      <c r="Q64" s="20" t="s">
        <v>360</v>
      </c>
      <c r="R64" s="20" t="s">
        <v>361</v>
      </c>
      <c r="S64" s="18" t="s">
        <v>362</v>
      </c>
      <c r="T64" s="18">
        <v>190506</v>
      </c>
      <c r="U64" s="20" t="s">
        <v>363</v>
      </c>
      <c r="V64" s="20">
        <v>67</v>
      </c>
      <c r="W64" s="18" t="s">
        <v>410</v>
      </c>
      <c r="X64" s="18" t="s">
        <v>364</v>
      </c>
      <c r="Y64" s="20" t="s">
        <v>365</v>
      </c>
      <c r="Z64" s="18" t="s">
        <v>37</v>
      </c>
    </row>
    <row r="65" spans="1:26">
      <c r="A65" s="18">
        <v>161304</v>
      </c>
      <c r="B65" s="18">
        <v>161304</v>
      </c>
      <c r="C65" s="18" t="s">
        <v>333</v>
      </c>
      <c r="D65" s="19" t="s">
        <v>334</v>
      </c>
      <c r="E65" s="19" t="s">
        <v>401</v>
      </c>
      <c r="F65" s="20">
        <v>130</v>
      </c>
      <c r="G65" s="21" t="s">
        <v>193</v>
      </c>
      <c r="H65" s="21" t="s">
        <v>194</v>
      </c>
      <c r="I65" s="21" t="s">
        <v>165</v>
      </c>
      <c r="J65" s="22">
        <v>46055</v>
      </c>
      <c r="K65" s="21" t="s">
        <v>15</v>
      </c>
      <c r="L65" s="21" t="s">
        <v>358</v>
      </c>
      <c r="M65" s="20">
        <v>670</v>
      </c>
      <c r="N65" s="20">
        <v>51</v>
      </c>
      <c r="O65" s="20" t="s">
        <v>163</v>
      </c>
      <c r="P65" s="20">
        <v>674</v>
      </c>
      <c r="Q65" s="20" t="s">
        <v>360</v>
      </c>
      <c r="R65" s="20" t="s">
        <v>361</v>
      </c>
      <c r="S65" s="18" t="s">
        <v>362</v>
      </c>
      <c r="T65" s="18">
        <v>190505</v>
      </c>
      <c r="U65" s="20" t="s">
        <v>363</v>
      </c>
      <c r="V65" s="20">
        <v>67</v>
      </c>
      <c r="W65" s="18" t="s">
        <v>410</v>
      </c>
      <c r="X65" s="18" t="s">
        <v>364</v>
      </c>
      <c r="Y65" s="20" t="s">
        <v>365</v>
      </c>
      <c r="Z65" s="18" t="s">
        <v>37</v>
      </c>
    </row>
    <row r="66" spans="1:26" hidden="1">
      <c r="A66" s="18">
        <v>161305</v>
      </c>
      <c r="B66" s="18">
        <v>161305</v>
      </c>
      <c r="C66" s="18" t="s">
        <v>595</v>
      </c>
      <c r="D66" s="19" t="s">
        <v>596</v>
      </c>
      <c r="E66" s="19" t="s">
        <v>401</v>
      </c>
      <c r="F66" s="20">
        <v>131</v>
      </c>
      <c r="G66" s="21" t="s">
        <v>196</v>
      </c>
      <c r="H66" s="21" t="s">
        <v>194</v>
      </c>
      <c r="I66" s="21" t="s">
        <v>215</v>
      </c>
      <c r="J66" s="22">
        <v>46057</v>
      </c>
      <c r="K66" s="21" t="s">
        <v>13</v>
      </c>
      <c r="L66" s="21" t="s">
        <v>378</v>
      </c>
      <c r="M66" s="20">
        <v>670</v>
      </c>
      <c r="N66" s="20">
        <v>67</v>
      </c>
      <c r="O66" s="20" t="s">
        <v>163</v>
      </c>
      <c r="P66" s="20">
        <v>674</v>
      </c>
      <c r="Q66" s="20" t="s">
        <v>360</v>
      </c>
      <c r="R66" s="20" t="s">
        <v>361</v>
      </c>
      <c r="S66" s="18" t="s">
        <v>362</v>
      </c>
      <c r="T66" s="18">
        <v>190443</v>
      </c>
      <c r="U66" s="20" t="s">
        <v>597</v>
      </c>
      <c r="V66" s="20">
        <v>67</v>
      </c>
      <c r="W66" s="18" t="s">
        <v>877</v>
      </c>
      <c r="X66" s="18" t="s">
        <v>1067</v>
      </c>
      <c r="Y66" s="20" t="s">
        <v>365</v>
      </c>
      <c r="Z66" s="18" t="s">
        <v>837</v>
      </c>
    </row>
    <row r="67" spans="1:26" hidden="1">
      <c r="A67" s="18">
        <v>161305</v>
      </c>
      <c r="B67" s="18">
        <v>161305</v>
      </c>
      <c r="C67" s="18" t="s">
        <v>595</v>
      </c>
      <c r="D67" s="19" t="s">
        <v>596</v>
      </c>
      <c r="E67" s="19" t="s">
        <v>401</v>
      </c>
      <c r="F67" s="20">
        <v>130</v>
      </c>
      <c r="G67" s="21" t="s">
        <v>193</v>
      </c>
      <c r="H67" s="21" t="s">
        <v>194</v>
      </c>
      <c r="I67" s="21" t="s">
        <v>215</v>
      </c>
      <c r="J67" s="22">
        <v>46057</v>
      </c>
      <c r="K67" s="21" t="s">
        <v>13</v>
      </c>
      <c r="L67" s="21" t="s">
        <v>363</v>
      </c>
      <c r="M67" s="20">
        <v>670</v>
      </c>
      <c r="N67" s="20">
        <v>68</v>
      </c>
      <c r="O67" s="20" t="s">
        <v>163</v>
      </c>
      <c r="P67" s="20">
        <v>674</v>
      </c>
      <c r="Q67" s="20" t="s">
        <v>360</v>
      </c>
      <c r="R67" s="20" t="s">
        <v>361</v>
      </c>
      <c r="S67" s="18" t="s">
        <v>362</v>
      </c>
      <c r="T67" s="18">
        <v>190444</v>
      </c>
      <c r="U67" s="20" t="s">
        <v>597</v>
      </c>
      <c r="V67" s="20">
        <v>67</v>
      </c>
      <c r="W67" s="18" t="s">
        <v>877</v>
      </c>
      <c r="X67" s="18" t="s">
        <v>1067</v>
      </c>
      <c r="Y67" s="20" t="s">
        <v>365</v>
      </c>
      <c r="Z67" s="18" t="s">
        <v>837</v>
      </c>
    </row>
    <row r="68" spans="1:26" hidden="1">
      <c r="A68" s="18">
        <v>161306</v>
      </c>
      <c r="B68" s="18">
        <v>161306</v>
      </c>
      <c r="C68" s="18" t="s">
        <v>284</v>
      </c>
      <c r="D68" s="19" t="s">
        <v>285</v>
      </c>
      <c r="E68" s="19" t="s">
        <v>401</v>
      </c>
      <c r="F68" s="20">
        <v>365</v>
      </c>
      <c r="G68" s="21" t="s">
        <v>169</v>
      </c>
      <c r="H68" s="21" t="s">
        <v>164</v>
      </c>
      <c r="I68" s="21" t="s">
        <v>283</v>
      </c>
      <c r="J68" s="22">
        <v>46051</v>
      </c>
      <c r="K68" s="21" t="s">
        <v>15</v>
      </c>
      <c r="L68" s="21" t="s">
        <v>358</v>
      </c>
      <c r="M68" s="20">
        <v>670</v>
      </c>
      <c r="N68" s="20">
        <v>67</v>
      </c>
      <c r="O68" s="20" t="s">
        <v>163</v>
      </c>
      <c r="P68" s="20">
        <v>674</v>
      </c>
      <c r="Q68" s="20" t="s">
        <v>360</v>
      </c>
      <c r="R68" s="20" t="s">
        <v>361</v>
      </c>
      <c r="S68" s="18" t="s">
        <v>362</v>
      </c>
      <c r="T68" s="18">
        <v>190375</v>
      </c>
      <c r="U68" s="20" t="s">
        <v>403</v>
      </c>
      <c r="V68" s="20">
        <v>67</v>
      </c>
      <c r="W68" s="18" t="s">
        <v>373</v>
      </c>
      <c r="X68" s="18" t="s">
        <v>364</v>
      </c>
      <c r="Y68" s="20" t="s">
        <v>365</v>
      </c>
      <c r="Z68" s="18" t="s">
        <v>373</v>
      </c>
    </row>
    <row r="69" spans="1:26" hidden="1">
      <c r="A69" s="18">
        <v>161307</v>
      </c>
      <c r="B69" s="18">
        <v>161307</v>
      </c>
      <c r="C69" s="18" t="s">
        <v>598</v>
      </c>
      <c r="D69" s="19" t="s">
        <v>599</v>
      </c>
      <c r="E69" s="19" t="s">
        <v>600</v>
      </c>
      <c r="F69" s="20">
        <v>365</v>
      </c>
      <c r="G69" s="21" t="s">
        <v>169</v>
      </c>
      <c r="H69" s="23" t="s">
        <v>558</v>
      </c>
      <c r="I69" s="21"/>
      <c r="J69" s="22"/>
      <c r="K69" s="21"/>
      <c r="L69" s="21"/>
      <c r="M69" s="20">
        <v>670</v>
      </c>
      <c r="N69" s="20">
        <v>40</v>
      </c>
      <c r="O69" s="20" t="s">
        <v>163</v>
      </c>
      <c r="P69" s="20">
        <v>674</v>
      </c>
      <c r="Q69" s="20" t="s">
        <v>360</v>
      </c>
      <c r="R69" s="20" t="s">
        <v>361</v>
      </c>
      <c r="S69" s="18" t="s">
        <v>362</v>
      </c>
      <c r="T69" s="18">
        <v>190354</v>
      </c>
      <c r="U69" s="20" t="s">
        <v>27</v>
      </c>
      <c r="V69" s="20">
        <v>67</v>
      </c>
      <c r="W69" s="18" t="s">
        <v>476</v>
      </c>
      <c r="X69" s="18" t="s">
        <v>931</v>
      </c>
      <c r="Y69" s="20" t="s">
        <v>931</v>
      </c>
      <c r="Z69" s="18" t="s">
        <v>476</v>
      </c>
    </row>
    <row r="70" spans="1:26" hidden="1">
      <c r="A70" s="18">
        <v>161308</v>
      </c>
      <c r="B70" s="18">
        <v>161308</v>
      </c>
      <c r="C70" s="18" t="s">
        <v>598</v>
      </c>
      <c r="D70" s="19" t="s">
        <v>599</v>
      </c>
      <c r="E70" s="19" t="s">
        <v>601</v>
      </c>
      <c r="F70" s="20">
        <v>365</v>
      </c>
      <c r="G70" s="21" t="s">
        <v>169</v>
      </c>
      <c r="H70" s="23" t="s">
        <v>558</v>
      </c>
      <c r="I70" s="21"/>
      <c r="J70" s="22"/>
      <c r="K70" s="21"/>
      <c r="L70" s="21"/>
      <c r="M70" s="20">
        <v>670</v>
      </c>
      <c r="N70" s="20">
        <v>40</v>
      </c>
      <c r="O70" s="20" t="s">
        <v>163</v>
      </c>
      <c r="P70" s="20">
        <v>674</v>
      </c>
      <c r="Q70" s="20" t="s">
        <v>360</v>
      </c>
      <c r="R70" s="20" t="s">
        <v>361</v>
      </c>
      <c r="S70" s="18" t="s">
        <v>362</v>
      </c>
      <c r="T70" s="18">
        <v>190355</v>
      </c>
      <c r="U70" s="20" t="s">
        <v>23</v>
      </c>
      <c r="V70" s="20">
        <v>67</v>
      </c>
      <c r="W70" s="18" t="s">
        <v>448</v>
      </c>
      <c r="X70" s="18" t="s">
        <v>998</v>
      </c>
      <c r="Y70" s="20" t="s">
        <v>931</v>
      </c>
      <c r="Z70" s="18" t="s">
        <v>476</v>
      </c>
    </row>
    <row r="71" spans="1:26" hidden="1">
      <c r="A71" s="18">
        <v>161309</v>
      </c>
      <c r="B71" s="18">
        <v>161309</v>
      </c>
      <c r="C71" s="18" t="s">
        <v>598</v>
      </c>
      <c r="D71" s="19" t="s">
        <v>599</v>
      </c>
      <c r="E71" s="19" t="s">
        <v>602</v>
      </c>
      <c r="F71" s="20">
        <v>365</v>
      </c>
      <c r="G71" s="21" t="s">
        <v>169</v>
      </c>
      <c r="H71" s="23" t="s">
        <v>558</v>
      </c>
      <c r="I71" s="21"/>
      <c r="J71" s="22"/>
      <c r="K71" s="21"/>
      <c r="L71" s="21"/>
      <c r="M71" s="20">
        <v>670</v>
      </c>
      <c r="N71" s="20">
        <v>40</v>
      </c>
      <c r="O71" s="20" t="s">
        <v>163</v>
      </c>
      <c r="P71" s="20">
        <v>674</v>
      </c>
      <c r="Q71" s="20" t="s">
        <v>360</v>
      </c>
      <c r="R71" s="20" t="s">
        <v>361</v>
      </c>
      <c r="S71" s="18" t="s">
        <v>362</v>
      </c>
      <c r="T71" s="18">
        <v>190356</v>
      </c>
      <c r="U71" s="20" t="s">
        <v>23</v>
      </c>
      <c r="V71" s="20">
        <v>67</v>
      </c>
      <c r="W71" s="18" t="s">
        <v>410</v>
      </c>
      <c r="X71" s="18" t="s">
        <v>931</v>
      </c>
      <c r="Y71" s="20" t="s">
        <v>931</v>
      </c>
      <c r="Z71" s="18" t="s">
        <v>476</v>
      </c>
    </row>
    <row r="72" spans="1:26" hidden="1">
      <c r="A72" s="18">
        <v>161310</v>
      </c>
      <c r="B72" s="18">
        <v>161310</v>
      </c>
      <c r="C72" s="18" t="s">
        <v>411</v>
      </c>
      <c r="D72" s="19" t="s">
        <v>412</v>
      </c>
      <c r="E72" s="19" t="s">
        <v>401</v>
      </c>
      <c r="F72" s="20">
        <v>131</v>
      </c>
      <c r="G72" s="21" t="s">
        <v>196</v>
      </c>
      <c r="H72" s="21" t="s">
        <v>164</v>
      </c>
      <c r="I72" s="21" t="s">
        <v>278</v>
      </c>
      <c r="J72" s="22">
        <v>46049</v>
      </c>
      <c r="K72" s="21" t="s">
        <v>15</v>
      </c>
      <c r="L72" s="21" t="s">
        <v>358</v>
      </c>
      <c r="M72" s="20">
        <v>670</v>
      </c>
      <c r="N72" s="20">
        <v>43</v>
      </c>
      <c r="O72" s="20" t="s">
        <v>163</v>
      </c>
      <c r="P72" s="20">
        <v>674</v>
      </c>
      <c r="Q72" s="20" t="s">
        <v>360</v>
      </c>
      <c r="R72" s="20" t="s">
        <v>361</v>
      </c>
      <c r="S72" s="18" t="s">
        <v>362</v>
      </c>
      <c r="T72" s="18">
        <v>190338</v>
      </c>
      <c r="U72" s="20" t="s">
        <v>363</v>
      </c>
      <c r="V72" s="20">
        <v>67</v>
      </c>
      <c r="W72" s="18" t="s">
        <v>413</v>
      </c>
      <c r="X72" s="18" t="s">
        <v>364</v>
      </c>
      <c r="Y72" s="20" t="s">
        <v>365</v>
      </c>
      <c r="Z72" s="18" t="s">
        <v>414</v>
      </c>
    </row>
    <row r="73" spans="1:26" hidden="1">
      <c r="A73" s="18">
        <v>161310</v>
      </c>
      <c r="B73" s="18">
        <v>161310</v>
      </c>
      <c r="C73" s="18" t="s">
        <v>411</v>
      </c>
      <c r="D73" s="19" t="s">
        <v>412</v>
      </c>
      <c r="E73" s="19" t="s">
        <v>401</v>
      </c>
      <c r="F73" s="20">
        <v>130</v>
      </c>
      <c r="G73" s="21" t="s">
        <v>193</v>
      </c>
      <c r="H73" s="21" t="s">
        <v>164</v>
      </c>
      <c r="I73" s="21" t="s">
        <v>278</v>
      </c>
      <c r="J73" s="22">
        <v>46049</v>
      </c>
      <c r="K73" s="21" t="s">
        <v>15</v>
      </c>
      <c r="L73" s="21" t="s">
        <v>358</v>
      </c>
      <c r="M73" s="20">
        <v>670</v>
      </c>
      <c r="N73" s="20">
        <v>43</v>
      </c>
      <c r="O73" s="20" t="s">
        <v>163</v>
      </c>
      <c r="P73" s="20">
        <v>674</v>
      </c>
      <c r="Q73" s="20" t="s">
        <v>360</v>
      </c>
      <c r="R73" s="20" t="s">
        <v>361</v>
      </c>
      <c r="S73" s="18" t="s">
        <v>362</v>
      </c>
      <c r="T73" s="18">
        <v>190339</v>
      </c>
      <c r="U73" s="20" t="s">
        <v>363</v>
      </c>
      <c r="V73" s="20">
        <v>67</v>
      </c>
      <c r="W73" s="18" t="s">
        <v>413</v>
      </c>
      <c r="X73" s="18" t="s">
        <v>364</v>
      </c>
      <c r="Y73" s="20" t="s">
        <v>365</v>
      </c>
      <c r="Z73" s="18" t="s">
        <v>414</v>
      </c>
    </row>
    <row r="74" spans="1:26">
      <c r="A74" s="18">
        <v>161311</v>
      </c>
      <c r="B74" s="18">
        <v>161311</v>
      </c>
      <c r="C74" s="18" t="s">
        <v>88</v>
      </c>
      <c r="D74" s="19" t="s">
        <v>415</v>
      </c>
      <c r="E74" s="19" t="s">
        <v>416</v>
      </c>
      <c r="F74" s="20">
        <v>130</v>
      </c>
      <c r="G74" s="21" t="s">
        <v>193</v>
      </c>
      <c r="H74" s="21" t="s">
        <v>228</v>
      </c>
      <c r="I74" s="21" t="s">
        <v>417</v>
      </c>
      <c r="J74" s="22">
        <v>46046</v>
      </c>
      <c r="K74" s="21" t="s">
        <v>14</v>
      </c>
      <c r="L74" s="21" t="s">
        <v>358</v>
      </c>
      <c r="M74" s="20">
        <v>670</v>
      </c>
      <c r="N74" s="20">
        <v>61</v>
      </c>
      <c r="O74" s="20" t="s">
        <v>163</v>
      </c>
      <c r="P74" s="20">
        <v>674</v>
      </c>
      <c r="Q74" s="20" t="s">
        <v>360</v>
      </c>
      <c r="R74" s="20" t="s">
        <v>361</v>
      </c>
      <c r="S74" s="18" t="s">
        <v>362</v>
      </c>
      <c r="T74" s="18">
        <v>190360</v>
      </c>
      <c r="U74" s="20" t="s">
        <v>378</v>
      </c>
      <c r="V74" s="20">
        <v>68</v>
      </c>
      <c r="W74" s="18" t="s">
        <v>418</v>
      </c>
      <c r="X74" s="18" t="s">
        <v>364</v>
      </c>
      <c r="Y74" s="20" t="s">
        <v>365</v>
      </c>
      <c r="Z74" s="18" t="s">
        <v>409</v>
      </c>
    </row>
    <row r="75" spans="1:26">
      <c r="A75" s="18">
        <v>161311</v>
      </c>
      <c r="B75" s="18">
        <v>161311</v>
      </c>
      <c r="C75" s="18" t="s">
        <v>88</v>
      </c>
      <c r="D75" s="19" t="s">
        <v>415</v>
      </c>
      <c r="E75" s="19" t="s">
        <v>416</v>
      </c>
      <c r="F75" s="20">
        <v>131</v>
      </c>
      <c r="G75" s="21" t="s">
        <v>196</v>
      </c>
      <c r="H75" s="21" t="s">
        <v>228</v>
      </c>
      <c r="I75" s="21" t="s">
        <v>417</v>
      </c>
      <c r="J75" s="22">
        <v>46046</v>
      </c>
      <c r="K75" s="21" t="s">
        <v>14</v>
      </c>
      <c r="L75" s="21" t="s">
        <v>358</v>
      </c>
      <c r="M75" s="20">
        <v>670</v>
      </c>
      <c r="N75" s="20">
        <v>61</v>
      </c>
      <c r="O75" s="20" t="s">
        <v>163</v>
      </c>
      <c r="P75" s="20">
        <v>674</v>
      </c>
      <c r="Q75" s="20" t="s">
        <v>360</v>
      </c>
      <c r="R75" s="20" t="s">
        <v>361</v>
      </c>
      <c r="S75" s="18" t="s">
        <v>362</v>
      </c>
      <c r="T75" s="18">
        <v>190359</v>
      </c>
      <c r="U75" s="20" t="s">
        <v>378</v>
      </c>
      <c r="V75" s="20">
        <v>68</v>
      </c>
      <c r="W75" s="18" t="s">
        <v>418</v>
      </c>
      <c r="X75" s="18" t="s">
        <v>364</v>
      </c>
      <c r="Y75" s="20" t="s">
        <v>365</v>
      </c>
      <c r="Z75" s="18" t="s">
        <v>409</v>
      </c>
    </row>
    <row r="76" spans="1:26">
      <c r="A76" s="18">
        <v>161312</v>
      </c>
      <c r="B76" s="18">
        <v>161312</v>
      </c>
      <c r="C76" s="18" t="s">
        <v>88</v>
      </c>
      <c r="D76" s="19" t="s">
        <v>415</v>
      </c>
      <c r="E76" s="19" t="s">
        <v>419</v>
      </c>
      <c r="F76" s="20">
        <v>130</v>
      </c>
      <c r="G76" s="21" t="s">
        <v>193</v>
      </c>
      <c r="H76" s="21" t="s">
        <v>228</v>
      </c>
      <c r="I76" s="21" t="s">
        <v>417</v>
      </c>
      <c r="J76" s="22">
        <v>46046</v>
      </c>
      <c r="K76" s="21" t="s">
        <v>14</v>
      </c>
      <c r="L76" s="21" t="s">
        <v>358</v>
      </c>
      <c r="M76" s="20">
        <v>670</v>
      </c>
      <c r="N76" s="20">
        <v>52</v>
      </c>
      <c r="O76" s="20" t="s">
        <v>163</v>
      </c>
      <c r="P76" s="20">
        <v>674</v>
      </c>
      <c r="Q76" s="20" t="s">
        <v>360</v>
      </c>
      <c r="R76" s="20" t="s">
        <v>361</v>
      </c>
      <c r="S76" s="18" t="s">
        <v>362</v>
      </c>
      <c r="T76" s="18">
        <v>190362</v>
      </c>
      <c r="U76" s="20" t="s">
        <v>378</v>
      </c>
      <c r="V76" s="20">
        <v>68</v>
      </c>
      <c r="W76" s="18" t="s">
        <v>420</v>
      </c>
      <c r="X76" s="18" t="s">
        <v>364</v>
      </c>
      <c r="Y76" s="20" t="s">
        <v>365</v>
      </c>
      <c r="Z76" s="18" t="s">
        <v>409</v>
      </c>
    </row>
    <row r="77" spans="1:26">
      <c r="A77" s="18">
        <v>161312</v>
      </c>
      <c r="B77" s="18">
        <v>161312</v>
      </c>
      <c r="C77" s="18" t="s">
        <v>88</v>
      </c>
      <c r="D77" s="19" t="s">
        <v>415</v>
      </c>
      <c r="E77" s="19" t="s">
        <v>419</v>
      </c>
      <c r="F77" s="20">
        <v>131</v>
      </c>
      <c r="G77" s="21" t="s">
        <v>196</v>
      </c>
      <c r="H77" s="21" t="s">
        <v>228</v>
      </c>
      <c r="I77" s="21" t="s">
        <v>417</v>
      </c>
      <c r="J77" s="22">
        <v>46046</v>
      </c>
      <c r="K77" s="21" t="s">
        <v>14</v>
      </c>
      <c r="L77" s="21" t="s">
        <v>358</v>
      </c>
      <c r="M77" s="20">
        <v>670</v>
      </c>
      <c r="N77" s="20">
        <v>52</v>
      </c>
      <c r="O77" s="20" t="s">
        <v>163</v>
      </c>
      <c r="P77" s="20">
        <v>674</v>
      </c>
      <c r="Q77" s="20" t="s">
        <v>360</v>
      </c>
      <c r="R77" s="20" t="s">
        <v>361</v>
      </c>
      <c r="S77" s="18" t="s">
        <v>362</v>
      </c>
      <c r="T77" s="18">
        <v>190361</v>
      </c>
      <c r="U77" s="20" t="s">
        <v>378</v>
      </c>
      <c r="V77" s="20">
        <v>68</v>
      </c>
      <c r="W77" s="18" t="s">
        <v>420</v>
      </c>
      <c r="X77" s="18" t="s">
        <v>364</v>
      </c>
      <c r="Y77" s="20" t="s">
        <v>365</v>
      </c>
      <c r="Z77" s="18" t="s">
        <v>409</v>
      </c>
    </row>
    <row r="78" spans="1:26" hidden="1">
      <c r="A78" s="18">
        <v>161313</v>
      </c>
      <c r="B78" s="18">
        <v>161313</v>
      </c>
      <c r="C78" s="18" t="s">
        <v>421</v>
      </c>
      <c r="D78" s="19" t="s">
        <v>280</v>
      </c>
      <c r="E78" s="19" t="s">
        <v>422</v>
      </c>
      <c r="F78" s="20">
        <v>131</v>
      </c>
      <c r="G78" s="21" t="s">
        <v>196</v>
      </c>
      <c r="H78" s="21" t="s">
        <v>164</v>
      </c>
      <c r="I78" s="21" t="s">
        <v>278</v>
      </c>
      <c r="J78" s="22">
        <v>46049</v>
      </c>
      <c r="K78" s="21" t="s">
        <v>15</v>
      </c>
      <c r="L78" s="21" t="s">
        <v>358</v>
      </c>
      <c r="M78" s="20">
        <v>670</v>
      </c>
      <c r="N78" s="20">
        <v>65</v>
      </c>
      <c r="O78" s="20" t="s">
        <v>163</v>
      </c>
      <c r="P78" s="20">
        <v>674</v>
      </c>
      <c r="Q78" s="20" t="s">
        <v>360</v>
      </c>
      <c r="R78" s="20" t="s">
        <v>361</v>
      </c>
      <c r="S78" s="18" t="s">
        <v>362</v>
      </c>
      <c r="T78" s="18">
        <v>190334</v>
      </c>
      <c r="U78" s="20" t="s">
        <v>378</v>
      </c>
      <c r="V78" s="20">
        <v>68</v>
      </c>
      <c r="W78" s="18" t="s">
        <v>414</v>
      </c>
      <c r="X78" s="18" t="s">
        <v>364</v>
      </c>
      <c r="Y78" s="20" t="s">
        <v>365</v>
      </c>
      <c r="Z78" s="18" t="s">
        <v>414</v>
      </c>
    </row>
    <row r="79" spans="1:26" hidden="1">
      <c r="A79" s="18">
        <v>161313</v>
      </c>
      <c r="B79" s="18">
        <v>161313</v>
      </c>
      <c r="C79" s="18" t="s">
        <v>421</v>
      </c>
      <c r="D79" s="19" t="s">
        <v>280</v>
      </c>
      <c r="E79" s="19" t="s">
        <v>422</v>
      </c>
      <c r="F79" s="20">
        <v>130</v>
      </c>
      <c r="G79" s="21" t="s">
        <v>193</v>
      </c>
      <c r="H79" s="21" t="s">
        <v>164</v>
      </c>
      <c r="I79" s="21" t="s">
        <v>278</v>
      </c>
      <c r="J79" s="22">
        <v>46049</v>
      </c>
      <c r="K79" s="21" t="s">
        <v>15</v>
      </c>
      <c r="L79" s="21" t="s">
        <v>358</v>
      </c>
      <c r="M79" s="20">
        <v>670</v>
      </c>
      <c r="N79" s="20">
        <v>66</v>
      </c>
      <c r="O79" s="20" t="s">
        <v>163</v>
      </c>
      <c r="P79" s="20">
        <v>674</v>
      </c>
      <c r="Q79" s="20" t="s">
        <v>360</v>
      </c>
      <c r="R79" s="20" t="s">
        <v>361</v>
      </c>
      <c r="S79" s="18" t="s">
        <v>362</v>
      </c>
      <c r="T79" s="18">
        <v>190335</v>
      </c>
      <c r="U79" s="20" t="s">
        <v>378</v>
      </c>
      <c r="V79" s="20">
        <v>68</v>
      </c>
      <c r="W79" s="18" t="s">
        <v>414</v>
      </c>
      <c r="X79" s="18" t="s">
        <v>364</v>
      </c>
      <c r="Y79" s="20" t="s">
        <v>365</v>
      </c>
      <c r="Z79" s="18" t="s">
        <v>414</v>
      </c>
    </row>
    <row r="80" spans="1:26" hidden="1">
      <c r="A80" s="18">
        <v>161314</v>
      </c>
      <c r="B80" s="18">
        <v>161314</v>
      </c>
      <c r="C80" s="18" t="s">
        <v>421</v>
      </c>
      <c r="D80" s="19" t="s">
        <v>280</v>
      </c>
      <c r="E80" s="19" t="s">
        <v>423</v>
      </c>
      <c r="F80" s="20">
        <v>131</v>
      </c>
      <c r="G80" s="21" t="s">
        <v>196</v>
      </c>
      <c r="H80" s="21" t="s">
        <v>164</v>
      </c>
      <c r="I80" s="21" t="s">
        <v>278</v>
      </c>
      <c r="J80" s="22">
        <v>46049</v>
      </c>
      <c r="K80" s="21" t="s">
        <v>15</v>
      </c>
      <c r="L80" s="21" t="s">
        <v>358</v>
      </c>
      <c r="M80" s="20">
        <v>670</v>
      </c>
      <c r="N80" s="20">
        <v>48</v>
      </c>
      <c r="O80" s="20" t="s">
        <v>163</v>
      </c>
      <c r="P80" s="20">
        <v>674</v>
      </c>
      <c r="Q80" s="20" t="s">
        <v>360</v>
      </c>
      <c r="R80" s="20" t="s">
        <v>361</v>
      </c>
      <c r="S80" s="18" t="s">
        <v>362</v>
      </c>
      <c r="T80" s="18">
        <v>190337</v>
      </c>
      <c r="U80" s="20" t="s">
        <v>378</v>
      </c>
      <c r="V80" s="20">
        <v>68</v>
      </c>
      <c r="W80" s="18" t="s">
        <v>413</v>
      </c>
      <c r="X80" s="18" t="s">
        <v>364</v>
      </c>
      <c r="Y80" s="20" t="s">
        <v>365</v>
      </c>
      <c r="Z80" s="18" t="s">
        <v>414</v>
      </c>
    </row>
    <row r="81" spans="1:26" hidden="1">
      <c r="A81" s="18">
        <v>161314</v>
      </c>
      <c r="B81" s="18">
        <v>161314</v>
      </c>
      <c r="C81" s="18" t="s">
        <v>421</v>
      </c>
      <c r="D81" s="19" t="s">
        <v>280</v>
      </c>
      <c r="E81" s="19" t="s">
        <v>423</v>
      </c>
      <c r="F81" s="20">
        <v>130</v>
      </c>
      <c r="G81" s="21" t="s">
        <v>193</v>
      </c>
      <c r="H81" s="21" t="s">
        <v>164</v>
      </c>
      <c r="I81" s="21" t="s">
        <v>278</v>
      </c>
      <c r="J81" s="22">
        <v>46049</v>
      </c>
      <c r="K81" s="21" t="s">
        <v>15</v>
      </c>
      <c r="L81" s="21" t="s">
        <v>358</v>
      </c>
      <c r="M81" s="20">
        <v>670</v>
      </c>
      <c r="N81" s="20">
        <v>49</v>
      </c>
      <c r="O81" s="20" t="s">
        <v>163</v>
      </c>
      <c r="P81" s="20">
        <v>674</v>
      </c>
      <c r="Q81" s="20" t="s">
        <v>360</v>
      </c>
      <c r="R81" s="20" t="s">
        <v>361</v>
      </c>
      <c r="S81" s="18" t="s">
        <v>362</v>
      </c>
      <c r="T81" s="18">
        <v>190336</v>
      </c>
      <c r="U81" s="20" t="s">
        <v>378</v>
      </c>
      <c r="V81" s="20">
        <v>68</v>
      </c>
      <c r="W81" s="18" t="s">
        <v>413</v>
      </c>
      <c r="X81" s="18" t="s">
        <v>364</v>
      </c>
      <c r="Y81" s="20" t="s">
        <v>365</v>
      </c>
      <c r="Z81" s="18" t="s">
        <v>414</v>
      </c>
    </row>
    <row r="82" spans="1:26">
      <c r="A82" s="18">
        <v>161315</v>
      </c>
      <c r="B82" s="18">
        <v>161315</v>
      </c>
      <c r="C82" s="18" t="s">
        <v>235</v>
      </c>
      <c r="D82" s="19" t="s">
        <v>236</v>
      </c>
      <c r="E82" s="19" t="s">
        <v>424</v>
      </c>
      <c r="F82" s="20">
        <v>130</v>
      </c>
      <c r="G82" s="21" t="s">
        <v>193</v>
      </c>
      <c r="H82" s="21" t="s">
        <v>194</v>
      </c>
      <c r="I82" s="21" t="s">
        <v>238</v>
      </c>
      <c r="J82" s="22">
        <v>46059</v>
      </c>
      <c r="K82" s="21" t="s">
        <v>371</v>
      </c>
      <c r="L82" s="21" t="s">
        <v>358</v>
      </c>
      <c r="M82" s="20">
        <v>670</v>
      </c>
      <c r="N82" s="20">
        <v>58</v>
      </c>
      <c r="O82" s="20" t="s">
        <v>163</v>
      </c>
      <c r="P82" s="20">
        <v>674</v>
      </c>
      <c r="Q82" s="20" t="s">
        <v>360</v>
      </c>
      <c r="R82" s="20" t="s">
        <v>361</v>
      </c>
      <c r="S82" s="18" t="s">
        <v>362</v>
      </c>
      <c r="T82" s="18">
        <v>190119</v>
      </c>
      <c r="U82" s="20" t="s">
        <v>425</v>
      </c>
      <c r="V82" s="20">
        <v>68</v>
      </c>
      <c r="W82" s="18" t="s">
        <v>387</v>
      </c>
      <c r="X82" s="18" t="s">
        <v>364</v>
      </c>
      <c r="Y82" s="20" t="s">
        <v>365</v>
      </c>
      <c r="Z82" s="18" t="s">
        <v>387</v>
      </c>
    </row>
    <row r="83" spans="1:26">
      <c r="A83" s="18">
        <v>161315</v>
      </c>
      <c r="B83" s="18">
        <v>161315</v>
      </c>
      <c r="C83" s="18" t="s">
        <v>235</v>
      </c>
      <c r="D83" s="19" t="s">
        <v>236</v>
      </c>
      <c r="E83" s="19" t="s">
        <v>424</v>
      </c>
      <c r="F83" s="20">
        <v>131</v>
      </c>
      <c r="G83" s="21" t="s">
        <v>196</v>
      </c>
      <c r="H83" s="21" t="s">
        <v>194</v>
      </c>
      <c r="I83" s="21" t="s">
        <v>238</v>
      </c>
      <c r="J83" s="22">
        <v>46059</v>
      </c>
      <c r="K83" s="21" t="s">
        <v>371</v>
      </c>
      <c r="L83" s="21" t="s">
        <v>358</v>
      </c>
      <c r="M83" s="20">
        <v>670</v>
      </c>
      <c r="N83" s="20">
        <v>59</v>
      </c>
      <c r="O83" s="20" t="s">
        <v>163</v>
      </c>
      <c r="P83" s="20">
        <v>674</v>
      </c>
      <c r="Q83" s="20" t="s">
        <v>360</v>
      </c>
      <c r="R83" s="20" t="s">
        <v>361</v>
      </c>
      <c r="S83" s="18" t="s">
        <v>362</v>
      </c>
      <c r="T83" s="18">
        <v>190120</v>
      </c>
      <c r="U83" s="20" t="s">
        <v>425</v>
      </c>
      <c r="V83" s="20">
        <v>68</v>
      </c>
      <c r="W83" s="18" t="s">
        <v>387</v>
      </c>
      <c r="X83" s="18" t="s">
        <v>364</v>
      </c>
      <c r="Y83" s="20" t="s">
        <v>365</v>
      </c>
      <c r="Z83" s="18" t="s">
        <v>387</v>
      </c>
    </row>
    <row r="84" spans="1:26">
      <c r="A84" s="18">
        <v>161316</v>
      </c>
      <c r="B84" s="18">
        <v>161316</v>
      </c>
      <c r="C84" s="18" t="s">
        <v>235</v>
      </c>
      <c r="D84" s="19" t="s">
        <v>236</v>
      </c>
      <c r="E84" s="19" t="s">
        <v>426</v>
      </c>
      <c r="F84" s="20">
        <v>130</v>
      </c>
      <c r="G84" s="21" t="s">
        <v>193</v>
      </c>
      <c r="H84" s="21" t="s">
        <v>194</v>
      </c>
      <c r="I84" s="21" t="s">
        <v>238</v>
      </c>
      <c r="J84" s="22">
        <v>46059</v>
      </c>
      <c r="K84" s="21" t="s">
        <v>371</v>
      </c>
      <c r="L84" s="21" t="s">
        <v>358</v>
      </c>
      <c r="M84" s="20">
        <v>670</v>
      </c>
      <c r="N84" s="20">
        <v>56</v>
      </c>
      <c r="O84" s="20" t="s">
        <v>163</v>
      </c>
      <c r="P84" s="20">
        <v>674</v>
      </c>
      <c r="Q84" s="20" t="s">
        <v>360</v>
      </c>
      <c r="R84" s="20" t="s">
        <v>361</v>
      </c>
      <c r="S84" s="18" t="s">
        <v>362</v>
      </c>
      <c r="T84" s="18">
        <v>190122</v>
      </c>
      <c r="U84" s="20" t="s">
        <v>428</v>
      </c>
      <c r="V84" s="20">
        <v>68</v>
      </c>
      <c r="W84" s="18" t="s">
        <v>427</v>
      </c>
      <c r="X84" s="18" t="s">
        <v>364</v>
      </c>
      <c r="Y84" s="20" t="s">
        <v>365</v>
      </c>
      <c r="Z84" s="18" t="s">
        <v>387</v>
      </c>
    </row>
    <row r="85" spans="1:26">
      <c r="A85" s="18">
        <v>161316</v>
      </c>
      <c r="B85" s="18">
        <v>161316</v>
      </c>
      <c r="C85" s="18" t="s">
        <v>235</v>
      </c>
      <c r="D85" s="19" t="s">
        <v>236</v>
      </c>
      <c r="E85" s="19" t="s">
        <v>426</v>
      </c>
      <c r="F85" s="20">
        <v>131</v>
      </c>
      <c r="G85" s="21" t="s">
        <v>196</v>
      </c>
      <c r="H85" s="21" t="s">
        <v>194</v>
      </c>
      <c r="I85" s="21" t="s">
        <v>238</v>
      </c>
      <c r="J85" s="22">
        <v>46059</v>
      </c>
      <c r="K85" s="21" t="s">
        <v>371</v>
      </c>
      <c r="L85" s="21" t="s">
        <v>358</v>
      </c>
      <c r="M85" s="20">
        <v>670</v>
      </c>
      <c r="N85" s="20">
        <v>55</v>
      </c>
      <c r="O85" s="20" t="s">
        <v>163</v>
      </c>
      <c r="P85" s="20">
        <v>674</v>
      </c>
      <c r="Q85" s="20" t="s">
        <v>360</v>
      </c>
      <c r="R85" s="20" t="s">
        <v>361</v>
      </c>
      <c r="S85" s="18" t="s">
        <v>362</v>
      </c>
      <c r="T85" s="18">
        <v>190121</v>
      </c>
      <c r="U85" s="20" t="s">
        <v>428</v>
      </c>
      <c r="V85" s="20">
        <v>68</v>
      </c>
      <c r="W85" s="18" t="s">
        <v>427</v>
      </c>
      <c r="X85" s="18" t="s">
        <v>364</v>
      </c>
      <c r="Y85" s="20" t="s">
        <v>365</v>
      </c>
      <c r="Z85" s="18" t="s">
        <v>387</v>
      </c>
    </row>
    <row r="86" spans="1:26">
      <c r="A86" s="18">
        <v>161317</v>
      </c>
      <c r="B86" s="18">
        <v>161317</v>
      </c>
      <c r="C86" s="18" t="s">
        <v>235</v>
      </c>
      <c r="D86" s="19" t="s">
        <v>236</v>
      </c>
      <c r="E86" s="19" t="s">
        <v>429</v>
      </c>
      <c r="F86" s="20">
        <v>131</v>
      </c>
      <c r="G86" s="21" t="s">
        <v>196</v>
      </c>
      <c r="H86" s="21" t="s">
        <v>194</v>
      </c>
      <c r="I86" s="21" t="s">
        <v>238</v>
      </c>
      <c r="J86" s="22">
        <v>46059</v>
      </c>
      <c r="K86" s="21" t="s">
        <v>371</v>
      </c>
      <c r="L86" s="21" t="s">
        <v>358</v>
      </c>
      <c r="M86" s="20">
        <v>670</v>
      </c>
      <c r="N86" s="20">
        <v>55</v>
      </c>
      <c r="O86" s="20" t="s">
        <v>163</v>
      </c>
      <c r="P86" s="20">
        <v>674</v>
      </c>
      <c r="Q86" s="20" t="s">
        <v>360</v>
      </c>
      <c r="R86" s="20" t="s">
        <v>361</v>
      </c>
      <c r="S86" s="18" t="s">
        <v>362</v>
      </c>
      <c r="T86" s="18">
        <v>190124</v>
      </c>
      <c r="U86" s="20" t="s">
        <v>378</v>
      </c>
      <c r="V86" s="20">
        <v>68</v>
      </c>
      <c r="W86" s="18" t="s">
        <v>430</v>
      </c>
      <c r="X86" s="18" t="s">
        <v>364</v>
      </c>
      <c r="Y86" s="20" t="s">
        <v>365</v>
      </c>
      <c r="Z86" s="18" t="s">
        <v>387</v>
      </c>
    </row>
    <row r="87" spans="1:26">
      <c r="A87" s="18">
        <v>161317</v>
      </c>
      <c r="B87" s="18">
        <v>161317</v>
      </c>
      <c r="C87" s="18" t="s">
        <v>235</v>
      </c>
      <c r="D87" s="19" t="s">
        <v>236</v>
      </c>
      <c r="E87" s="19" t="s">
        <v>429</v>
      </c>
      <c r="F87" s="20">
        <v>130</v>
      </c>
      <c r="G87" s="21" t="s">
        <v>193</v>
      </c>
      <c r="H87" s="21" t="s">
        <v>194</v>
      </c>
      <c r="I87" s="21" t="s">
        <v>238</v>
      </c>
      <c r="J87" s="22">
        <v>46059</v>
      </c>
      <c r="K87" s="21" t="s">
        <v>371</v>
      </c>
      <c r="L87" s="21" t="s">
        <v>358</v>
      </c>
      <c r="M87" s="20">
        <v>670</v>
      </c>
      <c r="N87" s="20">
        <v>55</v>
      </c>
      <c r="O87" s="20" t="s">
        <v>163</v>
      </c>
      <c r="P87" s="20">
        <v>674</v>
      </c>
      <c r="Q87" s="20" t="s">
        <v>360</v>
      </c>
      <c r="R87" s="20" t="s">
        <v>361</v>
      </c>
      <c r="S87" s="18" t="s">
        <v>362</v>
      </c>
      <c r="T87" s="18">
        <v>190123</v>
      </c>
      <c r="U87" s="20" t="s">
        <v>378</v>
      </c>
      <c r="V87" s="20">
        <v>68</v>
      </c>
      <c r="W87" s="18" t="s">
        <v>430</v>
      </c>
      <c r="X87" s="18" t="s">
        <v>364</v>
      </c>
      <c r="Y87" s="20" t="s">
        <v>365</v>
      </c>
      <c r="Z87" s="18" t="s">
        <v>387</v>
      </c>
    </row>
    <row r="88" spans="1:26" hidden="1">
      <c r="A88" s="18">
        <v>161318</v>
      </c>
      <c r="B88" s="18">
        <v>161318</v>
      </c>
      <c r="C88" s="18" t="s">
        <v>431</v>
      </c>
      <c r="D88" s="19" t="s">
        <v>432</v>
      </c>
      <c r="E88" s="19" t="s">
        <v>433</v>
      </c>
      <c r="F88" s="20">
        <v>131</v>
      </c>
      <c r="G88" s="21" t="s">
        <v>196</v>
      </c>
      <c r="H88" s="21" t="s">
        <v>164</v>
      </c>
      <c r="I88" s="21" t="s">
        <v>238</v>
      </c>
      <c r="J88" s="22">
        <v>46052</v>
      </c>
      <c r="K88" s="72" t="s">
        <v>15</v>
      </c>
      <c r="L88" s="21" t="s">
        <v>358</v>
      </c>
      <c r="M88" s="20">
        <v>670</v>
      </c>
      <c r="N88" s="20">
        <v>61</v>
      </c>
      <c r="O88" s="20" t="s">
        <v>163</v>
      </c>
      <c r="P88" s="20">
        <v>674</v>
      </c>
      <c r="Q88" s="20" t="s">
        <v>360</v>
      </c>
      <c r="R88" s="20" t="s">
        <v>361</v>
      </c>
      <c r="S88" s="18" t="s">
        <v>362</v>
      </c>
      <c r="T88" s="18">
        <v>190136</v>
      </c>
      <c r="U88" s="20" t="s">
        <v>378</v>
      </c>
      <c r="V88" s="20">
        <v>68</v>
      </c>
      <c r="W88" s="18" t="s">
        <v>435</v>
      </c>
      <c r="X88" s="18" t="s">
        <v>364</v>
      </c>
      <c r="Y88" s="20" t="s">
        <v>365</v>
      </c>
      <c r="Z88" s="18" t="s">
        <v>359</v>
      </c>
    </row>
    <row r="89" spans="1:26" hidden="1">
      <c r="A89" s="18">
        <v>161318</v>
      </c>
      <c r="B89" s="18">
        <v>161318</v>
      </c>
      <c r="C89" s="18" t="s">
        <v>431</v>
      </c>
      <c r="D89" s="19" t="s">
        <v>432</v>
      </c>
      <c r="E89" s="19" t="s">
        <v>433</v>
      </c>
      <c r="F89" s="20">
        <v>130</v>
      </c>
      <c r="G89" s="21" t="s">
        <v>193</v>
      </c>
      <c r="H89" s="21" t="s">
        <v>164</v>
      </c>
      <c r="I89" s="21" t="s">
        <v>238</v>
      </c>
      <c r="J89" s="22">
        <v>46052</v>
      </c>
      <c r="K89" s="72" t="s">
        <v>15</v>
      </c>
      <c r="L89" s="21" t="s">
        <v>358</v>
      </c>
      <c r="M89" s="20">
        <v>670</v>
      </c>
      <c r="N89" s="20">
        <v>60</v>
      </c>
      <c r="O89" s="20" t="s">
        <v>163</v>
      </c>
      <c r="P89" s="20">
        <v>674</v>
      </c>
      <c r="Q89" s="20" t="s">
        <v>360</v>
      </c>
      <c r="R89" s="20" t="s">
        <v>361</v>
      </c>
      <c r="S89" s="18" t="s">
        <v>362</v>
      </c>
      <c r="T89" s="18">
        <v>190135</v>
      </c>
      <c r="U89" s="20" t="s">
        <v>378</v>
      </c>
      <c r="V89" s="20">
        <v>68</v>
      </c>
      <c r="W89" s="18" t="s">
        <v>435</v>
      </c>
      <c r="X89" s="18" t="s">
        <v>364</v>
      </c>
      <c r="Y89" s="20" t="s">
        <v>365</v>
      </c>
      <c r="Z89" s="18" t="s">
        <v>359</v>
      </c>
    </row>
    <row r="90" spans="1:26" hidden="1">
      <c r="A90" s="18">
        <v>161319</v>
      </c>
      <c r="B90" s="18">
        <v>161319</v>
      </c>
      <c r="C90" s="18" t="s">
        <v>431</v>
      </c>
      <c r="D90" s="19" t="s">
        <v>432</v>
      </c>
      <c r="E90" s="19" t="s">
        <v>436</v>
      </c>
      <c r="F90" s="20">
        <v>130</v>
      </c>
      <c r="G90" s="21" t="s">
        <v>193</v>
      </c>
      <c r="H90" s="21" t="s">
        <v>164</v>
      </c>
      <c r="I90" s="21" t="s">
        <v>238</v>
      </c>
      <c r="J90" s="22">
        <v>46052</v>
      </c>
      <c r="K90" s="72" t="s">
        <v>15</v>
      </c>
      <c r="L90" s="21" t="s">
        <v>358</v>
      </c>
      <c r="M90" s="20">
        <v>670</v>
      </c>
      <c r="N90" s="20">
        <v>60</v>
      </c>
      <c r="O90" s="20" t="s">
        <v>163</v>
      </c>
      <c r="P90" s="20">
        <v>674</v>
      </c>
      <c r="Q90" s="20" t="s">
        <v>360</v>
      </c>
      <c r="R90" s="20" t="s">
        <v>361</v>
      </c>
      <c r="S90" s="18" t="s">
        <v>362</v>
      </c>
      <c r="T90" s="18">
        <v>190138</v>
      </c>
      <c r="U90" s="20" t="s">
        <v>363</v>
      </c>
      <c r="V90" s="20">
        <v>68</v>
      </c>
      <c r="W90" s="18" t="s">
        <v>359</v>
      </c>
      <c r="X90" s="18" t="s">
        <v>364</v>
      </c>
      <c r="Y90" s="20" t="s">
        <v>365</v>
      </c>
      <c r="Z90" s="18" t="s">
        <v>359</v>
      </c>
    </row>
    <row r="91" spans="1:26" hidden="1">
      <c r="A91" s="18">
        <v>161319</v>
      </c>
      <c r="B91" s="18">
        <v>161319</v>
      </c>
      <c r="C91" s="18" t="s">
        <v>431</v>
      </c>
      <c r="D91" s="19" t="s">
        <v>432</v>
      </c>
      <c r="E91" s="19" t="s">
        <v>436</v>
      </c>
      <c r="F91" s="20">
        <v>131</v>
      </c>
      <c r="G91" s="21" t="s">
        <v>196</v>
      </c>
      <c r="H91" s="21" t="s">
        <v>164</v>
      </c>
      <c r="I91" s="21" t="s">
        <v>238</v>
      </c>
      <c r="J91" s="22">
        <v>46052</v>
      </c>
      <c r="K91" s="72" t="s">
        <v>15</v>
      </c>
      <c r="L91" s="21" t="s">
        <v>358</v>
      </c>
      <c r="M91" s="20">
        <v>670</v>
      </c>
      <c r="N91" s="20">
        <v>59</v>
      </c>
      <c r="O91" s="20" t="s">
        <v>163</v>
      </c>
      <c r="P91" s="20">
        <v>674</v>
      </c>
      <c r="Q91" s="20" t="s">
        <v>360</v>
      </c>
      <c r="R91" s="20" t="s">
        <v>361</v>
      </c>
      <c r="S91" s="18" t="s">
        <v>362</v>
      </c>
      <c r="T91" s="18">
        <v>190137</v>
      </c>
      <c r="U91" s="20" t="s">
        <v>363</v>
      </c>
      <c r="V91" s="20">
        <v>68</v>
      </c>
      <c r="W91" s="18" t="s">
        <v>359</v>
      </c>
      <c r="X91" s="18" t="s">
        <v>364</v>
      </c>
      <c r="Y91" s="20" t="s">
        <v>365</v>
      </c>
      <c r="Z91" s="18" t="s">
        <v>359</v>
      </c>
    </row>
    <row r="92" spans="1:26" hidden="1">
      <c r="A92" s="18">
        <v>161320</v>
      </c>
      <c r="B92" s="18">
        <v>161320</v>
      </c>
      <c r="C92" s="18" t="s">
        <v>431</v>
      </c>
      <c r="D92" s="19" t="s">
        <v>432</v>
      </c>
      <c r="E92" s="19" t="s">
        <v>429</v>
      </c>
      <c r="F92" s="20">
        <v>130</v>
      </c>
      <c r="G92" s="21" t="s">
        <v>193</v>
      </c>
      <c r="H92" s="21" t="s">
        <v>164</v>
      </c>
      <c r="I92" s="21" t="s">
        <v>238</v>
      </c>
      <c r="J92" s="22">
        <v>46052</v>
      </c>
      <c r="K92" s="72" t="s">
        <v>15</v>
      </c>
      <c r="L92" s="21" t="s">
        <v>358</v>
      </c>
      <c r="M92" s="20">
        <v>670</v>
      </c>
      <c r="N92" s="20">
        <v>46</v>
      </c>
      <c r="O92" s="20" t="s">
        <v>163</v>
      </c>
      <c r="P92" s="20">
        <v>674</v>
      </c>
      <c r="Q92" s="20" t="s">
        <v>360</v>
      </c>
      <c r="R92" s="20" t="s">
        <v>361</v>
      </c>
      <c r="S92" s="18" t="s">
        <v>362</v>
      </c>
      <c r="T92" s="18">
        <v>190140</v>
      </c>
      <c r="U92" s="20" t="s">
        <v>425</v>
      </c>
      <c r="V92" s="20">
        <v>68</v>
      </c>
      <c r="W92" s="18" t="s">
        <v>410</v>
      </c>
      <c r="X92" s="18" t="s">
        <v>364</v>
      </c>
      <c r="Y92" s="20" t="s">
        <v>365</v>
      </c>
      <c r="Z92" s="18" t="s">
        <v>359</v>
      </c>
    </row>
    <row r="93" spans="1:26" hidden="1">
      <c r="A93" s="18">
        <v>161320</v>
      </c>
      <c r="B93" s="18">
        <v>161320</v>
      </c>
      <c r="C93" s="18" t="s">
        <v>431</v>
      </c>
      <c r="D93" s="19" t="s">
        <v>432</v>
      </c>
      <c r="E93" s="19" t="s">
        <v>429</v>
      </c>
      <c r="F93" s="20">
        <v>131</v>
      </c>
      <c r="G93" s="21" t="s">
        <v>196</v>
      </c>
      <c r="H93" s="21" t="s">
        <v>164</v>
      </c>
      <c r="I93" s="21" t="s">
        <v>238</v>
      </c>
      <c r="J93" s="22">
        <v>46052</v>
      </c>
      <c r="K93" s="72" t="s">
        <v>15</v>
      </c>
      <c r="L93" s="21" t="s">
        <v>358</v>
      </c>
      <c r="M93" s="20">
        <v>670</v>
      </c>
      <c r="N93" s="20">
        <v>45</v>
      </c>
      <c r="O93" s="20" t="s">
        <v>163</v>
      </c>
      <c r="P93" s="20">
        <v>674</v>
      </c>
      <c r="Q93" s="20" t="s">
        <v>360</v>
      </c>
      <c r="R93" s="20" t="s">
        <v>361</v>
      </c>
      <c r="S93" s="18" t="s">
        <v>362</v>
      </c>
      <c r="T93" s="18">
        <v>190139</v>
      </c>
      <c r="U93" s="20" t="s">
        <v>425</v>
      </c>
      <c r="V93" s="20">
        <v>68</v>
      </c>
      <c r="W93" s="18" t="s">
        <v>410</v>
      </c>
      <c r="X93" s="18" t="s">
        <v>364</v>
      </c>
      <c r="Y93" s="20" t="s">
        <v>365</v>
      </c>
      <c r="Z93" s="18" t="s">
        <v>359</v>
      </c>
    </row>
    <row r="94" spans="1:26" hidden="1">
      <c r="A94" s="18">
        <v>161321</v>
      </c>
      <c r="B94" s="18">
        <v>161321</v>
      </c>
      <c r="C94" s="18" t="s">
        <v>261</v>
      </c>
      <c r="D94" s="19" t="s">
        <v>262</v>
      </c>
      <c r="E94" s="19" t="s">
        <v>422</v>
      </c>
      <c r="F94" s="20">
        <v>131</v>
      </c>
      <c r="G94" s="21" t="s">
        <v>196</v>
      </c>
      <c r="H94" s="21" t="s">
        <v>164</v>
      </c>
      <c r="I94" s="21" t="s">
        <v>215</v>
      </c>
      <c r="J94" s="22">
        <v>46050</v>
      </c>
      <c r="K94" s="21" t="s">
        <v>15</v>
      </c>
      <c r="L94" s="21" t="s">
        <v>358</v>
      </c>
      <c r="M94" s="20">
        <v>670</v>
      </c>
      <c r="N94" s="20">
        <v>48</v>
      </c>
      <c r="O94" s="20" t="s">
        <v>163</v>
      </c>
      <c r="P94" s="20">
        <v>674</v>
      </c>
      <c r="Q94" s="20" t="s">
        <v>360</v>
      </c>
      <c r="R94" s="20" t="s">
        <v>361</v>
      </c>
      <c r="S94" s="18" t="s">
        <v>362</v>
      </c>
      <c r="T94" s="18">
        <v>190205</v>
      </c>
      <c r="U94" s="20" t="s">
        <v>378</v>
      </c>
      <c r="V94" s="20">
        <v>68</v>
      </c>
      <c r="W94" s="18" t="s">
        <v>437</v>
      </c>
      <c r="X94" s="18" t="s">
        <v>364</v>
      </c>
      <c r="Y94" s="20" t="s">
        <v>365</v>
      </c>
      <c r="Z94" s="18" t="s">
        <v>438</v>
      </c>
    </row>
    <row r="95" spans="1:26" hidden="1">
      <c r="A95" s="18">
        <v>161321</v>
      </c>
      <c r="B95" s="18">
        <v>161321</v>
      </c>
      <c r="C95" s="18" t="s">
        <v>261</v>
      </c>
      <c r="D95" s="19" t="s">
        <v>262</v>
      </c>
      <c r="E95" s="19" t="s">
        <v>422</v>
      </c>
      <c r="F95" s="20">
        <v>132</v>
      </c>
      <c r="G95" s="21" t="s">
        <v>197</v>
      </c>
      <c r="H95" s="21" t="s">
        <v>164</v>
      </c>
      <c r="I95" s="21" t="s">
        <v>215</v>
      </c>
      <c r="J95" s="22">
        <v>46050</v>
      </c>
      <c r="K95" s="21" t="s">
        <v>15</v>
      </c>
      <c r="L95" s="21" t="s">
        <v>358</v>
      </c>
      <c r="M95" s="20">
        <v>670</v>
      </c>
      <c r="N95" s="20">
        <v>47</v>
      </c>
      <c r="O95" s="20" t="s">
        <v>163</v>
      </c>
      <c r="P95" s="20">
        <v>674</v>
      </c>
      <c r="Q95" s="20" t="s">
        <v>360</v>
      </c>
      <c r="R95" s="20" t="s">
        <v>361</v>
      </c>
      <c r="S95" s="18" t="s">
        <v>362</v>
      </c>
      <c r="T95" s="18">
        <v>190203</v>
      </c>
      <c r="U95" s="20" t="s">
        <v>378</v>
      </c>
      <c r="V95" s="20">
        <v>68</v>
      </c>
      <c r="W95" s="18" t="s">
        <v>437</v>
      </c>
      <c r="X95" s="18" t="s">
        <v>364</v>
      </c>
      <c r="Y95" s="20" t="s">
        <v>365</v>
      </c>
      <c r="Z95" s="18" t="s">
        <v>438</v>
      </c>
    </row>
    <row r="96" spans="1:26" hidden="1">
      <c r="A96" s="18">
        <v>161321</v>
      </c>
      <c r="B96" s="18">
        <v>161321</v>
      </c>
      <c r="C96" s="18" t="s">
        <v>261</v>
      </c>
      <c r="D96" s="19" t="s">
        <v>262</v>
      </c>
      <c r="E96" s="19" t="s">
        <v>422</v>
      </c>
      <c r="F96" s="20">
        <v>130</v>
      </c>
      <c r="G96" s="21" t="s">
        <v>193</v>
      </c>
      <c r="H96" s="21" t="s">
        <v>164</v>
      </c>
      <c r="I96" s="21" t="s">
        <v>215</v>
      </c>
      <c r="J96" s="22">
        <v>46050</v>
      </c>
      <c r="K96" s="21" t="s">
        <v>15</v>
      </c>
      <c r="L96" s="21" t="s">
        <v>358</v>
      </c>
      <c r="M96" s="20">
        <v>670</v>
      </c>
      <c r="N96" s="20">
        <v>48</v>
      </c>
      <c r="O96" s="20" t="s">
        <v>163</v>
      </c>
      <c r="P96" s="20">
        <v>674</v>
      </c>
      <c r="Q96" s="20" t="s">
        <v>360</v>
      </c>
      <c r="R96" s="20" t="s">
        <v>361</v>
      </c>
      <c r="S96" s="18" t="s">
        <v>362</v>
      </c>
      <c r="T96" s="18">
        <v>190204</v>
      </c>
      <c r="U96" s="20" t="s">
        <v>378</v>
      </c>
      <c r="V96" s="20">
        <v>68</v>
      </c>
      <c r="W96" s="18" t="s">
        <v>437</v>
      </c>
      <c r="X96" s="18" t="s">
        <v>364</v>
      </c>
      <c r="Y96" s="20" t="s">
        <v>365</v>
      </c>
      <c r="Z96" s="18" t="s">
        <v>438</v>
      </c>
    </row>
    <row r="97" spans="1:26" hidden="1">
      <c r="A97" s="18">
        <v>161322</v>
      </c>
      <c r="B97" s="18">
        <v>161322</v>
      </c>
      <c r="C97" s="18" t="s">
        <v>261</v>
      </c>
      <c r="D97" s="19" t="s">
        <v>262</v>
      </c>
      <c r="E97" s="19" t="s">
        <v>426</v>
      </c>
      <c r="F97" s="20">
        <v>130</v>
      </c>
      <c r="G97" s="21" t="s">
        <v>193</v>
      </c>
      <c r="H97" s="21" t="s">
        <v>164</v>
      </c>
      <c r="I97" s="21" t="s">
        <v>215</v>
      </c>
      <c r="J97" s="22">
        <v>46050</v>
      </c>
      <c r="K97" s="21" t="s">
        <v>15</v>
      </c>
      <c r="L97" s="21" t="s">
        <v>358</v>
      </c>
      <c r="M97" s="20">
        <v>670</v>
      </c>
      <c r="N97" s="20">
        <v>48</v>
      </c>
      <c r="O97" s="20" t="s">
        <v>163</v>
      </c>
      <c r="P97" s="20">
        <v>674</v>
      </c>
      <c r="Q97" s="20" t="s">
        <v>360</v>
      </c>
      <c r="R97" s="20" t="s">
        <v>361</v>
      </c>
      <c r="S97" s="18" t="s">
        <v>362</v>
      </c>
      <c r="T97" s="18">
        <v>190208</v>
      </c>
      <c r="U97" s="20" t="s">
        <v>363</v>
      </c>
      <c r="V97" s="20">
        <v>68</v>
      </c>
      <c r="W97" s="18" t="s">
        <v>396</v>
      </c>
      <c r="X97" s="18" t="s">
        <v>364</v>
      </c>
      <c r="Y97" s="20" t="s">
        <v>365</v>
      </c>
      <c r="Z97" s="18" t="s">
        <v>438</v>
      </c>
    </row>
    <row r="98" spans="1:26" hidden="1">
      <c r="A98" s="18">
        <v>161322</v>
      </c>
      <c r="B98" s="18">
        <v>161322</v>
      </c>
      <c r="C98" s="18" t="s">
        <v>261</v>
      </c>
      <c r="D98" s="19" t="s">
        <v>262</v>
      </c>
      <c r="E98" s="19" t="s">
        <v>426</v>
      </c>
      <c r="F98" s="20">
        <v>131</v>
      </c>
      <c r="G98" s="21" t="s">
        <v>196</v>
      </c>
      <c r="H98" s="21" t="s">
        <v>164</v>
      </c>
      <c r="I98" s="21" t="s">
        <v>215</v>
      </c>
      <c r="J98" s="22">
        <v>46050</v>
      </c>
      <c r="K98" s="21" t="s">
        <v>15</v>
      </c>
      <c r="L98" s="21" t="s">
        <v>358</v>
      </c>
      <c r="M98" s="20">
        <v>670</v>
      </c>
      <c r="N98" s="20">
        <v>47</v>
      </c>
      <c r="O98" s="20" t="s">
        <v>163</v>
      </c>
      <c r="P98" s="20">
        <v>674</v>
      </c>
      <c r="Q98" s="20" t="s">
        <v>360</v>
      </c>
      <c r="R98" s="20" t="s">
        <v>361</v>
      </c>
      <c r="S98" s="18" t="s">
        <v>362</v>
      </c>
      <c r="T98" s="18">
        <v>190207</v>
      </c>
      <c r="U98" s="20" t="s">
        <v>363</v>
      </c>
      <c r="V98" s="20">
        <v>68</v>
      </c>
      <c r="W98" s="18" t="s">
        <v>396</v>
      </c>
      <c r="X98" s="18" t="s">
        <v>364</v>
      </c>
      <c r="Y98" s="20" t="s">
        <v>365</v>
      </c>
      <c r="Z98" s="18" t="s">
        <v>438</v>
      </c>
    </row>
    <row r="99" spans="1:26" hidden="1">
      <c r="A99" s="18">
        <v>161322</v>
      </c>
      <c r="B99" s="18">
        <v>161322</v>
      </c>
      <c r="C99" s="18" t="s">
        <v>261</v>
      </c>
      <c r="D99" s="19" t="s">
        <v>262</v>
      </c>
      <c r="E99" s="19" t="s">
        <v>426</v>
      </c>
      <c r="F99" s="20">
        <v>132</v>
      </c>
      <c r="G99" s="21" t="s">
        <v>197</v>
      </c>
      <c r="H99" s="21" t="s">
        <v>164</v>
      </c>
      <c r="I99" s="21" t="s">
        <v>215</v>
      </c>
      <c r="J99" s="22">
        <v>46050</v>
      </c>
      <c r="K99" s="21" t="s">
        <v>15</v>
      </c>
      <c r="L99" s="21" t="s">
        <v>358</v>
      </c>
      <c r="M99" s="20">
        <v>670</v>
      </c>
      <c r="N99" s="20">
        <v>47</v>
      </c>
      <c r="O99" s="20" t="s">
        <v>163</v>
      </c>
      <c r="P99" s="20">
        <v>674</v>
      </c>
      <c r="Q99" s="20" t="s">
        <v>360</v>
      </c>
      <c r="R99" s="20" t="s">
        <v>361</v>
      </c>
      <c r="S99" s="18" t="s">
        <v>362</v>
      </c>
      <c r="T99" s="18">
        <v>190206</v>
      </c>
      <c r="U99" s="20" t="s">
        <v>363</v>
      </c>
      <c r="V99" s="20">
        <v>68</v>
      </c>
      <c r="W99" s="18" t="s">
        <v>396</v>
      </c>
      <c r="X99" s="18" t="s">
        <v>364</v>
      </c>
      <c r="Y99" s="20" t="s">
        <v>365</v>
      </c>
      <c r="Z99" s="18" t="s">
        <v>438</v>
      </c>
    </row>
    <row r="100" spans="1:26">
      <c r="A100" s="18">
        <v>161324</v>
      </c>
      <c r="B100" s="18">
        <v>161323</v>
      </c>
      <c r="C100" s="18" t="s">
        <v>309</v>
      </c>
      <c r="D100" s="19" t="s">
        <v>310</v>
      </c>
      <c r="E100" s="19" t="s">
        <v>439</v>
      </c>
      <c r="F100" s="20">
        <v>131</v>
      </c>
      <c r="G100" s="21" t="s">
        <v>196</v>
      </c>
      <c r="H100" s="21" t="s">
        <v>194</v>
      </c>
      <c r="I100" s="21" t="s">
        <v>283</v>
      </c>
      <c r="J100" s="22">
        <v>46058</v>
      </c>
      <c r="K100" s="21" t="s">
        <v>440</v>
      </c>
      <c r="L100" s="21" t="s">
        <v>358</v>
      </c>
      <c r="M100" s="20">
        <v>670</v>
      </c>
      <c r="N100" s="20">
        <v>60</v>
      </c>
      <c r="O100" s="20" t="s">
        <v>163</v>
      </c>
      <c r="P100" s="20">
        <v>674</v>
      </c>
      <c r="Q100" s="20" t="s">
        <v>360</v>
      </c>
      <c r="R100" s="20" t="s">
        <v>361</v>
      </c>
      <c r="S100" s="18" t="s">
        <v>362</v>
      </c>
      <c r="T100" s="18">
        <v>190445</v>
      </c>
      <c r="U100" s="20" t="s">
        <v>442</v>
      </c>
      <c r="V100" s="20">
        <v>68</v>
      </c>
      <c r="W100" s="18" t="s">
        <v>441</v>
      </c>
      <c r="X100" s="18" t="s">
        <v>364</v>
      </c>
      <c r="Y100" s="20" t="s">
        <v>365</v>
      </c>
      <c r="Z100" s="18" t="s">
        <v>441</v>
      </c>
    </row>
    <row r="101" spans="1:26">
      <c r="A101" s="18">
        <v>161324</v>
      </c>
      <c r="B101" s="18">
        <v>161323</v>
      </c>
      <c r="C101" s="18" t="s">
        <v>309</v>
      </c>
      <c r="D101" s="19" t="s">
        <v>310</v>
      </c>
      <c r="E101" s="19" t="s">
        <v>439</v>
      </c>
      <c r="F101" s="20">
        <v>130</v>
      </c>
      <c r="G101" s="21" t="s">
        <v>193</v>
      </c>
      <c r="H101" s="21" t="s">
        <v>194</v>
      </c>
      <c r="I101" s="21" t="s">
        <v>283</v>
      </c>
      <c r="J101" s="22">
        <v>46058</v>
      </c>
      <c r="K101" s="21" t="s">
        <v>440</v>
      </c>
      <c r="L101" s="21" t="s">
        <v>358</v>
      </c>
      <c r="M101" s="20">
        <v>670</v>
      </c>
      <c r="N101" s="20">
        <v>60</v>
      </c>
      <c r="O101" s="20" t="s">
        <v>163</v>
      </c>
      <c r="P101" s="20">
        <v>674</v>
      </c>
      <c r="Q101" s="20" t="s">
        <v>360</v>
      </c>
      <c r="R101" s="20" t="s">
        <v>361</v>
      </c>
      <c r="S101" s="18" t="s">
        <v>362</v>
      </c>
      <c r="T101" s="18">
        <v>190446</v>
      </c>
      <c r="U101" s="20" t="s">
        <v>442</v>
      </c>
      <c r="V101" s="20">
        <v>68</v>
      </c>
      <c r="W101" s="18" t="s">
        <v>441</v>
      </c>
      <c r="X101" s="18" t="s">
        <v>364</v>
      </c>
      <c r="Y101" s="20" t="s">
        <v>365</v>
      </c>
      <c r="Z101" s="18" t="s">
        <v>441</v>
      </c>
    </row>
    <row r="102" spans="1:26">
      <c r="A102" s="18">
        <v>161325</v>
      </c>
      <c r="B102" s="18">
        <v>161323</v>
      </c>
      <c r="C102" s="18" t="s">
        <v>309</v>
      </c>
      <c r="D102" s="19" t="s">
        <v>310</v>
      </c>
      <c r="E102" s="19" t="s">
        <v>443</v>
      </c>
      <c r="F102" s="20">
        <v>131</v>
      </c>
      <c r="G102" s="21" t="s">
        <v>196</v>
      </c>
      <c r="H102" s="21" t="s">
        <v>194</v>
      </c>
      <c r="I102" s="21" t="s">
        <v>283</v>
      </c>
      <c r="J102" s="22">
        <v>46058</v>
      </c>
      <c r="K102" s="21" t="s">
        <v>440</v>
      </c>
      <c r="L102" s="21" t="s">
        <v>358</v>
      </c>
      <c r="M102" s="20">
        <v>670</v>
      </c>
      <c r="N102" s="20">
        <v>47</v>
      </c>
      <c r="O102" s="20" t="s">
        <v>163</v>
      </c>
      <c r="P102" s="20">
        <v>674</v>
      </c>
      <c r="Q102" s="20" t="s">
        <v>360</v>
      </c>
      <c r="R102" s="20" t="s">
        <v>361</v>
      </c>
      <c r="S102" s="18" t="s">
        <v>362</v>
      </c>
      <c r="T102" s="18">
        <v>190447</v>
      </c>
      <c r="U102" s="20" t="s">
        <v>444</v>
      </c>
      <c r="V102" s="20">
        <v>68</v>
      </c>
      <c r="W102" s="18" t="s">
        <v>441</v>
      </c>
      <c r="X102" s="18" t="s">
        <v>364</v>
      </c>
      <c r="Y102" s="20" t="s">
        <v>365</v>
      </c>
      <c r="Z102" s="18" t="s">
        <v>441</v>
      </c>
    </row>
    <row r="103" spans="1:26">
      <c r="A103" s="18">
        <v>161325</v>
      </c>
      <c r="B103" s="18">
        <v>161323</v>
      </c>
      <c r="C103" s="18" t="s">
        <v>309</v>
      </c>
      <c r="D103" s="19" t="s">
        <v>310</v>
      </c>
      <c r="E103" s="19" t="s">
        <v>443</v>
      </c>
      <c r="F103" s="20">
        <v>130</v>
      </c>
      <c r="G103" s="21" t="s">
        <v>193</v>
      </c>
      <c r="H103" s="21" t="s">
        <v>194</v>
      </c>
      <c r="I103" s="21" t="s">
        <v>283</v>
      </c>
      <c r="J103" s="22">
        <v>46058</v>
      </c>
      <c r="K103" s="21" t="s">
        <v>440</v>
      </c>
      <c r="L103" s="21" t="s">
        <v>358</v>
      </c>
      <c r="M103" s="20">
        <v>670</v>
      </c>
      <c r="N103" s="20">
        <v>48</v>
      </c>
      <c r="O103" s="20" t="s">
        <v>163</v>
      </c>
      <c r="P103" s="20">
        <v>674</v>
      </c>
      <c r="Q103" s="20" t="s">
        <v>360</v>
      </c>
      <c r="R103" s="20" t="s">
        <v>361</v>
      </c>
      <c r="S103" s="18" t="s">
        <v>362</v>
      </c>
      <c r="T103" s="18">
        <v>190448</v>
      </c>
      <c r="U103" s="20" t="s">
        <v>444</v>
      </c>
      <c r="V103" s="20">
        <v>68</v>
      </c>
      <c r="W103" s="18" t="s">
        <v>441</v>
      </c>
      <c r="X103" s="18" t="s">
        <v>364</v>
      </c>
      <c r="Y103" s="20" t="s">
        <v>365</v>
      </c>
      <c r="Z103" s="18" t="s">
        <v>441</v>
      </c>
    </row>
    <row r="104" spans="1:26" hidden="1">
      <c r="A104" s="18">
        <v>161326</v>
      </c>
      <c r="B104" s="18">
        <v>161326</v>
      </c>
      <c r="C104" s="18" t="s">
        <v>603</v>
      </c>
      <c r="D104" s="19" t="s">
        <v>604</v>
      </c>
      <c r="E104" s="19" t="s">
        <v>424</v>
      </c>
      <c r="F104" s="20">
        <v>365</v>
      </c>
      <c r="G104" s="21" t="s">
        <v>169</v>
      </c>
      <c r="H104" s="21" t="s">
        <v>164</v>
      </c>
      <c r="I104" s="21" t="s">
        <v>165</v>
      </c>
      <c r="J104" s="22">
        <v>46048</v>
      </c>
      <c r="K104" s="21" t="s">
        <v>12</v>
      </c>
      <c r="L104" s="21" t="s">
        <v>446</v>
      </c>
      <c r="M104" s="20">
        <v>670</v>
      </c>
      <c r="N104" s="20">
        <v>39</v>
      </c>
      <c r="O104" s="20" t="s">
        <v>163</v>
      </c>
      <c r="P104" s="20">
        <v>674</v>
      </c>
      <c r="Q104" s="20" t="s">
        <v>360</v>
      </c>
      <c r="R104" s="20" t="s">
        <v>361</v>
      </c>
      <c r="S104" s="18" t="s">
        <v>362</v>
      </c>
      <c r="T104" s="18">
        <v>190641</v>
      </c>
      <c r="U104" s="20" t="s">
        <v>23</v>
      </c>
      <c r="V104" s="20">
        <v>68</v>
      </c>
      <c r="W104" s="18" t="s">
        <v>4278</v>
      </c>
      <c r="X104" s="18" t="s">
        <v>1067</v>
      </c>
      <c r="Y104" s="20" t="s">
        <v>514</v>
      </c>
      <c r="Z104" s="18" t="s">
        <v>5227</v>
      </c>
    </row>
    <row r="105" spans="1:26" hidden="1">
      <c r="A105" s="18">
        <v>161327</v>
      </c>
      <c r="B105" s="18">
        <v>161327</v>
      </c>
      <c r="C105" s="18" t="s">
        <v>603</v>
      </c>
      <c r="D105" s="19" t="s">
        <v>604</v>
      </c>
      <c r="E105" s="19" t="s">
        <v>426</v>
      </c>
      <c r="F105" s="20">
        <v>365</v>
      </c>
      <c r="G105" s="21" t="s">
        <v>169</v>
      </c>
      <c r="H105" s="21" t="s">
        <v>164</v>
      </c>
      <c r="I105" s="21" t="s">
        <v>165</v>
      </c>
      <c r="J105" s="22">
        <v>46048</v>
      </c>
      <c r="K105" s="21" t="s">
        <v>12</v>
      </c>
      <c r="L105" s="21" t="s">
        <v>577</v>
      </c>
      <c r="M105" s="20">
        <v>670</v>
      </c>
      <c r="N105" s="20">
        <v>39</v>
      </c>
      <c r="O105" s="20" t="s">
        <v>163</v>
      </c>
      <c r="P105" s="20">
        <v>674</v>
      </c>
      <c r="Q105" s="20" t="s">
        <v>360</v>
      </c>
      <c r="R105" s="20" t="s">
        <v>361</v>
      </c>
      <c r="S105" s="18" t="s">
        <v>362</v>
      </c>
      <c r="T105" s="18">
        <v>190642</v>
      </c>
      <c r="U105" s="20" t="s">
        <v>21</v>
      </c>
      <c r="V105" s="20">
        <v>68</v>
      </c>
      <c r="W105" s="18" t="s">
        <v>4838</v>
      </c>
      <c r="X105" s="18" t="s">
        <v>1067</v>
      </c>
      <c r="Y105" s="20" t="s">
        <v>365</v>
      </c>
      <c r="Z105" s="18" t="s">
        <v>5227</v>
      </c>
    </row>
    <row r="106" spans="1:26" hidden="1">
      <c r="A106" s="18">
        <v>161328</v>
      </c>
      <c r="B106" s="18">
        <v>161328</v>
      </c>
      <c r="C106" s="18" t="s">
        <v>603</v>
      </c>
      <c r="D106" s="19" t="s">
        <v>604</v>
      </c>
      <c r="E106" s="19" t="s">
        <v>605</v>
      </c>
      <c r="F106" s="20">
        <v>365</v>
      </c>
      <c r="G106" s="21" t="s">
        <v>169</v>
      </c>
      <c r="H106" s="21" t="s">
        <v>164</v>
      </c>
      <c r="I106" s="21" t="s">
        <v>165</v>
      </c>
      <c r="J106" s="22">
        <v>46048</v>
      </c>
      <c r="K106" s="21" t="s">
        <v>12</v>
      </c>
      <c r="L106" s="21" t="s">
        <v>579</v>
      </c>
      <c r="M106" s="20">
        <v>670</v>
      </c>
      <c r="N106" s="20">
        <v>40</v>
      </c>
      <c r="O106" s="20" t="s">
        <v>163</v>
      </c>
      <c r="P106" s="20">
        <v>674</v>
      </c>
      <c r="Q106" s="20" t="s">
        <v>360</v>
      </c>
      <c r="R106" s="20" t="s">
        <v>361</v>
      </c>
      <c r="S106" s="18" t="s">
        <v>362</v>
      </c>
      <c r="T106" s="18">
        <v>190643</v>
      </c>
      <c r="U106" s="20" t="s">
        <v>21</v>
      </c>
      <c r="V106" s="20">
        <v>68</v>
      </c>
      <c r="W106" s="18" t="s">
        <v>5228</v>
      </c>
      <c r="X106" s="18" t="s">
        <v>1067</v>
      </c>
      <c r="Y106" s="20" t="s">
        <v>365</v>
      </c>
      <c r="Z106" s="18" t="s">
        <v>5227</v>
      </c>
    </row>
    <row r="107" spans="1:26" hidden="1">
      <c r="A107" s="18">
        <v>161329</v>
      </c>
      <c r="B107" s="18">
        <v>161329</v>
      </c>
      <c r="C107" s="18" t="s">
        <v>603</v>
      </c>
      <c r="D107" s="19" t="s">
        <v>604</v>
      </c>
      <c r="E107" s="19" t="s">
        <v>606</v>
      </c>
      <c r="F107" s="20">
        <v>365</v>
      </c>
      <c r="G107" s="21" t="s">
        <v>169</v>
      </c>
      <c r="H107" s="21" t="s">
        <v>164</v>
      </c>
      <c r="I107" s="21" t="s">
        <v>165</v>
      </c>
      <c r="J107" s="22">
        <v>46048</v>
      </c>
      <c r="K107" s="21" t="s">
        <v>12</v>
      </c>
      <c r="L107" s="21" t="s">
        <v>406</v>
      </c>
      <c r="M107" s="20">
        <v>670</v>
      </c>
      <c r="N107" s="20">
        <v>40</v>
      </c>
      <c r="O107" s="20" t="s">
        <v>163</v>
      </c>
      <c r="P107" s="20">
        <v>674</v>
      </c>
      <c r="Q107" s="20" t="s">
        <v>360</v>
      </c>
      <c r="R107" s="20" t="s">
        <v>361</v>
      </c>
      <c r="S107" s="18" t="s">
        <v>362</v>
      </c>
      <c r="T107" s="18">
        <v>190644</v>
      </c>
      <c r="U107" s="20" t="s">
        <v>21</v>
      </c>
      <c r="V107" s="20">
        <v>68</v>
      </c>
      <c r="W107" s="18" t="s">
        <v>4838</v>
      </c>
      <c r="X107" s="18" t="s">
        <v>1067</v>
      </c>
      <c r="Y107" s="20" t="s">
        <v>365</v>
      </c>
      <c r="Z107" s="18" t="s">
        <v>5227</v>
      </c>
    </row>
    <row r="108" spans="1:26" hidden="1">
      <c r="A108" s="18">
        <v>161330</v>
      </c>
      <c r="B108" s="18">
        <v>161330</v>
      </c>
      <c r="C108" s="18" t="s">
        <v>603</v>
      </c>
      <c r="D108" s="19" t="s">
        <v>604</v>
      </c>
      <c r="E108" s="19" t="s">
        <v>607</v>
      </c>
      <c r="F108" s="20">
        <v>365</v>
      </c>
      <c r="G108" s="21" t="s">
        <v>169</v>
      </c>
      <c r="H108" s="21" t="s">
        <v>164</v>
      </c>
      <c r="I108" s="21" t="s">
        <v>165</v>
      </c>
      <c r="J108" s="22">
        <v>46048</v>
      </c>
      <c r="K108" s="21" t="s">
        <v>12</v>
      </c>
      <c r="L108" s="21" t="s">
        <v>582</v>
      </c>
      <c r="M108" s="20">
        <v>670</v>
      </c>
      <c r="N108" s="20">
        <v>40</v>
      </c>
      <c r="O108" s="20" t="s">
        <v>163</v>
      </c>
      <c r="P108" s="20">
        <v>674</v>
      </c>
      <c r="Q108" s="20" t="s">
        <v>360</v>
      </c>
      <c r="R108" s="20" t="s">
        <v>361</v>
      </c>
      <c r="S108" s="18" t="s">
        <v>362</v>
      </c>
      <c r="T108" s="18">
        <v>190645</v>
      </c>
      <c r="U108" s="20" t="s">
        <v>21</v>
      </c>
      <c r="V108" s="20">
        <v>68</v>
      </c>
      <c r="W108" s="18" t="s">
        <v>4838</v>
      </c>
      <c r="X108" s="18" t="s">
        <v>1067</v>
      </c>
      <c r="Y108" s="20" t="s">
        <v>365</v>
      </c>
      <c r="Z108" s="18" t="s">
        <v>5227</v>
      </c>
    </row>
    <row r="109" spans="1:26" hidden="1">
      <c r="A109" s="18">
        <v>161331</v>
      </c>
      <c r="B109" s="18">
        <v>161331</v>
      </c>
      <c r="C109" s="18" t="s">
        <v>603</v>
      </c>
      <c r="D109" s="19" t="s">
        <v>604</v>
      </c>
      <c r="E109" s="19" t="s">
        <v>608</v>
      </c>
      <c r="F109" s="20">
        <v>365</v>
      </c>
      <c r="G109" s="21" t="s">
        <v>169</v>
      </c>
      <c r="H109" s="21" t="s">
        <v>164</v>
      </c>
      <c r="I109" s="21" t="s">
        <v>165</v>
      </c>
      <c r="J109" s="22">
        <v>46048</v>
      </c>
      <c r="K109" s="21" t="s">
        <v>12</v>
      </c>
      <c r="L109" s="21" t="s">
        <v>498</v>
      </c>
      <c r="M109" s="20">
        <v>670</v>
      </c>
      <c r="N109" s="20">
        <v>40</v>
      </c>
      <c r="O109" s="20" t="s">
        <v>163</v>
      </c>
      <c r="P109" s="20">
        <v>674</v>
      </c>
      <c r="Q109" s="20" t="s">
        <v>360</v>
      </c>
      <c r="R109" s="20" t="s">
        <v>361</v>
      </c>
      <c r="S109" s="18" t="s">
        <v>362</v>
      </c>
      <c r="T109" s="18">
        <v>190646</v>
      </c>
      <c r="U109" s="20" t="s">
        <v>21</v>
      </c>
      <c r="V109" s="20">
        <v>68</v>
      </c>
      <c r="W109" s="18" t="s">
        <v>5228</v>
      </c>
      <c r="X109" s="18" t="s">
        <v>1067</v>
      </c>
      <c r="Y109" s="20" t="s">
        <v>365</v>
      </c>
      <c r="Z109" s="18" t="s">
        <v>5227</v>
      </c>
    </row>
    <row r="110" spans="1:26" hidden="1">
      <c r="A110" s="18">
        <v>161332</v>
      </c>
      <c r="B110" s="18">
        <v>161332</v>
      </c>
      <c r="C110" s="18" t="s">
        <v>603</v>
      </c>
      <c r="D110" s="19" t="s">
        <v>604</v>
      </c>
      <c r="E110" s="19" t="s">
        <v>609</v>
      </c>
      <c r="F110" s="20">
        <v>365</v>
      </c>
      <c r="G110" s="21" t="s">
        <v>169</v>
      </c>
      <c r="H110" s="21" t="s">
        <v>164</v>
      </c>
      <c r="I110" s="21" t="s">
        <v>165</v>
      </c>
      <c r="J110" s="22">
        <v>46048</v>
      </c>
      <c r="K110" s="21" t="s">
        <v>12</v>
      </c>
      <c r="L110" s="21" t="s">
        <v>403</v>
      </c>
      <c r="M110" s="20">
        <v>670</v>
      </c>
      <c r="N110" s="20">
        <v>40</v>
      </c>
      <c r="O110" s="20" t="s">
        <v>163</v>
      </c>
      <c r="P110" s="20">
        <v>674</v>
      </c>
      <c r="Q110" s="20" t="s">
        <v>360</v>
      </c>
      <c r="R110" s="20" t="s">
        <v>361</v>
      </c>
      <c r="S110" s="18" t="s">
        <v>362</v>
      </c>
      <c r="T110" s="18">
        <v>190647</v>
      </c>
      <c r="U110" s="20" t="s">
        <v>21</v>
      </c>
      <c r="V110" s="20">
        <v>68</v>
      </c>
      <c r="W110" s="18" t="s">
        <v>5228</v>
      </c>
      <c r="X110" s="18" t="s">
        <v>1067</v>
      </c>
      <c r="Y110" s="20" t="s">
        <v>365</v>
      </c>
      <c r="Z110" s="18" t="s">
        <v>5227</v>
      </c>
    </row>
    <row r="111" spans="1:26" hidden="1">
      <c r="A111" s="18">
        <v>161333</v>
      </c>
      <c r="B111" s="18">
        <v>161333</v>
      </c>
      <c r="C111" s="18" t="s">
        <v>610</v>
      </c>
      <c r="D111" s="19" t="s">
        <v>611</v>
      </c>
      <c r="E111" s="19" t="s">
        <v>422</v>
      </c>
      <c r="F111" s="20">
        <v>365</v>
      </c>
      <c r="G111" s="21" t="s">
        <v>169</v>
      </c>
      <c r="H111" s="21" t="s">
        <v>228</v>
      </c>
      <c r="I111" s="21" t="s">
        <v>238</v>
      </c>
      <c r="J111" s="22">
        <v>46045</v>
      </c>
      <c r="K111" s="21" t="s">
        <v>12</v>
      </c>
      <c r="L111" s="21" t="s">
        <v>446</v>
      </c>
      <c r="M111" s="20">
        <v>670</v>
      </c>
      <c r="N111" s="20">
        <v>27</v>
      </c>
      <c r="O111" s="20" t="s">
        <v>163</v>
      </c>
      <c r="P111" s="20">
        <v>674</v>
      </c>
      <c r="Q111" s="20" t="s">
        <v>360</v>
      </c>
      <c r="R111" s="20" t="s">
        <v>361</v>
      </c>
      <c r="S111" s="18" t="s">
        <v>362</v>
      </c>
      <c r="T111" s="18">
        <v>190619</v>
      </c>
      <c r="U111" s="20" t="s">
        <v>612</v>
      </c>
      <c r="V111" s="20">
        <v>68</v>
      </c>
      <c r="W111" s="18" t="s">
        <v>4845</v>
      </c>
      <c r="X111" s="18" t="s">
        <v>1067</v>
      </c>
      <c r="Y111" s="20" t="s">
        <v>365</v>
      </c>
      <c r="Z111" s="18" t="s">
        <v>1052</v>
      </c>
    </row>
    <row r="112" spans="1:26" hidden="1">
      <c r="A112" s="18">
        <v>161334</v>
      </c>
      <c r="B112" s="18">
        <v>161334</v>
      </c>
      <c r="C112" s="18" t="s">
        <v>610</v>
      </c>
      <c r="D112" s="19" t="s">
        <v>611</v>
      </c>
      <c r="E112" s="19" t="s">
        <v>423</v>
      </c>
      <c r="F112" s="20">
        <v>365</v>
      </c>
      <c r="G112" s="21" t="s">
        <v>169</v>
      </c>
      <c r="H112" s="21" t="s">
        <v>228</v>
      </c>
      <c r="I112" s="21" t="s">
        <v>238</v>
      </c>
      <c r="J112" s="22">
        <v>46045</v>
      </c>
      <c r="K112" s="21" t="s">
        <v>12</v>
      </c>
      <c r="L112" s="21" t="s">
        <v>577</v>
      </c>
      <c r="M112" s="20">
        <v>670</v>
      </c>
      <c r="N112" s="20">
        <v>27</v>
      </c>
      <c r="O112" s="20" t="s">
        <v>163</v>
      </c>
      <c r="P112" s="20">
        <v>674</v>
      </c>
      <c r="Q112" s="20" t="s">
        <v>360</v>
      </c>
      <c r="R112" s="20" t="s">
        <v>361</v>
      </c>
      <c r="S112" s="18" t="s">
        <v>362</v>
      </c>
      <c r="T112" s="18">
        <v>190620</v>
      </c>
      <c r="U112" s="20" t="s">
        <v>613</v>
      </c>
      <c r="V112" s="20">
        <v>68</v>
      </c>
      <c r="W112" s="18" t="s">
        <v>4852</v>
      </c>
      <c r="X112" s="18" t="s">
        <v>1067</v>
      </c>
      <c r="Y112" s="20" t="s">
        <v>365</v>
      </c>
      <c r="Z112" s="18" t="s">
        <v>1052</v>
      </c>
    </row>
    <row r="113" spans="1:26" hidden="1">
      <c r="A113" s="18">
        <v>161335</v>
      </c>
      <c r="B113" s="18">
        <v>161335</v>
      </c>
      <c r="C113" s="18" t="s">
        <v>610</v>
      </c>
      <c r="D113" s="19" t="s">
        <v>611</v>
      </c>
      <c r="E113" s="19" t="s">
        <v>605</v>
      </c>
      <c r="F113" s="20">
        <v>365</v>
      </c>
      <c r="G113" s="21" t="s">
        <v>169</v>
      </c>
      <c r="H113" s="21" t="s">
        <v>228</v>
      </c>
      <c r="I113" s="21" t="s">
        <v>238</v>
      </c>
      <c r="J113" s="22">
        <v>46045</v>
      </c>
      <c r="K113" s="21" t="s">
        <v>12</v>
      </c>
      <c r="L113" s="21" t="s">
        <v>579</v>
      </c>
      <c r="M113" s="20">
        <v>670</v>
      </c>
      <c r="N113" s="20">
        <v>19</v>
      </c>
      <c r="O113" s="20" t="s">
        <v>163</v>
      </c>
      <c r="P113" s="20">
        <v>674</v>
      </c>
      <c r="Q113" s="20" t="s">
        <v>360</v>
      </c>
      <c r="R113" s="20" t="s">
        <v>361</v>
      </c>
      <c r="S113" s="18" t="s">
        <v>362</v>
      </c>
      <c r="T113" s="18">
        <v>190621</v>
      </c>
      <c r="U113" s="20" t="s">
        <v>614</v>
      </c>
      <c r="V113" s="20">
        <v>68</v>
      </c>
      <c r="W113" s="18" t="s">
        <v>4793</v>
      </c>
      <c r="X113" s="18" t="s">
        <v>1067</v>
      </c>
      <c r="Y113" s="20" t="s">
        <v>514</v>
      </c>
      <c r="Z113" s="18" t="s">
        <v>1052</v>
      </c>
    </row>
    <row r="114" spans="1:26" hidden="1">
      <c r="A114" s="18">
        <v>161337</v>
      </c>
      <c r="B114" s="18">
        <v>161337</v>
      </c>
      <c r="C114" s="18" t="s">
        <v>610</v>
      </c>
      <c r="D114" s="19" t="s">
        <v>611</v>
      </c>
      <c r="E114" s="19" t="s">
        <v>607</v>
      </c>
      <c r="F114" s="20">
        <v>365</v>
      </c>
      <c r="G114" s="21" t="s">
        <v>169</v>
      </c>
      <c r="H114" s="21" t="s">
        <v>228</v>
      </c>
      <c r="I114" s="21" t="s">
        <v>238</v>
      </c>
      <c r="J114" s="22">
        <v>46045</v>
      </c>
      <c r="K114" s="21" t="s">
        <v>12</v>
      </c>
      <c r="L114" s="21" t="s">
        <v>406</v>
      </c>
      <c r="M114" s="20">
        <v>670</v>
      </c>
      <c r="N114" s="20">
        <v>32</v>
      </c>
      <c r="O114" s="20" t="s">
        <v>163</v>
      </c>
      <c r="P114" s="20">
        <v>674</v>
      </c>
      <c r="Q114" s="20" t="s">
        <v>360</v>
      </c>
      <c r="R114" s="20" t="s">
        <v>361</v>
      </c>
      <c r="S114" s="18" t="s">
        <v>362</v>
      </c>
      <c r="T114" s="18">
        <v>190622</v>
      </c>
      <c r="U114" s="20" t="s">
        <v>615</v>
      </c>
      <c r="V114" s="20">
        <v>68</v>
      </c>
      <c r="W114" s="18" t="s">
        <v>3663</v>
      </c>
      <c r="X114" s="18" t="s">
        <v>1067</v>
      </c>
      <c r="Y114" s="20" t="s">
        <v>365</v>
      </c>
      <c r="Z114" s="18" t="s">
        <v>1052</v>
      </c>
    </row>
    <row r="115" spans="1:26" hidden="1">
      <c r="A115" s="18">
        <v>161338</v>
      </c>
      <c r="B115" s="18">
        <v>161338</v>
      </c>
      <c r="C115" s="18" t="s">
        <v>610</v>
      </c>
      <c r="D115" s="19" t="s">
        <v>611</v>
      </c>
      <c r="E115" s="19" t="s">
        <v>616</v>
      </c>
      <c r="F115" s="20">
        <v>365</v>
      </c>
      <c r="G115" s="21" t="s">
        <v>169</v>
      </c>
      <c r="H115" s="21" t="s">
        <v>228</v>
      </c>
      <c r="I115" s="21" t="s">
        <v>238</v>
      </c>
      <c r="J115" s="22">
        <v>46045</v>
      </c>
      <c r="K115" s="21" t="s">
        <v>12</v>
      </c>
      <c r="L115" s="21" t="s">
        <v>582</v>
      </c>
      <c r="M115" s="20">
        <v>670</v>
      </c>
      <c r="N115" s="20">
        <v>33</v>
      </c>
      <c r="O115" s="20" t="s">
        <v>163</v>
      </c>
      <c r="P115" s="20">
        <v>674</v>
      </c>
      <c r="Q115" s="20" t="s">
        <v>360</v>
      </c>
      <c r="R115" s="20" t="s">
        <v>361</v>
      </c>
      <c r="S115" s="18" t="s">
        <v>362</v>
      </c>
      <c r="T115" s="18">
        <v>190623</v>
      </c>
      <c r="U115" s="20" t="s">
        <v>612</v>
      </c>
      <c r="V115" s="20">
        <v>68</v>
      </c>
      <c r="W115" s="18" t="s">
        <v>4845</v>
      </c>
      <c r="X115" s="18" t="s">
        <v>1067</v>
      </c>
      <c r="Y115" s="20" t="s">
        <v>365</v>
      </c>
      <c r="Z115" s="18" t="s">
        <v>1052</v>
      </c>
    </row>
    <row r="116" spans="1:26" hidden="1">
      <c r="A116" s="18">
        <v>161339</v>
      </c>
      <c r="B116" s="18">
        <v>161339</v>
      </c>
      <c r="C116" s="18" t="s">
        <v>610</v>
      </c>
      <c r="D116" s="19" t="s">
        <v>611</v>
      </c>
      <c r="E116" s="19" t="s">
        <v>609</v>
      </c>
      <c r="F116" s="20">
        <v>365</v>
      </c>
      <c r="G116" s="21" t="s">
        <v>169</v>
      </c>
      <c r="H116" s="21" t="s">
        <v>228</v>
      </c>
      <c r="I116" s="21" t="s">
        <v>238</v>
      </c>
      <c r="J116" s="22">
        <v>46045</v>
      </c>
      <c r="K116" s="21" t="s">
        <v>12</v>
      </c>
      <c r="L116" s="21" t="s">
        <v>498</v>
      </c>
      <c r="M116" s="20">
        <v>670</v>
      </c>
      <c r="N116" s="20">
        <v>33</v>
      </c>
      <c r="O116" s="20" t="s">
        <v>163</v>
      </c>
      <c r="P116" s="20">
        <v>674</v>
      </c>
      <c r="Q116" s="20" t="s">
        <v>360</v>
      </c>
      <c r="R116" s="20" t="s">
        <v>361</v>
      </c>
      <c r="S116" s="18" t="s">
        <v>362</v>
      </c>
      <c r="T116" s="18">
        <v>190624</v>
      </c>
      <c r="U116" s="20" t="s">
        <v>613</v>
      </c>
      <c r="V116" s="20">
        <v>68</v>
      </c>
      <c r="W116" s="18" t="s">
        <v>4852</v>
      </c>
      <c r="X116" s="18" t="s">
        <v>1067</v>
      </c>
      <c r="Y116" s="20" t="s">
        <v>365</v>
      </c>
      <c r="Z116" s="18" t="s">
        <v>1052</v>
      </c>
    </row>
    <row r="117" spans="1:26" hidden="1">
      <c r="A117" s="18">
        <v>161340</v>
      </c>
      <c r="B117" s="18">
        <v>161340</v>
      </c>
      <c r="C117" s="18" t="s">
        <v>610</v>
      </c>
      <c r="D117" s="19" t="s">
        <v>611</v>
      </c>
      <c r="E117" s="19" t="s">
        <v>617</v>
      </c>
      <c r="F117" s="20">
        <v>365</v>
      </c>
      <c r="G117" s="21" t="s">
        <v>169</v>
      </c>
      <c r="H117" s="21" t="s">
        <v>228</v>
      </c>
      <c r="I117" s="21" t="s">
        <v>238</v>
      </c>
      <c r="J117" s="22">
        <v>46045</v>
      </c>
      <c r="K117" s="21" t="s">
        <v>12</v>
      </c>
      <c r="L117" s="21" t="s">
        <v>403</v>
      </c>
      <c r="M117" s="20">
        <v>670</v>
      </c>
      <c r="N117" s="20">
        <v>30</v>
      </c>
      <c r="O117" s="20" t="s">
        <v>163</v>
      </c>
      <c r="P117" s="20">
        <v>674</v>
      </c>
      <c r="Q117" s="20" t="s">
        <v>360</v>
      </c>
      <c r="R117" s="20" t="s">
        <v>361</v>
      </c>
      <c r="S117" s="18" t="s">
        <v>362</v>
      </c>
      <c r="T117" s="18">
        <v>190625</v>
      </c>
      <c r="U117" s="20" t="s">
        <v>614</v>
      </c>
      <c r="V117" s="20">
        <v>68</v>
      </c>
      <c r="W117" s="18" t="s">
        <v>4793</v>
      </c>
      <c r="X117" s="18" t="s">
        <v>1067</v>
      </c>
      <c r="Y117" s="20" t="s">
        <v>514</v>
      </c>
      <c r="Z117" s="18" t="s">
        <v>1052</v>
      </c>
    </row>
    <row r="118" spans="1:26" hidden="1">
      <c r="A118" s="18">
        <v>161341</v>
      </c>
      <c r="B118" s="18">
        <v>161341</v>
      </c>
      <c r="C118" s="18" t="s">
        <v>610</v>
      </c>
      <c r="D118" s="19" t="s">
        <v>611</v>
      </c>
      <c r="E118" s="19" t="s">
        <v>618</v>
      </c>
      <c r="F118" s="20">
        <v>365</v>
      </c>
      <c r="G118" s="21" t="s">
        <v>169</v>
      </c>
      <c r="H118" s="21" t="s">
        <v>228</v>
      </c>
      <c r="I118" s="21" t="s">
        <v>238</v>
      </c>
      <c r="J118" s="22">
        <v>46045</v>
      </c>
      <c r="K118" s="21" t="s">
        <v>12</v>
      </c>
      <c r="L118" s="21" t="s">
        <v>585</v>
      </c>
      <c r="M118" s="20">
        <v>670</v>
      </c>
      <c r="N118" s="20">
        <v>30</v>
      </c>
      <c r="O118" s="20" t="s">
        <v>163</v>
      </c>
      <c r="P118" s="20">
        <v>674</v>
      </c>
      <c r="Q118" s="20" t="s">
        <v>360</v>
      </c>
      <c r="R118" s="20" t="s">
        <v>361</v>
      </c>
      <c r="S118" s="18" t="s">
        <v>362</v>
      </c>
      <c r="T118" s="18">
        <v>190626</v>
      </c>
      <c r="U118" s="20" t="s">
        <v>619</v>
      </c>
      <c r="V118" s="20">
        <v>68</v>
      </c>
      <c r="W118" s="18" t="s">
        <v>3671</v>
      </c>
      <c r="X118" s="18" t="s">
        <v>1067</v>
      </c>
      <c r="Y118" s="20" t="s">
        <v>365</v>
      </c>
      <c r="Z118" s="18" t="s">
        <v>1052</v>
      </c>
    </row>
    <row r="119" spans="1:26" hidden="1">
      <c r="A119" s="18">
        <v>161342</v>
      </c>
      <c r="B119" s="18">
        <v>161342</v>
      </c>
      <c r="C119" s="18" t="s">
        <v>610</v>
      </c>
      <c r="D119" s="19" t="s">
        <v>611</v>
      </c>
      <c r="E119" s="19" t="s">
        <v>620</v>
      </c>
      <c r="F119" s="20">
        <v>365</v>
      </c>
      <c r="G119" s="21" t="s">
        <v>169</v>
      </c>
      <c r="H119" s="21" t="s">
        <v>228</v>
      </c>
      <c r="I119" s="21" t="s">
        <v>238</v>
      </c>
      <c r="J119" s="22">
        <v>46045</v>
      </c>
      <c r="K119" s="21" t="s">
        <v>12</v>
      </c>
      <c r="L119" s="21" t="s">
        <v>586</v>
      </c>
      <c r="M119" s="20">
        <v>670</v>
      </c>
      <c r="N119" s="20">
        <v>30</v>
      </c>
      <c r="O119" s="20" t="s">
        <v>163</v>
      </c>
      <c r="P119" s="20">
        <v>674</v>
      </c>
      <c r="Q119" s="20" t="s">
        <v>360</v>
      </c>
      <c r="R119" s="20" t="s">
        <v>361</v>
      </c>
      <c r="S119" s="18" t="s">
        <v>362</v>
      </c>
      <c r="T119" s="18">
        <v>190627</v>
      </c>
      <c r="U119" s="20" t="s">
        <v>621</v>
      </c>
      <c r="V119" s="20">
        <v>68</v>
      </c>
      <c r="W119" s="18" t="s">
        <v>3677</v>
      </c>
      <c r="X119" s="18" t="s">
        <v>1067</v>
      </c>
      <c r="Y119" s="20" t="s">
        <v>365</v>
      </c>
      <c r="Z119" s="18" t="s">
        <v>1052</v>
      </c>
    </row>
    <row r="120" spans="1:26" hidden="1">
      <c r="A120" s="18">
        <v>161343</v>
      </c>
      <c r="B120" s="18">
        <v>161343</v>
      </c>
      <c r="C120" s="18" t="s">
        <v>622</v>
      </c>
      <c r="D120" s="19" t="s">
        <v>623</v>
      </c>
      <c r="E120" s="19" t="s">
        <v>422</v>
      </c>
      <c r="F120" s="20">
        <v>131</v>
      </c>
      <c r="G120" s="21" t="s">
        <v>196</v>
      </c>
      <c r="H120" s="21" t="s">
        <v>228</v>
      </c>
      <c r="I120" s="21" t="s">
        <v>215</v>
      </c>
      <c r="J120" s="22">
        <v>46043</v>
      </c>
      <c r="K120" s="21" t="s">
        <v>11</v>
      </c>
      <c r="L120" s="21" t="s">
        <v>378</v>
      </c>
      <c r="M120" s="20">
        <v>670</v>
      </c>
      <c r="N120" s="20">
        <v>49</v>
      </c>
      <c r="O120" s="20" t="s">
        <v>163</v>
      </c>
      <c r="P120" s="20">
        <v>674</v>
      </c>
      <c r="Q120" s="20" t="s">
        <v>360</v>
      </c>
      <c r="R120" s="20" t="s">
        <v>624</v>
      </c>
      <c r="S120" s="18" t="s">
        <v>625</v>
      </c>
      <c r="T120" s="18">
        <v>187873</v>
      </c>
      <c r="U120" s="20"/>
      <c r="V120" s="20">
        <v>68</v>
      </c>
      <c r="W120" s="18"/>
      <c r="X120" s="18"/>
      <c r="Y120" s="20"/>
      <c r="Z120" s="18"/>
    </row>
    <row r="121" spans="1:26" hidden="1">
      <c r="A121" s="18">
        <v>161343</v>
      </c>
      <c r="B121" s="18">
        <v>161343</v>
      </c>
      <c r="C121" s="18" t="s">
        <v>622</v>
      </c>
      <c r="D121" s="19" t="s">
        <v>623</v>
      </c>
      <c r="E121" s="19" t="s">
        <v>422</v>
      </c>
      <c r="F121" s="20">
        <v>130</v>
      </c>
      <c r="G121" s="21" t="s">
        <v>193</v>
      </c>
      <c r="H121" s="21" t="s">
        <v>228</v>
      </c>
      <c r="I121" s="21" t="s">
        <v>215</v>
      </c>
      <c r="J121" s="22">
        <v>46043</v>
      </c>
      <c r="K121" s="21" t="s">
        <v>11</v>
      </c>
      <c r="L121" s="21" t="s">
        <v>378</v>
      </c>
      <c r="M121" s="20">
        <v>670</v>
      </c>
      <c r="N121" s="20">
        <v>50</v>
      </c>
      <c r="O121" s="20" t="s">
        <v>163</v>
      </c>
      <c r="P121" s="20">
        <v>674</v>
      </c>
      <c r="Q121" s="20" t="s">
        <v>360</v>
      </c>
      <c r="R121" s="20" t="s">
        <v>624</v>
      </c>
      <c r="S121" s="18" t="s">
        <v>625</v>
      </c>
      <c r="T121" s="18">
        <v>187871</v>
      </c>
      <c r="U121" s="20"/>
      <c r="V121" s="20">
        <v>68</v>
      </c>
      <c r="W121" s="18"/>
      <c r="X121" s="18"/>
      <c r="Y121" s="20"/>
      <c r="Z121" s="18"/>
    </row>
    <row r="122" spans="1:26" hidden="1">
      <c r="A122" s="18">
        <v>161343</v>
      </c>
      <c r="B122" s="18">
        <v>161343</v>
      </c>
      <c r="C122" s="18" t="s">
        <v>622</v>
      </c>
      <c r="D122" s="19" t="s">
        <v>623</v>
      </c>
      <c r="E122" s="19" t="s">
        <v>422</v>
      </c>
      <c r="F122" s="20">
        <v>132</v>
      </c>
      <c r="G122" s="21" t="s">
        <v>197</v>
      </c>
      <c r="H122" s="21" t="s">
        <v>228</v>
      </c>
      <c r="I122" s="21" t="s">
        <v>215</v>
      </c>
      <c r="J122" s="22">
        <v>46043</v>
      </c>
      <c r="K122" s="21" t="s">
        <v>11</v>
      </c>
      <c r="L122" s="21" t="s">
        <v>363</v>
      </c>
      <c r="M122" s="20">
        <v>670</v>
      </c>
      <c r="N122" s="20">
        <v>49</v>
      </c>
      <c r="O122" s="20" t="s">
        <v>163</v>
      </c>
      <c r="P122" s="20">
        <v>674</v>
      </c>
      <c r="Q122" s="20" t="s">
        <v>360</v>
      </c>
      <c r="R122" s="20" t="s">
        <v>624</v>
      </c>
      <c r="S122" s="18" t="s">
        <v>625</v>
      </c>
      <c r="T122" s="18">
        <v>187872</v>
      </c>
      <c r="U122" s="20"/>
      <c r="V122" s="20">
        <v>68</v>
      </c>
      <c r="W122" s="18"/>
      <c r="X122" s="18"/>
      <c r="Y122" s="20"/>
      <c r="Z122" s="18"/>
    </row>
    <row r="123" spans="1:26" hidden="1">
      <c r="A123" s="18">
        <v>161344</v>
      </c>
      <c r="B123" s="18">
        <v>161344</v>
      </c>
      <c r="C123" s="18" t="s">
        <v>622</v>
      </c>
      <c r="D123" s="19" t="s">
        <v>623</v>
      </c>
      <c r="E123" s="19" t="s">
        <v>423</v>
      </c>
      <c r="F123" s="20">
        <v>130</v>
      </c>
      <c r="G123" s="21" t="s">
        <v>193</v>
      </c>
      <c r="H123" s="21" t="s">
        <v>228</v>
      </c>
      <c r="I123" s="21" t="s">
        <v>215</v>
      </c>
      <c r="J123" s="22">
        <v>46043</v>
      </c>
      <c r="K123" s="21" t="s">
        <v>11</v>
      </c>
      <c r="L123" s="21" t="s">
        <v>363</v>
      </c>
      <c r="M123" s="20">
        <v>670</v>
      </c>
      <c r="N123" s="20">
        <v>42</v>
      </c>
      <c r="O123" s="20" t="s">
        <v>163</v>
      </c>
      <c r="P123" s="20">
        <v>674</v>
      </c>
      <c r="Q123" s="20" t="s">
        <v>360</v>
      </c>
      <c r="R123" s="20" t="s">
        <v>624</v>
      </c>
      <c r="S123" s="18" t="s">
        <v>625</v>
      </c>
      <c r="T123" s="18">
        <v>187875</v>
      </c>
      <c r="U123" s="20"/>
      <c r="V123" s="20">
        <v>68</v>
      </c>
      <c r="W123" s="18"/>
      <c r="X123" s="18"/>
      <c r="Y123" s="20"/>
      <c r="Z123" s="18"/>
    </row>
    <row r="124" spans="1:26" hidden="1">
      <c r="A124" s="18">
        <v>161344</v>
      </c>
      <c r="B124" s="18">
        <v>161344</v>
      </c>
      <c r="C124" s="18" t="s">
        <v>622</v>
      </c>
      <c r="D124" s="19" t="s">
        <v>623</v>
      </c>
      <c r="E124" s="19" t="s">
        <v>423</v>
      </c>
      <c r="F124" s="20">
        <v>131</v>
      </c>
      <c r="G124" s="21" t="s">
        <v>196</v>
      </c>
      <c r="H124" s="21" t="s">
        <v>228</v>
      </c>
      <c r="I124" s="21" t="s">
        <v>215</v>
      </c>
      <c r="J124" s="22">
        <v>46043</v>
      </c>
      <c r="K124" s="21" t="s">
        <v>11</v>
      </c>
      <c r="L124" s="21" t="s">
        <v>446</v>
      </c>
      <c r="M124" s="20">
        <v>670</v>
      </c>
      <c r="N124" s="20">
        <v>42</v>
      </c>
      <c r="O124" s="20" t="s">
        <v>163</v>
      </c>
      <c r="P124" s="20">
        <v>674</v>
      </c>
      <c r="Q124" s="20" t="s">
        <v>360</v>
      </c>
      <c r="R124" s="20" t="s">
        <v>624</v>
      </c>
      <c r="S124" s="18" t="s">
        <v>625</v>
      </c>
      <c r="T124" s="18">
        <v>187874</v>
      </c>
      <c r="U124" s="20"/>
      <c r="V124" s="20">
        <v>68</v>
      </c>
      <c r="W124" s="18"/>
      <c r="X124" s="18"/>
      <c r="Y124" s="20"/>
      <c r="Z124" s="18"/>
    </row>
    <row r="125" spans="1:26" hidden="1">
      <c r="A125" s="18">
        <v>161345</v>
      </c>
      <c r="B125" s="18">
        <v>161345</v>
      </c>
      <c r="C125" s="18" t="s">
        <v>626</v>
      </c>
      <c r="D125" s="19" t="s">
        <v>627</v>
      </c>
      <c r="E125" s="19" t="s">
        <v>628</v>
      </c>
      <c r="F125" s="20">
        <v>130</v>
      </c>
      <c r="G125" s="21" t="s">
        <v>193</v>
      </c>
      <c r="H125" s="21" t="s">
        <v>194</v>
      </c>
      <c r="I125" s="21" t="s">
        <v>417</v>
      </c>
      <c r="J125" s="22">
        <v>46060</v>
      </c>
      <c r="K125" s="21" t="s">
        <v>11</v>
      </c>
      <c r="L125" s="21" t="s">
        <v>378</v>
      </c>
      <c r="M125" s="20">
        <v>670</v>
      </c>
      <c r="N125" s="20">
        <v>50</v>
      </c>
      <c r="O125" s="20" t="s">
        <v>163</v>
      </c>
      <c r="P125" s="20">
        <v>674</v>
      </c>
      <c r="Q125" s="20" t="s">
        <v>360</v>
      </c>
      <c r="R125" s="20" t="s">
        <v>624</v>
      </c>
      <c r="S125" s="18" t="s">
        <v>625</v>
      </c>
      <c r="T125" s="18">
        <v>187695</v>
      </c>
      <c r="U125" s="20"/>
      <c r="V125" s="20">
        <v>68</v>
      </c>
      <c r="W125" s="18"/>
      <c r="X125" s="18"/>
      <c r="Y125" s="20"/>
      <c r="Z125" s="18"/>
    </row>
    <row r="126" spans="1:26" hidden="1">
      <c r="A126" s="18">
        <v>161345</v>
      </c>
      <c r="B126" s="18">
        <v>161345</v>
      </c>
      <c r="C126" s="18" t="s">
        <v>626</v>
      </c>
      <c r="D126" s="19" t="s">
        <v>627</v>
      </c>
      <c r="E126" s="19" t="s">
        <v>628</v>
      </c>
      <c r="F126" s="20">
        <v>131</v>
      </c>
      <c r="G126" s="21" t="s">
        <v>196</v>
      </c>
      <c r="H126" s="21" t="s">
        <v>194</v>
      </c>
      <c r="I126" s="21" t="s">
        <v>417</v>
      </c>
      <c r="J126" s="22">
        <v>46060</v>
      </c>
      <c r="K126" s="21" t="s">
        <v>11</v>
      </c>
      <c r="L126" s="21" t="s">
        <v>378</v>
      </c>
      <c r="M126" s="20">
        <v>670</v>
      </c>
      <c r="N126" s="20">
        <v>49</v>
      </c>
      <c r="O126" s="20" t="s">
        <v>163</v>
      </c>
      <c r="P126" s="20">
        <v>674</v>
      </c>
      <c r="Q126" s="20" t="s">
        <v>360</v>
      </c>
      <c r="R126" s="20" t="s">
        <v>624</v>
      </c>
      <c r="S126" s="18" t="s">
        <v>625</v>
      </c>
      <c r="T126" s="18">
        <v>187694</v>
      </c>
      <c r="U126" s="20"/>
      <c r="V126" s="20">
        <v>68</v>
      </c>
      <c r="W126" s="18"/>
      <c r="X126" s="18"/>
      <c r="Y126" s="20"/>
      <c r="Z126" s="18"/>
    </row>
    <row r="127" spans="1:26" hidden="1">
      <c r="A127" s="18">
        <v>161345</v>
      </c>
      <c r="B127" s="18">
        <v>161345</v>
      </c>
      <c r="C127" s="18" t="s">
        <v>626</v>
      </c>
      <c r="D127" s="19" t="s">
        <v>627</v>
      </c>
      <c r="E127" s="19" t="s">
        <v>628</v>
      </c>
      <c r="F127" s="20">
        <v>132</v>
      </c>
      <c r="G127" s="21" t="s">
        <v>197</v>
      </c>
      <c r="H127" s="21" t="s">
        <v>194</v>
      </c>
      <c r="I127" s="21" t="s">
        <v>417</v>
      </c>
      <c r="J127" s="22">
        <v>46060</v>
      </c>
      <c r="K127" s="21" t="s">
        <v>11</v>
      </c>
      <c r="L127" s="21" t="s">
        <v>446</v>
      </c>
      <c r="M127" s="20">
        <v>670</v>
      </c>
      <c r="N127" s="20">
        <v>49</v>
      </c>
      <c r="O127" s="20" t="s">
        <v>163</v>
      </c>
      <c r="P127" s="20">
        <v>674</v>
      </c>
      <c r="Q127" s="20" t="s">
        <v>360</v>
      </c>
      <c r="R127" s="20" t="s">
        <v>624</v>
      </c>
      <c r="S127" s="18" t="s">
        <v>625</v>
      </c>
      <c r="T127" s="18">
        <v>187696</v>
      </c>
      <c r="U127" s="20"/>
      <c r="V127" s="20">
        <v>68</v>
      </c>
      <c r="W127" s="18"/>
      <c r="X127" s="18"/>
      <c r="Y127" s="20"/>
      <c r="Z127" s="18"/>
    </row>
    <row r="128" spans="1:26" hidden="1">
      <c r="A128" s="18">
        <v>161346</v>
      </c>
      <c r="B128" s="18">
        <v>161346</v>
      </c>
      <c r="C128" s="18" t="s">
        <v>629</v>
      </c>
      <c r="D128" s="19" t="s">
        <v>630</v>
      </c>
      <c r="E128" s="19" t="s">
        <v>445</v>
      </c>
      <c r="F128" s="20">
        <v>365</v>
      </c>
      <c r="G128" s="21" t="s">
        <v>169</v>
      </c>
      <c r="H128" s="23" t="s">
        <v>558</v>
      </c>
      <c r="I128" s="21"/>
      <c r="J128" s="22"/>
      <c r="K128" s="21"/>
      <c r="L128" s="21"/>
      <c r="M128" s="20">
        <v>670</v>
      </c>
      <c r="N128" s="20">
        <v>18</v>
      </c>
      <c r="O128" s="20" t="s">
        <v>163</v>
      </c>
      <c r="P128" s="20">
        <v>674</v>
      </c>
      <c r="Q128" s="20" t="s">
        <v>360</v>
      </c>
      <c r="R128" s="20" t="s">
        <v>361</v>
      </c>
      <c r="S128" s="18" t="s">
        <v>362</v>
      </c>
      <c r="T128" s="18">
        <v>190391</v>
      </c>
      <c r="U128" s="20" t="s">
        <v>631</v>
      </c>
      <c r="V128" s="20">
        <v>68</v>
      </c>
      <c r="W128" s="18" t="s">
        <v>447</v>
      </c>
      <c r="X128" s="18" t="s">
        <v>998</v>
      </c>
      <c r="Y128" s="20"/>
      <c r="Z128" s="18"/>
    </row>
    <row r="129" spans="1:26">
      <c r="A129" s="18">
        <v>161347</v>
      </c>
      <c r="B129" s="18">
        <v>161347</v>
      </c>
      <c r="C129" s="18" t="s">
        <v>333</v>
      </c>
      <c r="D129" s="19" t="s">
        <v>334</v>
      </c>
      <c r="E129" s="19" t="s">
        <v>445</v>
      </c>
      <c r="F129" s="20">
        <v>131</v>
      </c>
      <c r="G129" s="21" t="s">
        <v>196</v>
      </c>
      <c r="H129" s="21" t="s">
        <v>194</v>
      </c>
      <c r="I129" s="21" t="s">
        <v>165</v>
      </c>
      <c r="J129" s="22">
        <v>46055</v>
      </c>
      <c r="K129" s="21" t="s">
        <v>15</v>
      </c>
      <c r="L129" s="21" t="s">
        <v>358</v>
      </c>
      <c r="M129" s="20">
        <v>670</v>
      </c>
      <c r="N129" s="20">
        <v>38</v>
      </c>
      <c r="O129" s="20" t="s">
        <v>163</v>
      </c>
      <c r="P129" s="20">
        <v>674</v>
      </c>
      <c r="Q129" s="20" t="s">
        <v>360</v>
      </c>
      <c r="R129" s="20" t="s">
        <v>361</v>
      </c>
      <c r="S129" s="18" t="s">
        <v>362</v>
      </c>
      <c r="T129" s="18">
        <v>190508</v>
      </c>
      <c r="U129" s="20" t="s">
        <v>446</v>
      </c>
      <c r="V129" s="20">
        <v>68</v>
      </c>
      <c r="W129" s="18" t="s">
        <v>370</v>
      </c>
      <c r="X129" s="18" t="s">
        <v>364</v>
      </c>
      <c r="Y129" s="20" t="s">
        <v>365</v>
      </c>
      <c r="Z129" s="18" t="s">
        <v>447</v>
      </c>
    </row>
    <row r="130" spans="1:26">
      <c r="A130" s="18">
        <v>161347</v>
      </c>
      <c r="B130" s="18">
        <v>161347</v>
      </c>
      <c r="C130" s="18" t="s">
        <v>333</v>
      </c>
      <c r="D130" s="19" t="s">
        <v>334</v>
      </c>
      <c r="E130" s="19" t="s">
        <v>445</v>
      </c>
      <c r="F130" s="20">
        <v>130</v>
      </c>
      <c r="G130" s="21" t="s">
        <v>193</v>
      </c>
      <c r="H130" s="21" t="s">
        <v>194</v>
      </c>
      <c r="I130" s="21" t="s">
        <v>165</v>
      </c>
      <c r="J130" s="22">
        <v>46055</v>
      </c>
      <c r="K130" s="21" t="s">
        <v>15</v>
      </c>
      <c r="L130" s="21" t="s">
        <v>358</v>
      </c>
      <c r="M130" s="20">
        <v>670</v>
      </c>
      <c r="N130" s="20">
        <v>39</v>
      </c>
      <c r="O130" s="20" t="s">
        <v>163</v>
      </c>
      <c r="P130" s="20">
        <v>674</v>
      </c>
      <c r="Q130" s="20" t="s">
        <v>360</v>
      </c>
      <c r="R130" s="20" t="s">
        <v>361</v>
      </c>
      <c r="S130" s="18" t="s">
        <v>362</v>
      </c>
      <c r="T130" s="18">
        <v>190507</v>
      </c>
      <c r="U130" s="20" t="s">
        <v>446</v>
      </c>
      <c r="V130" s="20">
        <v>68</v>
      </c>
      <c r="W130" s="18" t="s">
        <v>370</v>
      </c>
      <c r="X130" s="18" t="s">
        <v>364</v>
      </c>
      <c r="Y130" s="20" t="s">
        <v>365</v>
      </c>
      <c r="Z130" s="18" t="s">
        <v>37</v>
      </c>
    </row>
    <row r="131" spans="1:26" hidden="1">
      <c r="A131" s="18">
        <v>161348</v>
      </c>
      <c r="B131" s="18">
        <v>161348</v>
      </c>
      <c r="C131" s="18" t="s">
        <v>632</v>
      </c>
      <c r="D131" s="19" t="s">
        <v>633</v>
      </c>
      <c r="E131" s="19" t="s">
        <v>634</v>
      </c>
      <c r="F131" s="20">
        <v>365</v>
      </c>
      <c r="G131" s="21" t="s">
        <v>169</v>
      </c>
      <c r="H131" s="21" t="s">
        <v>164</v>
      </c>
      <c r="I131" s="21" t="s">
        <v>278</v>
      </c>
      <c r="J131" s="22">
        <v>46049</v>
      </c>
      <c r="K131" s="21" t="s">
        <v>13</v>
      </c>
      <c r="L131" s="21" t="s">
        <v>378</v>
      </c>
      <c r="M131" s="20">
        <v>670</v>
      </c>
      <c r="N131" s="20">
        <v>61</v>
      </c>
      <c r="O131" s="20" t="s">
        <v>163</v>
      </c>
      <c r="P131" s="20">
        <v>674</v>
      </c>
      <c r="Q131" s="20" t="s">
        <v>360</v>
      </c>
      <c r="R131" s="20" t="s">
        <v>361</v>
      </c>
      <c r="S131" s="18" t="s">
        <v>362</v>
      </c>
      <c r="T131" s="18">
        <v>190046</v>
      </c>
      <c r="U131" s="20" t="s">
        <v>446</v>
      </c>
      <c r="V131" s="20">
        <v>68</v>
      </c>
      <c r="W131" s="18" t="s">
        <v>4776</v>
      </c>
      <c r="X131" s="18" t="s">
        <v>1067</v>
      </c>
      <c r="Y131" s="20" t="s">
        <v>365</v>
      </c>
      <c r="Z131" s="18" t="s">
        <v>37</v>
      </c>
    </row>
    <row r="132" spans="1:26" hidden="1">
      <c r="A132" s="18">
        <v>161349</v>
      </c>
      <c r="B132" s="18">
        <v>161349</v>
      </c>
      <c r="C132" s="18" t="s">
        <v>632</v>
      </c>
      <c r="D132" s="19" t="s">
        <v>633</v>
      </c>
      <c r="E132" s="19" t="s">
        <v>635</v>
      </c>
      <c r="F132" s="20">
        <v>365</v>
      </c>
      <c r="G132" s="21" t="s">
        <v>169</v>
      </c>
      <c r="H132" s="21" t="s">
        <v>164</v>
      </c>
      <c r="I132" s="21" t="s">
        <v>278</v>
      </c>
      <c r="J132" s="22">
        <v>46049</v>
      </c>
      <c r="K132" s="21" t="s">
        <v>13</v>
      </c>
      <c r="L132" s="21" t="s">
        <v>378</v>
      </c>
      <c r="M132" s="20">
        <v>670</v>
      </c>
      <c r="N132" s="20">
        <v>60</v>
      </c>
      <c r="O132" s="20" t="s">
        <v>163</v>
      </c>
      <c r="P132" s="20">
        <v>674</v>
      </c>
      <c r="Q132" s="20" t="s">
        <v>360</v>
      </c>
      <c r="R132" s="20" t="s">
        <v>361</v>
      </c>
      <c r="S132" s="18" t="s">
        <v>362</v>
      </c>
      <c r="T132" s="18">
        <v>190047</v>
      </c>
      <c r="U132" s="20" t="s">
        <v>446</v>
      </c>
      <c r="V132" s="20">
        <v>68</v>
      </c>
      <c r="W132" s="18" t="s">
        <v>4736</v>
      </c>
      <c r="X132" s="18" t="s">
        <v>1067</v>
      </c>
      <c r="Y132" s="20" t="s">
        <v>365</v>
      </c>
      <c r="Z132" s="18" t="s">
        <v>2882</v>
      </c>
    </row>
    <row r="133" spans="1:26" hidden="1">
      <c r="A133" s="18">
        <v>161350</v>
      </c>
      <c r="B133" s="18">
        <v>161350</v>
      </c>
      <c r="C133" s="18" t="s">
        <v>239</v>
      </c>
      <c r="D133" s="19" t="s">
        <v>240</v>
      </c>
      <c r="E133" s="19" t="s">
        <v>445</v>
      </c>
      <c r="F133" s="20">
        <v>131</v>
      </c>
      <c r="G133" s="21" t="s">
        <v>196</v>
      </c>
      <c r="H133" s="21" t="s">
        <v>164</v>
      </c>
      <c r="I133" s="21" t="s">
        <v>238</v>
      </c>
      <c r="J133" s="22">
        <v>46052</v>
      </c>
      <c r="K133" s="21" t="s">
        <v>13</v>
      </c>
      <c r="L133" s="21" t="s">
        <v>358</v>
      </c>
      <c r="M133" s="20">
        <v>670</v>
      </c>
      <c r="N133" s="20">
        <v>58</v>
      </c>
      <c r="O133" s="20" t="s">
        <v>163</v>
      </c>
      <c r="P133" s="20">
        <v>674</v>
      </c>
      <c r="Q133" s="20" t="s">
        <v>360</v>
      </c>
      <c r="R133" s="20" t="s">
        <v>361</v>
      </c>
      <c r="S133" s="18" t="s">
        <v>362</v>
      </c>
      <c r="T133" s="18">
        <v>190145</v>
      </c>
      <c r="U133" s="20" t="s">
        <v>425</v>
      </c>
      <c r="V133" s="20">
        <v>68</v>
      </c>
      <c r="W133" s="18" t="s">
        <v>448</v>
      </c>
      <c r="X133" s="18" t="s">
        <v>364</v>
      </c>
      <c r="Y133" s="20" t="s">
        <v>365</v>
      </c>
      <c r="Z133" s="18" t="s">
        <v>359</v>
      </c>
    </row>
    <row r="134" spans="1:26" hidden="1">
      <c r="A134" s="18">
        <v>161350</v>
      </c>
      <c r="B134" s="18">
        <v>161350</v>
      </c>
      <c r="C134" s="18" t="s">
        <v>239</v>
      </c>
      <c r="D134" s="19" t="s">
        <v>240</v>
      </c>
      <c r="E134" s="19" t="s">
        <v>445</v>
      </c>
      <c r="F134" s="20">
        <v>130</v>
      </c>
      <c r="G134" s="21" t="s">
        <v>193</v>
      </c>
      <c r="H134" s="21" t="s">
        <v>164</v>
      </c>
      <c r="I134" s="21" t="s">
        <v>238</v>
      </c>
      <c r="J134" s="22">
        <v>46052</v>
      </c>
      <c r="K134" s="21" t="s">
        <v>13</v>
      </c>
      <c r="L134" s="21" t="s">
        <v>358</v>
      </c>
      <c r="M134" s="20">
        <v>670</v>
      </c>
      <c r="N134" s="20">
        <v>59</v>
      </c>
      <c r="O134" s="20" t="s">
        <v>163</v>
      </c>
      <c r="P134" s="20">
        <v>674</v>
      </c>
      <c r="Q134" s="20" t="s">
        <v>360</v>
      </c>
      <c r="R134" s="20" t="s">
        <v>361</v>
      </c>
      <c r="S134" s="18" t="s">
        <v>362</v>
      </c>
      <c r="T134" s="18">
        <v>190146</v>
      </c>
      <c r="U134" s="20" t="s">
        <v>425</v>
      </c>
      <c r="V134" s="20">
        <v>68</v>
      </c>
      <c r="W134" s="18" t="s">
        <v>448</v>
      </c>
      <c r="X134" s="18" t="s">
        <v>364</v>
      </c>
      <c r="Y134" s="20" t="s">
        <v>365</v>
      </c>
      <c r="Z134" s="18" t="s">
        <v>359</v>
      </c>
    </row>
    <row r="135" spans="1:26" hidden="1">
      <c r="A135" s="18">
        <v>161351</v>
      </c>
      <c r="B135" s="18">
        <v>161351</v>
      </c>
      <c r="C135" s="18" t="s">
        <v>449</v>
      </c>
      <c r="D135" s="19" t="s">
        <v>450</v>
      </c>
      <c r="E135" s="19" t="s">
        <v>445</v>
      </c>
      <c r="F135" s="20">
        <v>131</v>
      </c>
      <c r="G135" s="21" t="s">
        <v>196</v>
      </c>
      <c r="H135" s="21" t="s">
        <v>164</v>
      </c>
      <c r="I135" s="21" t="s">
        <v>283</v>
      </c>
      <c r="J135" s="22">
        <v>46051</v>
      </c>
      <c r="K135" s="21" t="s">
        <v>13</v>
      </c>
      <c r="L135" s="21" t="s">
        <v>358</v>
      </c>
      <c r="M135" s="20">
        <v>670</v>
      </c>
      <c r="N135" s="20">
        <v>62</v>
      </c>
      <c r="O135" s="20" t="s">
        <v>163</v>
      </c>
      <c r="P135" s="20">
        <v>674</v>
      </c>
      <c r="Q135" s="20" t="s">
        <v>360</v>
      </c>
      <c r="R135" s="20" t="s">
        <v>361</v>
      </c>
      <c r="S135" s="18" t="s">
        <v>362</v>
      </c>
      <c r="T135" s="18">
        <v>190271</v>
      </c>
      <c r="U135" s="20" t="s">
        <v>378</v>
      </c>
      <c r="V135" s="20">
        <v>68</v>
      </c>
      <c r="W135" s="18" t="s">
        <v>451</v>
      </c>
      <c r="X135" s="18" t="s">
        <v>364</v>
      </c>
      <c r="Y135" s="20" t="s">
        <v>365</v>
      </c>
      <c r="Z135" s="18" t="s">
        <v>451</v>
      </c>
    </row>
    <row r="136" spans="1:26" hidden="1">
      <c r="A136" s="18">
        <v>161351</v>
      </c>
      <c r="B136" s="18">
        <v>161351</v>
      </c>
      <c r="C136" s="18" t="s">
        <v>449</v>
      </c>
      <c r="D136" s="19" t="s">
        <v>450</v>
      </c>
      <c r="E136" s="19" t="s">
        <v>445</v>
      </c>
      <c r="F136" s="20">
        <v>130</v>
      </c>
      <c r="G136" s="21" t="s">
        <v>193</v>
      </c>
      <c r="H136" s="21" t="s">
        <v>164</v>
      </c>
      <c r="I136" s="21" t="s">
        <v>283</v>
      </c>
      <c r="J136" s="22">
        <v>46051</v>
      </c>
      <c r="K136" s="21" t="s">
        <v>13</v>
      </c>
      <c r="L136" s="21" t="s">
        <v>358</v>
      </c>
      <c r="M136" s="20">
        <v>670</v>
      </c>
      <c r="N136" s="20">
        <v>64</v>
      </c>
      <c r="O136" s="20" t="s">
        <v>163</v>
      </c>
      <c r="P136" s="20">
        <v>674</v>
      </c>
      <c r="Q136" s="20" t="s">
        <v>360</v>
      </c>
      <c r="R136" s="20" t="s">
        <v>361</v>
      </c>
      <c r="S136" s="18" t="s">
        <v>362</v>
      </c>
      <c r="T136" s="18">
        <v>190270</v>
      </c>
      <c r="U136" s="20" t="s">
        <v>378</v>
      </c>
      <c r="V136" s="20">
        <v>68</v>
      </c>
      <c r="W136" s="18" t="s">
        <v>451</v>
      </c>
      <c r="X136" s="18" t="s">
        <v>364</v>
      </c>
      <c r="Y136" s="20" t="s">
        <v>365</v>
      </c>
      <c r="Z136" s="18" t="s">
        <v>451</v>
      </c>
    </row>
    <row r="137" spans="1:26" hidden="1">
      <c r="A137" s="18">
        <v>161352</v>
      </c>
      <c r="B137" s="18">
        <v>161352</v>
      </c>
      <c r="C137" s="18" t="s">
        <v>636</v>
      </c>
      <c r="D137" s="19" t="s">
        <v>637</v>
      </c>
      <c r="E137" s="19" t="s">
        <v>638</v>
      </c>
      <c r="F137" s="20">
        <v>365</v>
      </c>
      <c r="G137" s="21" t="s">
        <v>169</v>
      </c>
      <c r="H137" s="23" t="s">
        <v>558</v>
      </c>
      <c r="I137" s="21"/>
      <c r="J137" s="22"/>
      <c r="K137" s="21"/>
      <c r="L137" s="21"/>
      <c r="M137" s="20">
        <v>670</v>
      </c>
      <c r="N137" s="20">
        <v>40</v>
      </c>
      <c r="O137" s="20" t="s">
        <v>163</v>
      </c>
      <c r="P137" s="20">
        <v>674</v>
      </c>
      <c r="Q137" s="20" t="s">
        <v>360</v>
      </c>
      <c r="R137" s="20" t="s">
        <v>361</v>
      </c>
      <c r="S137" s="18" t="s">
        <v>362</v>
      </c>
      <c r="T137" s="18">
        <v>190267</v>
      </c>
      <c r="U137" s="20" t="s">
        <v>26</v>
      </c>
      <c r="V137" s="20">
        <v>68</v>
      </c>
      <c r="W137" s="18" t="s">
        <v>451</v>
      </c>
      <c r="X137" s="18" t="s">
        <v>998</v>
      </c>
      <c r="Y137" s="20"/>
      <c r="Z137" s="18" t="s">
        <v>451</v>
      </c>
    </row>
    <row r="138" spans="1:26" hidden="1">
      <c r="A138" s="18">
        <v>161353</v>
      </c>
      <c r="B138" s="18">
        <v>161353</v>
      </c>
      <c r="C138" s="18" t="s">
        <v>636</v>
      </c>
      <c r="D138" s="19" t="s">
        <v>637</v>
      </c>
      <c r="E138" s="19" t="s">
        <v>639</v>
      </c>
      <c r="F138" s="20">
        <v>365</v>
      </c>
      <c r="G138" s="21" t="s">
        <v>169</v>
      </c>
      <c r="H138" s="23" t="s">
        <v>558</v>
      </c>
      <c r="I138" s="21"/>
      <c r="J138" s="22"/>
      <c r="K138" s="21"/>
      <c r="L138" s="21"/>
      <c r="M138" s="20">
        <v>670</v>
      </c>
      <c r="N138" s="20">
        <v>40</v>
      </c>
      <c r="O138" s="20" t="s">
        <v>163</v>
      </c>
      <c r="P138" s="20">
        <v>674</v>
      </c>
      <c r="Q138" s="20" t="s">
        <v>360</v>
      </c>
      <c r="R138" s="20" t="s">
        <v>361</v>
      </c>
      <c r="S138" s="18" t="s">
        <v>362</v>
      </c>
      <c r="T138" s="18">
        <v>190268</v>
      </c>
      <c r="U138" s="20" t="s">
        <v>26</v>
      </c>
      <c r="V138" s="20">
        <v>68</v>
      </c>
      <c r="W138" s="18" t="s">
        <v>1160</v>
      </c>
      <c r="X138" s="18" t="s">
        <v>998</v>
      </c>
      <c r="Y138" s="20"/>
      <c r="Z138" s="18" t="s">
        <v>451</v>
      </c>
    </row>
    <row r="139" spans="1:26" hidden="1">
      <c r="A139" s="18">
        <v>161354</v>
      </c>
      <c r="B139" s="18">
        <v>161354</v>
      </c>
      <c r="C139" s="18" t="s">
        <v>636</v>
      </c>
      <c r="D139" s="19" t="s">
        <v>637</v>
      </c>
      <c r="E139" s="19" t="s">
        <v>640</v>
      </c>
      <c r="F139" s="20">
        <v>365</v>
      </c>
      <c r="G139" s="21" t="s">
        <v>169</v>
      </c>
      <c r="H139" s="23" t="s">
        <v>558</v>
      </c>
      <c r="I139" s="21"/>
      <c r="J139" s="22"/>
      <c r="K139" s="21"/>
      <c r="L139" s="21"/>
      <c r="M139" s="20">
        <v>670</v>
      </c>
      <c r="N139" s="20">
        <v>40</v>
      </c>
      <c r="O139" s="20" t="s">
        <v>163</v>
      </c>
      <c r="P139" s="20">
        <v>674</v>
      </c>
      <c r="Q139" s="20" t="s">
        <v>360</v>
      </c>
      <c r="R139" s="20" t="s">
        <v>361</v>
      </c>
      <c r="S139" s="18" t="s">
        <v>362</v>
      </c>
      <c r="T139" s="18">
        <v>190269</v>
      </c>
      <c r="U139" s="20" t="s">
        <v>26</v>
      </c>
      <c r="V139" s="20">
        <v>68</v>
      </c>
      <c r="W139" s="18" t="s">
        <v>487</v>
      </c>
      <c r="X139" s="18" t="s">
        <v>998</v>
      </c>
      <c r="Y139" s="20"/>
      <c r="Z139" s="18" t="s">
        <v>451</v>
      </c>
    </row>
    <row r="140" spans="1:26">
      <c r="A140" s="18">
        <v>161355</v>
      </c>
      <c r="B140" s="18">
        <v>161355</v>
      </c>
      <c r="C140" s="18" t="s">
        <v>114</v>
      </c>
      <c r="D140" s="19" t="s">
        <v>452</v>
      </c>
      <c r="E140" s="19" t="s">
        <v>445</v>
      </c>
      <c r="F140" s="20">
        <v>131</v>
      </c>
      <c r="G140" s="21" t="s">
        <v>196</v>
      </c>
      <c r="H140" s="21" t="s">
        <v>228</v>
      </c>
      <c r="I140" s="21" t="s">
        <v>417</v>
      </c>
      <c r="J140" s="22">
        <v>46046</v>
      </c>
      <c r="K140" s="21" t="s">
        <v>14</v>
      </c>
      <c r="L140" s="21" t="s">
        <v>358</v>
      </c>
      <c r="M140" s="20">
        <v>670</v>
      </c>
      <c r="N140" s="20">
        <v>54</v>
      </c>
      <c r="O140" s="20" t="s">
        <v>163</v>
      </c>
      <c r="P140" s="20">
        <v>674</v>
      </c>
      <c r="Q140" s="20" t="s">
        <v>360</v>
      </c>
      <c r="R140" s="20" t="s">
        <v>361</v>
      </c>
      <c r="S140" s="18" t="s">
        <v>362</v>
      </c>
      <c r="T140" s="18">
        <v>190364</v>
      </c>
      <c r="U140" s="20" t="s">
        <v>378</v>
      </c>
      <c r="V140" s="20">
        <v>68</v>
      </c>
      <c r="W140" s="18" t="s">
        <v>453</v>
      </c>
      <c r="X140" s="18" t="s">
        <v>364</v>
      </c>
      <c r="Y140" s="20" t="s">
        <v>365</v>
      </c>
      <c r="Z140" s="18" t="s">
        <v>409</v>
      </c>
    </row>
    <row r="141" spans="1:26">
      <c r="A141" s="18">
        <v>161355</v>
      </c>
      <c r="B141" s="18">
        <v>161355</v>
      </c>
      <c r="C141" s="18" t="s">
        <v>114</v>
      </c>
      <c r="D141" s="19" t="s">
        <v>452</v>
      </c>
      <c r="E141" s="19" t="s">
        <v>445</v>
      </c>
      <c r="F141" s="20">
        <v>130</v>
      </c>
      <c r="G141" s="21" t="s">
        <v>193</v>
      </c>
      <c r="H141" s="21" t="s">
        <v>228</v>
      </c>
      <c r="I141" s="21" t="s">
        <v>417</v>
      </c>
      <c r="J141" s="22">
        <v>46046</v>
      </c>
      <c r="K141" s="21" t="s">
        <v>14</v>
      </c>
      <c r="L141" s="21" t="s">
        <v>358</v>
      </c>
      <c r="M141" s="20">
        <v>670</v>
      </c>
      <c r="N141" s="20">
        <v>55</v>
      </c>
      <c r="O141" s="20" t="s">
        <v>163</v>
      </c>
      <c r="P141" s="20">
        <v>674</v>
      </c>
      <c r="Q141" s="20" t="s">
        <v>360</v>
      </c>
      <c r="R141" s="20" t="s">
        <v>361</v>
      </c>
      <c r="S141" s="18" t="s">
        <v>362</v>
      </c>
      <c r="T141" s="18">
        <v>190363</v>
      </c>
      <c r="U141" s="20" t="s">
        <v>378</v>
      </c>
      <c r="V141" s="20">
        <v>68</v>
      </c>
      <c r="W141" s="18" t="s">
        <v>453</v>
      </c>
      <c r="X141" s="18" t="s">
        <v>364</v>
      </c>
      <c r="Y141" s="20" t="s">
        <v>365</v>
      </c>
      <c r="Z141" s="18" t="s">
        <v>409</v>
      </c>
    </row>
    <row r="142" spans="1:26">
      <c r="A142" s="18">
        <v>161356</v>
      </c>
      <c r="B142" s="18">
        <v>161356</v>
      </c>
      <c r="C142" s="18" t="s">
        <v>454</v>
      </c>
      <c r="D142" s="19" t="s">
        <v>455</v>
      </c>
      <c r="E142" s="19" t="s">
        <v>445</v>
      </c>
      <c r="F142" s="20">
        <v>131</v>
      </c>
      <c r="G142" s="21" t="s">
        <v>196</v>
      </c>
      <c r="H142" s="21" t="s">
        <v>194</v>
      </c>
      <c r="I142" s="21" t="s">
        <v>283</v>
      </c>
      <c r="J142" s="22">
        <v>46058</v>
      </c>
      <c r="K142" s="21" t="s">
        <v>440</v>
      </c>
      <c r="L142" s="21" t="s">
        <v>358</v>
      </c>
      <c r="M142" s="20">
        <v>670</v>
      </c>
      <c r="N142" s="20">
        <v>63</v>
      </c>
      <c r="O142" s="20" t="s">
        <v>163</v>
      </c>
      <c r="P142" s="20">
        <v>674</v>
      </c>
      <c r="Q142" s="20" t="s">
        <v>360</v>
      </c>
      <c r="R142" s="20" t="s">
        <v>361</v>
      </c>
      <c r="S142" s="18" t="s">
        <v>362</v>
      </c>
      <c r="T142" s="18">
        <v>190457</v>
      </c>
      <c r="U142" s="20" t="s">
        <v>378</v>
      </c>
      <c r="V142" s="20">
        <v>68</v>
      </c>
      <c r="W142" s="18" t="s">
        <v>456</v>
      </c>
      <c r="X142" s="18" t="s">
        <v>364</v>
      </c>
      <c r="Y142" s="20" t="s">
        <v>365</v>
      </c>
      <c r="Z142" s="18" t="s">
        <v>441</v>
      </c>
    </row>
    <row r="143" spans="1:26">
      <c r="A143" s="18">
        <v>161356</v>
      </c>
      <c r="B143" s="18">
        <v>161356</v>
      </c>
      <c r="C143" s="18" t="s">
        <v>454</v>
      </c>
      <c r="D143" s="19" t="s">
        <v>455</v>
      </c>
      <c r="E143" s="19" t="s">
        <v>445</v>
      </c>
      <c r="F143" s="20">
        <v>130</v>
      </c>
      <c r="G143" s="21" t="s">
        <v>193</v>
      </c>
      <c r="H143" s="21" t="s">
        <v>194</v>
      </c>
      <c r="I143" s="21" t="s">
        <v>283</v>
      </c>
      <c r="J143" s="22">
        <v>46058</v>
      </c>
      <c r="K143" s="21" t="s">
        <v>440</v>
      </c>
      <c r="L143" s="21" t="s">
        <v>358</v>
      </c>
      <c r="M143" s="20">
        <v>670</v>
      </c>
      <c r="N143" s="20">
        <v>63</v>
      </c>
      <c r="O143" s="20" t="s">
        <v>163</v>
      </c>
      <c r="P143" s="20">
        <v>674</v>
      </c>
      <c r="Q143" s="20" t="s">
        <v>360</v>
      </c>
      <c r="R143" s="20" t="s">
        <v>361</v>
      </c>
      <c r="S143" s="18" t="s">
        <v>362</v>
      </c>
      <c r="T143" s="18">
        <v>190456</v>
      </c>
      <c r="U143" s="20" t="s">
        <v>378</v>
      </c>
      <c r="V143" s="20">
        <v>68</v>
      </c>
      <c r="W143" s="18" t="s">
        <v>456</v>
      </c>
      <c r="X143" s="18" t="s">
        <v>364</v>
      </c>
      <c r="Y143" s="20" t="s">
        <v>365</v>
      </c>
      <c r="Z143" s="18" t="s">
        <v>441</v>
      </c>
    </row>
    <row r="144" spans="1:26" hidden="1">
      <c r="A144" s="18">
        <v>161357</v>
      </c>
      <c r="B144" s="18">
        <v>161357</v>
      </c>
      <c r="C144" s="18" t="s">
        <v>626</v>
      </c>
      <c r="D144" s="19" t="s">
        <v>627</v>
      </c>
      <c r="E144" s="19" t="s">
        <v>641</v>
      </c>
      <c r="F144" s="20">
        <v>130</v>
      </c>
      <c r="G144" s="21" t="s">
        <v>193</v>
      </c>
      <c r="H144" s="21" t="s">
        <v>194</v>
      </c>
      <c r="I144" s="21" t="s">
        <v>417</v>
      </c>
      <c r="J144" s="22">
        <v>46060</v>
      </c>
      <c r="K144" s="21" t="s">
        <v>11</v>
      </c>
      <c r="L144" s="21" t="s">
        <v>577</v>
      </c>
      <c r="M144" s="20">
        <v>670</v>
      </c>
      <c r="N144" s="20">
        <v>50</v>
      </c>
      <c r="O144" s="20" t="s">
        <v>163</v>
      </c>
      <c r="P144" s="20">
        <v>674</v>
      </c>
      <c r="Q144" s="20" t="s">
        <v>360</v>
      </c>
      <c r="R144" s="20" t="s">
        <v>624</v>
      </c>
      <c r="S144" s="18" t="s">
        <v>625</v>
      </c>
      <c r="T144" s="18">
        <v>187697</v>
      </c>
      <c r="U144" s="20"/>
      <c r="V144" s="20">
        <v>69</v>
      </c>
      <c r="W144" s="18"/>
      <c r="X144" s="18"/>
      <c r="Y144" s="20"/>
      <c r="Z144" s="18"/>
    </row>
    <row r="145" spans="1:26" hidden="1">
      <c r="A145" s="18">
        <v>161357</v>
      </c>
      <c r="B145" s="18">
        <v>161357</v>
      </c>
      <c r="C145" s="18" t="s">
        <v>626</v>
      </c>
      <c r="D145" s="19" t="s">
        <v>627</v>
      </c>
      <c r="E145" s="19" t="s">
        <v>641</v>
      </c>
      <c r="F145" s="20">
        <v>131</v>
      </c>
      <c r="G145" s="21" t="s">
        <v>196</v>
      </c>
      <c r="H145" s="21" t="s">
        <v>194</v>
      </c>
      <c r="I145" s="21" t="s">
        <v>417</v>
      </c>
      <c r="J145" s="22">
        <v>46060</v>
      </c>
      <c r="K145" s="21" t="s">
        <v>11</v>
      </c>
      <c r="L145" s="21" t="s">
        <v>363</v>
      </c>
      <c r="M145" s="20">
        <v>670</v>
      </c>
      <c r="N145" s="20">
        <v>50</v>
      </c>
      <c r="O145" s="20" t="s">
        <v>163</v>
      </c>
      <c r="P145" s="20">
        <v>674</v>
      </c>
      <c r="Q145" s="20" t="s">
        <v>360</v>
      </c>
      <c r="R145" s="20" t="s">
        <v>624</v>
      </c>
      <c r="S145" s="18" t="s">
        <v>625</v>
      </c>
      <c r="T145" s="18">
        <v>187699</v>
      </c>
      <c r="U145" s="20"/>
      <c r="V145" s="20">
        <v>69</v>
      </c>
      <c r="W145" s="18"/>
      <c r="X145" s="18"/>
      <c r="Y145" s="20"/>
      <c r="Z145" s="18"/>
    </row>
    <row r="146" spans="1:26" hidden="1">
      <c r="A146" s="18">
        <v>161357</v>
      </c>
      <c r="B146" s="18">
        <v>161357</v>
      </c>
      <c r="C146" s="18" t="s">
        <v>626</v>
      </c>
      <c r="D146" s="19" t="s">
        <v>627</v>
      </c>
      <c r="E146" s="19" t="s">
        <v>641</v>
      </c>
      <c r="F146" s="20">
        <v>132</v>
      </c>
      <c r="G146" s="21" t="s">
        <v>197</v>
      </c>
      <c r="H146" s="21" t="s">
        <v>194</v>
      </c>
      <c r="I146" s="21" t="s">
        <v>417</v>
      </c>
      <c r="J146" s="22">
        <v>46060</v>
      </c>
      <c r="K146" s="21" t="s">
        <v>11</v>
      </c>
      <c r="L146" s="21" t="s">
        <v>363</v>
      </c>
      <c r="M146" s="20">
        <v>670</v>
      </c>
      <c r="N146" s="20">
        <v>50</v>
      </c>
      <c r="O146" s="20" t="s">
        <v>163</v>
      </c>
      <c r="P146" s="20">
        <v>674</v>
      </c>
      <c r="Q146" s="20" t="s">
        <v>360</v>
      </c>
      <c r="R146" s="20" t="s">
        <v>624</v>
      </c>
      <c r="S146" s="18" t="s">
        <v>625</v>
      </c>
      <c r="T146" s="18">
        <v>187698</v>
      </c>
      <c r="U146" s="20"/>
      <c r="V146" s="20">
        <v>69</v>
      </c>
      <c r="W146" s="18"/>
      <c r="X146" s="18"/>
      <c r="Y146" s="20"/>
      <c r="Z146" s="18"/>
    </row>
    <row r="147" spans="1:26" hidden="1">
      <c r="A147" s="18">
        <v>161358</v>
      </c>
      <c r="B147" s="18">
        <v>161358</v>
      </c>
      <c r="C147" s="18" t="s">
        <v>642</v>
      </c>
      <c r="D147" s="19" t="s">
        <v>643</v>
      </c>
      <c r="E147" s="19" t="s">
        <v>644</v>
      </c>
      <c r="F147" s="20">
        <v>365</v>
      </c>
      <c r="G147" s="21" t="s">
        <v>169</v>
      </c>
      <c r="H147" s="21" t="s">
        <v>228</v>
      </c>
      <c r="I147" s="21" t="s">
        <v>165</v>
      </c>
      <c r="J147" s="22">
        <v>46041</v>
      </c>
      <c r="K147" s="21" t="s">
        <v>12</v>
      </c>
      <c r="L147" s="21" t="s">
        <v>446</v>
      </c>
      <c r="M147" s="20">
        <v>670</v>
      </c>
      <c r="N147" s="20">
        <v>26</v>
      </c>
      <c r="O147" s="20" t="s">
        <v>163</v>
      </c>
      <c r="P147" s="20">
        <v>674</v>
      </c>
      <c r="Q147" s="20" t="s">
        <v>360</v>
      </c>
      <c r="R147" s="20" t="s">
        <v>361</v>
      </c>
      <c r="S147" s="18" t="s">
        <v>362</v>
      </c>
      <c r="T147" s="18">
        <v>190613</v>
      </c>
      <c r="U147" s="20" t="s">
        <v>645</v>
      </c>
      <c r="V147" s="20">
        <v>69</v>
      </c>
      <c r="W147" s="18" t="s">
        <v>4665</v>
      </c>
      <c r="X147" s="18" t="s">
        <v>1067</v>
      </c>
      <c r="Y147" s="20" t="s">
        <v>365</v>
      </c>
      <c r="Z147" s="18" t="s">
        <v>1052</v>
      </c>
    </row>
    <row r="148" spans="1:26" hidden="1">
      <c r="A148" s="18">
        <v>161359</v>
      </c>
      <c r="B148" s="18">
        <v>161359</v>
      </c>
      <c r="C148" s="18" t="s">
        <v>642</v>
      </c>
      <c r="D148" s="19" t="s">
        <v>643</v>
      </c>
      <c r="E148" s="19" t="s">
        <v>646</v>
      </c>
      <c r="F148" s="20">
        <v>365</v>
      </c>
      <c r="G148" s="21" t="s">
        <v>169</v>
      </c>
      <c r="H148" s="21" t="s">
        <v>228</v>
      </c>
      <c r="I148" s="21" t="s">
        <v>165</v>
      </c>
      <c r="J148" s="22">
        <v>46041</v>
      </c>
      <c r="K148" s="21" t="s">
        <v>12</v>
      </c>
      <c r="L148" s="21" t="s">
        <v>577</v>
      </c>
      <c r="M148" s="20">
        <v>670</v>
      </c>
      <c r="N148" s="20">
        <v>20</v>
      </c>
      <c r="O148" s="20" t="s">
        <v>163</v>
      </c>
      <c r="P148" s="20">
        <v>674</v>
      </c>
      <c r="Q148" s="20" t="s">
        <v>360</v>
      </c>
      <c r="R148" s="20" t="s">
        <v>361</v>
      </c>
      <c r="S148" s="18" t="s">
        <v>362</v>
      </c>
      <c r="T148" s="18">
        <v>190614</v>
      </c>
      <c r="U148" s="20" t="s">
        <v>647</v>
      </c>
      <c r="V148" s="20">
        <v>69</v>
      </c>
      <c r="W148" s="18" t="s">
        <v>4646</v>
      </c>
      <c r="X148" s="18" t="s">
        <v>1067</v>
      </c>
      <c r="Y148" s="20" t="s">
        <v>365</v>
      </c>
      <c r="Z148" s="18" t="s">
        <v>1052</v>
      </c>
    </row>
    <row r="149" spans="1:26" hidden="1">
      <c r="A149" s="18">
        <v>161362</v>
      </c>
      <c r="B149" s="18">
        <v>161362</v>
      </c>
      <c r="C149" s="18" t="s">
        <v>642</v>
      </c>
      <c r="D149" s="19" t="s">
        <v>643</v>
      </c>
      <c r="E149" s="19" t="s">
        <v>648</v>
      </c>
      <c r="F149" s="20">
        <v>365</v>
      </c>
      <c r="G149" s="21" t="s">
        <v>169</v>
      </c>
      <c r="H149" s="21" t="s">
        <v>228</v>
      </c>
      <c r="I149" s="21" t="s">
        <v>165</v>
      </c>
      <c r="J149" s="22">
        <v>46041</v>
      </c>
      <c r="K149" s="21" t="s">
        <v>12</v>
      </c>
      <c r="L149" s="21" t="s">
        <v>579</v>
      </c>
      <c r="M149" s="20">
        <v>670</v>
      </c>
      <c r="N149" s="20">
        <v>28</v>
      </c>
      <c r="O149" s="20" t="s">
        <v>163</v>
      </c>
      <c r="P149" s="20">
        <v>674</v>
      </c>
      <c r="Q149" s="20" t="s">
        <v>360</v>
      </c>
      <c r="R149" s="20" t="s">
        <v>361</v>
      </c>
      <c r="S149" s="18" t="s">
        <v>362</v>
      </c>
      <c r="T149" s="18">
        <v>190615</v>
      </c>
      <c r="U149" s="20" t="s">
        <v>645</v>
      </c>
      <c r="V149" s="20">
        <v>69</v>
      </c>
      <c r="W149" s="18" t="s">
        <v>3434</v>
      </c>
      <c r="X149" s="18" t="s">
        <v>1067</v>
      </c>
      <c r="Y149" s="20" t="s">
        <v>365</v>
      </c>
      <c r="Z149" s="18" t="s">
        <v>1052</v>
      </c>
    </row>
    <row r="150" spans="1:26" hidden="1">
      <c r="A150" s="18">
        <v>161363</v>
      </c>
      <c r="B150" s="18">
        <v>161363</v>
      </c>
      <c r="C150" s="18" t="s">
        <v>642</v>
      </c>
      <c r="D150" s="19" t="s">
        <v>643</v>
      </c>
      <c r="E150" s="19" t="s">
        <v>649</v>
      </c>
      <c r="F150" s="20">
        <v>365</v>
      </c>
      <c r="G150" s="21" t="s">
        <v>169</v>
      </c>
      <c r="H150" s="21" t="s">
        <v>228</v>
      </c>
      <c r="I150" s="21" t="s">
        <v>165</v>
      </c>
      <c r="J150" s="22">
        <v>46041</v>
      </c>
      <c r="K150" s="21" t="s">
        <v>12</v>
      </c>
      <c r="L150" s="21" t="s">
        <v>406</v>
      </c>
      <c r="M150" s="20">
        <v>670</v>
      </c>
      <c r="N150" s="20">
        <v>27</v>
      </c>
      <c r="O150" s="20" t="s">
        <v>163</v>
      </c>
      <c r="P150" s="20">
        <v>674</v>
      </c>
      <c r="Q150" s="20" t="s">
        <v>360</v>
      </c>
      <c r="R150" s="20" t="s">
        <v>361</v>
      </c>
      <c r="S150" s="18" t="s">
        <v>362</v>
      </c>
      <c r="T150" s="18">
        <v>190616</v>
      </c>
      <c r="U150" s="20" t="s">
        <v>647</v>
      </c>
      <c r="V150" s="20">
        <v>69</v>
      </c>
      <c r="W150" s="18" t="s">
        <v>3367</v>
      </c>
      <c r="X150" s="18" t="s">
        <v>1067</v>
      </c>
      <c r="Y150" s="20" t="s">
        <v>365</v>
      </c>
      <c r="Z150" s="18" t="s">
        <v>1052</v>
      </c>
    </row>
    <row r="151" spans="1:26" hidden="1">
      <c r="A151" s="18">
        <v>161364</v>
      </c>
      <c r="B151" s="18">
        <v>161364</v>
      </c>
      <c r="C151" s="18" t="s">
        <v>642</v>
      </c>
      <c r="D151" s="19" t="s">
        <v>643</v>
      </c>
      <c r="E151" s="19" t="s">
        <v>650</v>
      </c>
      <c r="F151" s="20">
        <v>365</v>
      </c>
      <c r="G151" s="21" t="s">
        <v>169</v>
      </c>
      <c r="H151" s="21" t="s">
        <v>228</v>
      </c>
      <c r="I151" s="21" t="s">
        <v>165</v>
      </c>
      <c r="J151" s="22">
        <v>46041</v>
      </c>
      <c r="K151" s="21" t="s">
        <v>12</v>
      </c>
      <c r="L151" s="21" t="s">
        <v>403</v>
      </c>
      <c r="M151" s="20">
        <v>670</v>
      </c>
      <c r="N151" s="20">
        <v>22</v>
      </c>
      <c r="O151" s="20" t="s">
        <v>163</v>
      </c>
      <c r="P151" s="20">
        <v>674</v>
      </c>
      <c r="Q151" s="20" t="s">
        <v>360</v>
      </c>
      <c r="R151" s="20" t="s">
        <v>361</v>
      </c>
      <c r="S151" s="18" t="s">
        <v>362</v>
      </c>
      <c r="T151" s="18">
        <v>190617</v>
      </c>
      <c r="U151" s="20" t="s">
        <v>651</v>
      </c>
      <c r="V151" s="20">
        <v>69</v>
      </c>
      <c r="W151" s="18" t="s">
        <v>3605</v>
      </c>
      <c r="X151" s="18" t="s">
        <v>1067</v>
      </c>
      <c r="Y151" s="20" t="s">
        <v>365</v>
      </c>
      <c r="Z151" s="18" t="s">
        <v>1052</v>
      </c>
    </row>
    <row r="152" spans="1:26" hidden="1">
      <c r="A152" s="18">
        <v>161365</v>
      </c>
      <c r="B152" s="18">
        <v>161365</v>
      </c>
      <c r="C152" s="18" t="s">
        <v>642</v>
      </c>
      <c r="D152" s="19" t="s">
        <v>643</v>
      </c>
      <c r="E152" s="19" t="s">
        <v>652</v>
      </c>
      <c r="F152" s="20">
        <v>365</v>
      </c>
      <c r="G152" s="21" t="s">
        <v>169</v>
      </c>
      <c r="H152" s="21" t="s">
        <v>228</v>
      </c>
      <c r="I152" s="21" t="s">
        <v>165</v>
      </c>
      <c r="J152" s="22">
        <v>46041</v>
      </c>
      <c r="K152" s="21" t="s">
        <v>12</v>
      </c>
      <c r="L152" s="21" t="s">
        <v>585</v>
      </c>
      <c r="M152" s="20">
        <v>670</v>
      </c>
      <c r="N152" s="20">
        <v>22</v>
      </c>
      <c r="O152" s="20" t="s">
        <v>163</v>
      </c>
      <c r="P152" s="20">
        <v>674</v>
      </c>
      <c r="Q152" s="20" t="s">
        <v>360</v>
      </c>
      <c r="R152" s="20" t="s">
        <v>361</v>
      </c>
      <c r="S152" s="18" t="s">
        <v>362</v>
      </c>
      <c r="T152" s="18">
        <v>190618</v>
      </c>
      <c r="U152" s="20" t="s">
        <v>653</v>
      </c>
      <c r="V152" s="20">
        <v>69</v>
      </c>
      <c r="W152" s="18" t="s">
        <v>3546</v>
      </c>
      <c r="X152" s="18" t="s">
        <v>1067</v>
      </c>
      <c r="Y152" s="20" t="s">
        <v>365</v>
      </c>
      <c r="Z152" s="18" t="s">
        <v>1052</v>
      </c>
    </row>
    <row r="153" spans="1:26">
      <c r="A153" s="18">
        <v>161366</v>
      </c>
      <c r="B153" s="18">
        <v>161366</v>
      </c>
      <c r="C153" s="18" t="s">
        <v>457</v>
      </c>
      <c r="D153" s="19" t="s">
        <v>458</v>
      </c>
      <c r="E153" s="19" t="s">
        <v>459</v>
      </c>
      <c r="F153" s="20">
        <v>130</v>
      </c>
      <c r="G153" s="21" t="s">
        <v>193</v>
      </c>
      <c r="H153" s="21" t="s">
        <v>194</v>
      </c>
      <c r="I153" s="76" t="s">
        <v>165</v>
      </c>
      <c r="J153" s="77">
        <v>46055</v>
      </c>
      <c r="K153" s="76" t="s">
        <v>12</v>
      </c>
      <c r="L153" s="21" t="s">
        <v>358</v>
      </c>
      <c r="M153" s="20">
        <v>670</v>
      </c>
      <c r="N153" s="20">
        <v>56</v>
      </c>
      <c r="O153" s="20" t="s">
        <v>163</v>
      </c>
      <c r="P153" s="20">
        <v>674</v>
      </c>
      <c r="Q153" s="20" t="s">
        <v>360</v>
      </c>
      <c r="R153" s="20" t="s">
        <v>361</v>
      </c>
      <c r="S153" s="18" t="s">
        <v>362</v>
      </c>
      <c r="T153" s="18">
        <v>190293</v>
      </c>
      <c r="U153" s="20" t="s">
        <v>363</v>
      </c>
      <c r="V153" s="20">
        <v>69</v>
      </c>
      <c r="W153" s="18" t="s">
        <v>441</v>
      </c>
      <c r="X153" s="18" t="s">
        <v>364</v>
      </c>
      <c r="Y153" s="20" t="s">
        <v>365</v>
      </c>
      <c r="Z153" s="18" t="s">
        <v>456</v>
      </c>
    </row>
    <row r="154" spans="1:26">
      <c r="A154" s="18">
        <v>161366</v>
      </c>
      <c r="B154" s="18">
        <v>161366</v>
      </c>
      <c r="C154" s="18" t="s">
        <v>457</v>
      </c>
      <c r="D154" s="19" t="s">
        <v>458</v>
      </c>
      <c r="E154" s="19" t="s">
        <v>459</v>
      </c>
      <c r="F154" s="20">
        <v>131</v>
      </c>
      <c r="G154" s="21" t="s">
        <v>196</v>
      </c>
      <c r="H154" s="21" t="s">
        <v>194</v>
      </c>
      <c r="I154" s="76" t="s">
        <v>165</v>
      </c>
      <c r="J154" s="77">
        <v>46055</v>
      </c>
      <c r="K154" s="76" t="s">
        <v>12</v>
      </c>
      <c r="L154" s="21" t="s">
        <v>358</v>
      </c>
      <c r="M154" s="20">
        <v>670</v>
      </c>
      <c r="N154" s="20">
        <v>56</v>
      </c>
      <c r="O154" s="20" t="s">
        <v>163</v>
      </c>
      <c r="P154" s="20">
        <v>674</v>
      </c>
      <c r="Q154" s="20" t="s">
        <v>360</v>
      </c>
      <c r="R154" s="20" t="s">
        <v>361</v>
      </c>
      <c r="S154" s="18" t="s">
        <v>362</v>
      </c>
      <c r="T154" s="18">
        <v>190294</v>
      </c>
      <c r="U154" s="20" t="s">
        <v>363</v>
      </c>
      <c r="V154" s="20">
        <v>69</v>
      </c>
      <c r="W154" s="18" t="s">
        <v>441</v>
      </c>
      <c r="X154" s="18" t="s">
        <v>364</v>
      </c>
      <c r="Y154" s="20" t="s">
        <v>365</v>
      </c>
      <c r="Z154" s="18" t="s">
        <v>456</v>
      </c>
    </row>
    <row r="155" spans="1:26">
      <c r="A155" s="18">
        <v>161367</v>
      </c>
      <c r="B155" s="18">
        <v>161367</v>
      </c>
      <c r="C155" s="18" t="s">
        <v>457</v>
      </c>
      <c r="D155" s="19" t="s">
        <v>458</v>
      </c>
      <c r="E155" s="19" t="s">
        <v>460</v>
      </c>
      <c r="F155" s="20">
        <v>130</v>
      </c>
      <c r="G155" s="21" t="s">
        <v>193</v>
      </c>
      <c r="H155" s="21" t="s">
        <v>194</v>
      </c>
      <c r="I155" s="76" t="s">
        <v>165</v>
      </c>
      <c r="J155" s="77">
        <v>46055</v>
      </c>
      <c r="K155" s="76" t="s">
        <v>12</v>
      </c>
      <c r="L155" s="21" t="s">
        <v>358</v>
      </c>
      <c r="M155" s="20">
        <v>670</v>
      </c>
      <c r="N155" s="20">
        <v>56</v>
      </c>
      <c r="O155" s="20" t="s">
        <v>163</v>
      </c>
      <c r="P155" s="20">
        <v>674</v>
      </c>
      <c r="Q155" s="20" t="s">
        <v>360</v>
      </c>
      <c r="R155" s="20" t="s">
        <v>361</v>
      </c>
      <c r="S155" s="18" t="s">
        <v>362</v>
      </c>
      <c r="T155" s="18">
        <v>190296</v>
      </c>
      <c r="U155" s="20" t="s">
        <v>363</v>
      </c>
      <c r="V155" s="20">
        <v>69</v>
      </c>
      <c r="W155" s="18" t="s">
        <v>461</v>
      </c>
      <c r="X155" s="18" t="s">
        <v>364</v>
      </c>
      <c r="Y155" s="20" t="s">
        <v>365</v>
      </c>
      <c r="Z155" s="18" t="s">
        <v>456</v>
      </c>
    </row>
    <row r="156" spans="1:26">
      <c r="A156" s="18">
        <v>161367</v>
      </c>
      <c r="B156" s="18">
        <v>161367</v>
      </c>
      <c r="C156" s="18" t="s">
        <v>457</v>
      </c>
      <c r="D156" s="19" t="s">
        <v>458</v>
      </c>
      <c r="E156" s="19" t="s">
        <v>460</v>
      </c>
      <c r="F156" s="20">
        <v>131</v>
      </c>
      <c r="G156" s="21" t="s">
        <v>196</v>
      </c>
      <c r="H156" s="21" t="s">
        <v>194</v>
      </c>
      <c r="I156" s="76" t="s">
        <v>165</v>
      </c>
      <c r="J156" s="77">
        <v>46055</v>
      </c>
      <c r="K156" s="76" t="s">
        <v>12</v>
      </c>
      <c r="L156" s="21" t="s">
        <v>358</v>
      </c>
      <c r="M156" s="20">
        <v>670</v>
      </c>
      <c r="N156" s="20">
        <v>56</v>
      </c>
      <c r="O156" s="20" t="s">
        <v>163</v>
      </c>
      <c r="P156" s="20">
        <v>674</v>
      </c>
      <c r="Q156" s="20" t="s">
        <v>360</v>
      </c>
      <c r="R156" s="20" t="s">
        <v>361</v>
      </c>
      <c r="S156" s="18" t="s">
        <v>362</v>
      </c>
      <c r="T156" s="18">
        <v>190295</v>
      </c>
      <c r="U156" s="20" t="s">
        <v>363</v>
      </c>
      <c r="V156" s="20">
        <v>69</v>
      </c>
      <c r="W156" s="18" t="s">
        <v>461</v>
      </c>
      <c r="X156" s="18" t="s">
        <v>364</v>
      </c>
      <c r="Y156" s="20" t="s">
        <v>365</v>
      </c>
      <c r="Z156" s="18" t="s">
        <v>456</v>
      </c>
    </row>
    <row r="157" spans="1:26">
      <c r="A157" s="18">
        <v>161368</v>
      </c>
      <c r="B157" s="18">
        <v>161368</v>
      </c>
      <c r="C157" s="18" t="s">
        <v>457</v>
      </c>
      <c r="D157" s="19" t="s">
        <v>458</v>
      </c>
      <c r="E157" s="19" t="s">
        <v>462</v>
      </c>
      <c r="F157" s="20">
        <v>131</v>
      </c>
      <c r="G157" s="21" t="s">
        <v>196</v>
      </c>
      <c r="H157" s="21" t="s">
        <v>194</v>
      </c>
      <c r="I157" s="76" t="s">
        <v>165</v>
      </c>
      <c r="J157" s="77">
        <v>46055</v>
      </c>
      <c r="K157" s="76" t="s">
        <v>12</v>
      </c>
      <c r="L157" s="21" t="s">
        <v>358</v>
      </c>
      <c r="M157" s="20">
        <v>670</v>
      </c>
      <c r="N157" s="20">
        <v>57</v>
      </c>
      <c r="O157" s="20" t="s">
        <v>163</v>
      </c>
      <c r="P157" s="20">
        <v>674</v>
      </c>
      <c r="Q157" s="20" t="s">
        <v>360</v>
      </c>
      <c r="R157" s="20" t="s">
        <v>361</v>
      </c>
      <c r="S157" s="18" t="s">
        <v>362</v>
      </c>
      <c r="T157" s="18">
        <v>190298</v>
      </c>
      <c r="U157" s="20" t="s">
        <v>363</v>
      </c>
      <c r="V157" s="20">
        <v>69</v>
      </c>
      <c r="W157" s="18" t="s">
        <v>463</v>
      </c>
      <c r="X157" s="18" t="s">
        <v>364</v>
      </c>
      <c r="Y157" s="20" t="s">
        <v>365</v>
      </c>
      <c r="Z157" s="18" t="s">
        <v>456</v>
      </c>
    </row>
    <row r="158" spans="1:26">
      <c r="A158" s="18">
        <v>161368</v>
      </c>
      <c r="B158" s="18">
        <v>161368</v>
      </c>
      <c r="C158" s="18" t="s">
        <v>457</v>
      </c>
      <c r="D158" s="19" t="s">
        <v>458</v>
      </c>
      <c r="E158" s="19" t="s">
        <v>462</v>
      </c>
      <c r="F158" s="20">
        <v>130</v>
      </c>
      <c r="G158" s="21" t="s">
        <v>193</v>
      </c>
      <c r="H158" s="21" t="s">
        <v>194</v>
      </c>
      <c r="I158" s="76" t="s">
        <v>165</v>
      </c>
      <c r="J158" s="77">
        <v>46055</v>
      </c>
      <c r="K158" s="76" t="s">
        <v>12</v>
      </c>
      <c r="L158" s="21" t="s">
        <v>358</v>
      </c>
      <c r="M158" s="20">
        <v>670</v>
      </c>
      <c r="N158" s="20">
        <v>58</v>
      </c>
      <c r="O158" s="20" t="s">
        <v>163</v>
      </c>
      <c r="P158" s="20">
        <v>674</v>
      </c>
      <c r="Q158" s="20" t="s">
        <v>360</v>
      </c>
      <c r="R158" s="20" t="s">
        <v>361</v>
      </c>
      <c r="S158" s="18" t="s">
        <v>362</v>
      </c>
      <c r="T158" s="18">
        <v>190297</v>
      </c>
      <c r="U158" s="20" t="s">
        <v>363</v>
      </c>
      <c r="V158" s="20">
        <v>69</v>
      </c>
      <c r="W158" s="18" t="s">
        <v>463</v>
      </c>
      <c r="X158" s="18" t="s">
        <v>364</v>
      </c>
      <c r="Y158" s="20" t="s">
        <v>365</v>
      </c>
      <c r="Z158" s="18" t="s">
        <v>456</v>
      </c>
    </row>
    <row r="159" spans="1:26" hidden="1">
      <c r="A159" s="18">
        <v>161369</v>
      </c>
      <c r="B159" s="18">
        <v>161369</v>
      </c>
      <c r="C159" s="18" t="s">
        <v>654</v>
      </c>
      <c r="D159" s="19" t="s">
        <v>655</v>
      </c>
      <c r="E159" s="19" t="s">
        <v>656</v>
      </c>
      <c r="F159" s="20">
        <v>365</v>
      </c>
      <c r="G159" s="21" t="s">
        <v>169</v>
      </c>
      <c r="H159" s="23" t="s">
        <v>558</v>
      </c>
      <c r="I159" s="21"/>
      <c r="J159" s="22"/>
      <c r="K159" s="21"/>
      <c r="L159" s="21"/>
      <c r="M159" s="20">
        <v>670</v>
      </c>
      <c r="N159" s="20">
        <v>39</v>
      </c>
      <c r="O159" s="20" t="s">
        <v>163</v>
      </c>
      <c r="P159" s="20">
        <v>674</v>
      </c>
      <c r="Q159" s="20" t="s">
        <v>360</v>
      </c>
      <c r="R159" s="20" t="s">
        <v>361</v>
      </c>
      <c r="S159" s="18" t="s">
        <v>362</v>
      </c>
      <c r="T159" s="18">
        <v>190059</v>
      </c>
      <c r="U159" s="20" t="s">
        <v>631</v>
      </c>
      <c r="V159" s="20">
        <v>69</v>
      </c>
      <c r="W159" s="18" t="s">
        <v>865</v>
      </c>
      <c r="X159" s="18" t="s">
        <v>998</v>
      </c>
      <c r="Y159" s="20"/>
      <c r="Z159" s="18" t="s">
        <v>456</v>
      </c>
    </row>
    <row r="160" spans="1:26" hidden="1">
      <c r="A160" s="18">
        <v>161370</v>
      </c>
      <c r="B160" s="18">
        <v>161370</v>
      </c>
      <c r="C160" s="18" t="s">
        <v>654</v>
      </c>
      <c r="D160" s="19" t="s">
        <v>655</v>
      </c>
      <c r="E160" s="19" t="s">
        <v>657</v>
      </c>
      <c r="F160" s="20">
        <v>365</v>
      </c>
      <c r="G160" s="21" t="s">
        <v>169</v>
      </c>
      <c r="H160" s="23" t="s">
        <v>558</v>
      </c>
      <c r="I160" s="21"/>
      <c r="J160" s="22"/>
      <c r="K160" s="21"/>
      <c r="L160" s="21"/>
      <c r="M160" s="20">
        <v>670</v>
      </c>
      <c r="N160" s="20">
        <v>39</v>
      </c>
      <c r="O160" s="20" t="s">
        <v>163</v>
      </c>
      <c r="P160" s="20">
        <v>674</v>
      </c>
      <c r="Q160" s="20" t="s">
        <v>360</v>
      </c>
      <c r="R160" s="20" t="s">
        <v>361</v>
      </c>
      <c r="S160" s="18" t="s">
        <v>362</v>
      </c>
      <c r="T160" s="18">
        <v>190060</v>
      </c>
      <c r="U160" s="20" t="s">
        <v>631</v>
      </c>
      <c r="V160" s="20">
        <v>69</v>
      </c>
      <c r="W160" s="18" t="s">
        <v>3485</v>
      </c>
      <c r="X160" s="18" t="s">
        <v>998</v>
      </c>
      <c r="Y160" s="20"/>
      <c r="Z160" s="18" t="s">
        <v>456</v>
      </c>
    </row>
    <row r="161" spans="1:26" hidden="1">
      <c r="A161" s="18">
        <v>161371</v>
      </c>
      <c r="B161" s="18">
        <v>161371</v>
      </c>
      <c r="C161" s="18" t="s">
        <v>654</v>
      </c>
      <c r="D161" s="19" t="s">
        <v>655</v>
      </c>
      <c r="E161" s="19" t="s">
        <v>462</v>
      </c>
      <c r="F161" s="20">
        <v>365</v>
      </c>
      <c r="G161" s="21" t="s">
        <v>169</v>
      </c>
      <c r="H161" s="23" t="s">
        <v>558</v>
      </c>
      <c r="I161" s="21"/>
      <c r="J161" s="22"/>
      <c r="K161" s="21"/>
      <c r="L161" s="21"/>
      <c r="M161" s="20">
        <v>670</v>
      </c>
      <c r="N161" s="20">
        <v>39</v>
      </c>
      <c r="O161" s="20" t="s">
        <v>163</v>
      </c>
      <c r="P161" s="20">
        <v>674</v>
      </c>
      <c r="Q161" s="20" t="s">
        <v>360</v>
      </c>
      <c r="R161" s="20" t="s">
        <v>361</v>
      </c>
      <c r="S161" s="18" t="s">
        <v>362</v>
      </c>
      <c r="T161" s="18">
        <v>190061</v>
      </c>
      <c r="U161" s="20" t="s">
        <v>631</v>
      </c>
      <c r="V161" s="20">
        <v>69</v>
      </c>
      <c r="W161" s="18" t="s">
        <v>456</v>
      </c>
      <c r="X161" s="18" t="s">
        <v>998</v>
      </c>
      <c r="Y161" s="20"/>
      <c r="Z161" s="18" t="s">
        <v>456</v>
      </c>
    </row>
    <row r="162" spans="1:26" hidden="1">
      <c r="A162" s="18">
        <v>161372</v>
      </c>
      <c r="B162" s="18">
        <v>161372</v>
      </c>
      <c r="C162" s="18" t="s">
        <v>654</v>
      </c>
      <c r="D162" s="19" t="s">
        <v>655</v>
      </c>
      <c r="E162" s="19" t="s">
        <v>658</v>
      </c>
      <c r="F162" s="20">
        <v>365</v>
      </c>
      <c r="G162" s="21" t="s">
        <v>169</v>
      </c>
      <c r="H162" s="23" t="s">
        <v>558</v>
      </c>
      <c r="I162" s="21"/>
      <c r="J162" s="22"/>
      <c r="K162" s="21"/>
      <c r="L162" s="21"/>
      <c r="M162" s="20">
        <v>670</v>
      </c>
      <c r="N162" s="20">
        <v>39</v>
      </c>
      <c r="O162" s="20" t="s">
        <v>163</v>
      </c>
      <c r="P162" s="20">
        <v>674</v>
      </c>
      <c r="Q162" s="20" t="s">
        <v>360</v>
      </c>
      <c r="R162" s="20" t="s">
        <v>361</v>
      </c>
      <c r="S162" s="18" t="s">
        <v>362</v>
      </c>
      <c r="T162" s="18">
        <v>190062</v>
      </c>
      <c r="U162" s="20" t="s">
        <v>631</v>
      </c>
      <c r="V162" s="20">
        <v>69</v>
      </c>
      <c r="W162" s="18" t="s">
        <v>461</v>
      </c>
      <c r="X162" s="18" t="s">
        <v>998</v>
      </c>
      <c r="Y162" s="20"/>
      <c r="Z162" s="18" t="s">
        <v>456</v>
      </c>
    </row>
    <row r="163" spans="1:26" hidden="1">
      <c r="A163" s="18">
        <v>161373</v>
      </c>
      <c r="B163" s="18">
        <v>161373</v>
      </c>
      <c r="C163" s="18" t="s">
        <v>654</v>
      </c>
      <c r="D163" s="19" t="s">
        <v>655</v>
      </c>
      <c r="E163" s="19" t="s">
        <v>659</v>
      </c>
      <c r="F163" s="20">
        <v>365</v>
      </c>
      <c r="G163" s="21" t="s">
        <v>169</v>
      </c>
      <c r="H163" s="23" t="s">
        <v>558</v>
      </c>
      <c r="I163" s="21"/>
      <c r="J163" s="22"/>
      <c r="K163" s="21"/>
      <c r="L163" s="21"/>
      <c r="M163" s="20">
        <v>670</v>
      </c>
      <c r="N163" s="20">
        <v>38</v>
      </c>
      <c r="O163" s="20" t="s">
        <v>163</v>
      </c>
      <c r="P163" s="20">
        <v>674</v>
      </c>
      <c r="Q163" s="20" t="s">
        <v>360</v>
      </c>
      <c r="R163" s="20" t="s">
        <v>361</v>
      </c>
      <c r="S163" s="18" t="s">
        <v>362</v>
      </c>
      <c r="T163" s="18">
        <v>190063</v>
      </c>
      <c r="U163" s="20" t="s">
        <v>631</v>
      </c>
      <c r="V163" s="20">
        <v>69</v>
      </c>
      <c r="W163" s="18" t="s">
        <v>456</v>
      </c>
      <c r="X163" s="18" t="s">
        <v>998</v>
      </c>
      <c r="Y163" s="20"/>
      <c r="Z163" s="18" t="s">
        <v>456</v>
      </c>
    </row>
    <row r="164" spans="1:26" hidden="1">
      <c r="A164" s="18">
        <v>161374</v>
      </c>
      <c r="B164" s="18">
        <v>161374</v>
      </c>
      <c r="C164" s="18" t="s">
        <v>654</v>
      </c>
      <c r="D164" s="19" t="s">
        <v>655</v>
      </c>
      <c r="E164" s="19" t="s">
        <v>660</v>
      </c>
      <c r="F164" s="20">
        <v>365</v>
      </c>
      <c r="G164" s="21" t="s">
        <v>169</v>
      </c>
      <c r="H164" s="23" t="s">
        <v>558</v>
      </c>
      <c r="I164" s="21"/>
      <c r="J164" s="22"/>
      <c r="K164" s="21"/>
      <c r="L164" s="21"/>
      <c r="M164" s="20">
        <v>670</v>
      </c>
      <c r="N164" s="20">
        <v>39</v>
      </c>
      <c r="O164" s="20" t="s">
        <v>163</v>
      </c>
      <c r="P164" s="20">
        <v>674</v>
      </c>
      <c r="Q164" s="20" t="s">
        <v>360</v>
      </c>
      <c r="R164" s="20" t="s">
        <v>361</v>
      </c>
      <c r="S164" s="18" t="s">
        <v>362</v>
      </c>
      <c r="T164" s="18">
        <v>190064</v>
      </c>
      <c r="U164" s="20" t="s">
        <v>631</v>
      </c>
      <c r="V164" s="20">
        <v>69</v>
      </c>
      <c r="W164" s="18" t="s">
        <v>3258</v>
      </c>
      <c r="X164" s="18" t="s">
        <v>998</v>
      </c>
      <c r="Y164" s="20"/>
      <c r="Z164" s="18" t="s">
        <v>456</v>
      </c>
    </row>
    <row r="165" spans="1:26" hidden="1">
      <c r="A165" s="18">
        <v>161375</v>
      </c>
      <c r="B165" s="18">
        <v>161375</v>
      </c>
      <c r="C165" s="18" t="s">
        <v>654</v>
      </c>
      <c r="D165" s="19" t="s">
        <v>655</v>
      </c>
      <c r="E165" s="19" t="s">
        <v>661</v>
      </c>
      <c r="F165" s="20">
        <v>365</v>
      </c>
      <c r="G165" s="21" t="s">
        <v>169</v>
      </c>
      <c r="H165" s="23" t="s">
        <v>558</v>
      </c>
      <c r="I165" s="21"/>
      <c r="J165" s="22"/>
      <c r="K165" s="21"/>
      <c r="L165" s="21"/>
      <c r="M165" s="20">
        <v>670</v>
      </c>
      <c r="N165" s="20">
        <v>38</v>
      </c>
      <c r="O165" s="20" t="s">
        <v>163</v>
      </c>
      <c r="P165" s="20">
        <v>674</v>
      </c>
      <c r="Q165" s="20" t="s">
        <v>360</v>
      </c>
      <c r="R165" s="20" t="s">
        <v>361</v>
      </c>
      <c r="S165" s="18" t="s">
        <v>362</v>
      </c>
      <c r="T165" s="18">
        <v>190065</v>
      </c>
      <c r="U165" s="20" t="s">
        <v>631</v>
      </c>
      <c r="V165" s="20">
        <v>69</v>
      </c>
      <c r="W165" s="18" t="s">
        <v>3258</v>
      </c>
      <c r="X165" s="18" t="s">
        <v>998</v>
      </c>
      <c r="Y165" s="20"/>
      <c r="Z165" s="18" t="s">
        <v>456</v>
      </c>
    </row>
    <row r="166" spans="1:26" hidden="1">
      <c r="A166" s="18">
        <v>161376</v>
      </c>
      <c r="B166" s="18">
        <v>161376</v>
      </c>
      <c r="C166" s="18" t="s">
        <v>654</v>
      </c>
      <c r="D166" s="19" t="s">
        <v>655</v>
      </c>
      <c r="E166" s="19" t="s">
        <v>662</v>
      </c>
      <c r="F166" s="20">
        <v>365</v>
      </c>
      <c r="G166" s="21" t="s">
        <v>169</v>
      </c>
      <c r="H166" s="23" t="s">
        <v>558</v>
      </c>
      <c r="I166" s="21"/>
      <c r="J166" s="22"/>
      <c r="K166" s="21"/>
      <c r="L166" s="21"/>
      <c r="M166" s="20">
        <v>670</v>
      </c>
      <c r="N166" s="20">
        <v>38</v>
      </c>
      <c r="O166" s="20" t="s">
        <v>163</v>
      </c>
      <c r="P166" s="20">
        <v>674</v>
      </c>
      <c r="Q166" s="20" t="s">
        <v>360</v>
      </c>
      <c r="R166" s="20" t="s">
        <v>361</v>
      </c>
      <c r="S166" s="18" t="s">
        <v>362</v>
      </c>
      <c r="T166" s="18">
        <v>190066</v>
      </c>
      <c r="U166" s="20" t="s">
        <v>631</v>
      </c>
      <c r="V166" s="20">
        <v>69</v>
      </c>
      <c r="W166" s="18" t="s">
        <v>865</v>
      </c>
      <c r="X166" s="18" t="s">
        <v>998</v>
      </c>
      <c r="Y166" s="20"/>
      <c r="Z166" s="18" t="s">
        <v>456</v>
      </c>
    </row>
    <row r="167" spans="1:26" hidden="1">
      <c r="A167" s="18">
        <v>161377</v>
      </c>
      <c r="B167" s="18">
        <v>161377</v>
      </c>
      <c r="C167" s="18" t="s">
        <v>663</v>
      </c>
      <c r="D167" s="19" t="s">
        <v>664</v>
      </c>
      <c r="E167" s="19" t="s">
        <v>665</v>
      </c>
      <c r="F167" s="20">
        <v>130</v>
      </c>
      <c r="G167" s="21" t="s">
        <v>193</v>
      </c>
      <c r="H167" s="21" t="s">
        <v>164</v>
      </c>
      <c r="I167" s="21" t="s">
        <v>238</v>
      </c>
      <c r="J167" s="22">
        <v>46052</v>
      </c>
      <c r="K167" s="21" t="s">
        <v>12</v>
      </c>
      <c r="L167" s="21" t="s">
        <v>378</v>
      </c>
      <c r="M167" s="20">
        <v>670</v>
      </c>
      <c r="N167" s="20">
        <v>61</v>
      </c>
      <c r="O167" s="20" t="s">
        <v>163</v>
      </c>
      <c r="P167" s="20">
        <v>674</v>
      </c>
      <c r="Q167" s="20" t="s">
        <v>360</v>
      </c>
      <c r="R167" s="20" t="s">
        <v>361</v>
      </c>
      <c r="S167" s="18" t="s">
        <v>362</v>
      </c>
      <c r="T167" s="18">
        <v>190365</v>
      </c>
      <c r="U167" s="20" t="s">
        <v>465</v>
      </c>
      <c r="V167" s="20">
        <v>69</v>
      </c>
      <c r="W167" s="18" t="s">
        <v>2882</v>
      </c>
      <c r="X167" s="18" t="s">
        <v>1067</v>
      </c>
      <c r="Y167" s="20" t="s">
        <v>365</v>
      </c>
      <c r="Z167" s="18" t="s">
        <v>2882</v>
      </c>
    </row>
    <row r="168" spans="1:26" hidden="1">
      <c r="A168" s="18">
        <v>161377</v>
      </c>
      <c r="B168" s="18">
        <v>161377</v>
      </c>
      <c r="C168" s="18" t="s">
        <v>663</v>
      </c>
      <c r="D168" s="19" t="s">
        <v>664</v>
      </c>
      <c r="E168" s="19" t="s">
        <v>665</v>
      </c>
      <c r="F168" s="20">
        <v>131</v>
      </c>
      <c r="G168" s="21" t="s">
        <v>196</v>
      </c>
      <c r="H168" s="21" t="s">
        <v>164</v>
      </c>
      <c r="I168" s="21" t="s">
        <v>238</v>
      </c>
      <c r="J168" s="22">
        <v>46052</v>
      </c>
      <c r="K168" s="21" t="s">
        <v>12</v>
      </c>
      <c r="L168" s="21" t="s">
        <v>378</v>
      </c>
      <c r="M168" s="20">
        <v>670</v>
      </c>
      <c r="N168" s="20">
        <v>60</v>
      </c>
      <c r="O168" s="20" t="s">
        <v>163</v>
      </c>
      <c r="P168" s="20">
        <v>674</v>
      </c>
      <c r="Q168" s="20" t="s">
        <v>360</v>
      </c>
      <c r="R168" s="20" t="s">
        <v>361</v>
      </c>
      <c r="S168" s="18" t="s">
        <v>362</v>
      </c>
      <c r="T168" s="18">
        <v>190366</v>
      </c>
      <c r="U168" s="20" t="s">
        <v>465</v>
      </c>
      <c r="V168" s="20">
        <v>69</v>
      </c>
      <c r="W168" s="18" t="s">
        <v>2882</v>
      </c>
      <c r="X168" s="18" t="s">
        <v>1067</v>
      </c>
      <c r="Y168" s="20" t="s">
        <v>365</v>
      </c>
      <c r="Z168" s="18" t="s">
        <v>2882</v>
      </c>
    </row>
    <row r="169" spans="1:26" hidden="1">
      <c r="A169" s="18">
        <v>161378</v>
      </c>
      <c r="B169" s="18">
        <v>161378</v>
      </c>
      <c r="C169" s="18" t="s">
        <v>663</v>
      </c>
      <c r="D169" s="19" t="s">
        <v>664</v>
      </c>
      <c r="E169" s="19" t="s">
        <v>460</v>
      </c>
      <c r="F169" s="20">
        <v>130</v>
      </c>
      <c r="G169" s="21" t="s">
        <v>193</v>
      </c>
      <c r="H169" s="21" t="s">
        <v>164</v>
      </c>
      <c r="I169" s="21" t="s">
        <v>238</v>
      </c>
      <c r="J169" s="22">
        <v>46052</v>
      </c>
      <c r="K169" s="21" t="s">
        <v>12</v>
      </c>
      <c r="L169" s="21" t="s">
        <v>446</v>
      </c>
      <c r="M169" s="20">
        <v>670</v>
      </c>
      <c r="N169" s="20">
        <v>47</v>
      </c>
      <c r="O169" s="20" t="s">
        <v>163</v>
      </c>
      <c r="P169" s="20">
        <v>674</v>
      </c>
      <c r="Q169" s="20" t="s">
        <v>360</v>
      </c>
      <c r="R169" s="20" t="s">
        <v>361</v>
      </c>
      <c r="S169" s="18" t="s">
        <v>362</v>
      </c>
      <c r="T169" s="18">
        <v>190368</v>
      </c>
      <c r="U169" s="20" t="s">
        <v>425</v>
      </c>
      <c r="V169" s="20">
        <v>69</v>
      </c>
      <c r="W169" s="18" t="s">
        <v>491</v>
      </c>
      <c r="X169" s="18" t="s">
        <v>1067</v>
      </c>
      <c r="Y169" s="20" t="s">
        <v>365</v>
      </c>
      <c r="Z169" s="18" t="s">
        <v>2882</v>
      </c>
    </row>
    <row r="170" spans="1:26" hidden="1">
      <c r="A170" s="18">
        <v>161378</v>
      </c>
      <c r="B170" s="18">
        <v>161378</v>
      </c>
      <c r="C170" s="18" t="s">
        <v>663</v>
      </c>
      <c r="D170" s="19" t="s">
        <v>664</v>
      </c>
      <c r="E170" s="19" t="s">
        <v>460</v>
      </c>
      <c r="F170" s="20">
        <v>131</v>
      </c>
      <c r="G170" s="21" t="s">
        <v>196</v>
      </c>
      <c r="H170" s="21" t="s">
        <v>164</v>
      </c>
      <c r="I170" s="21" t="s">
        <v>238</v>
      </c>
      <c r="J170" s="22">
        <v>46052</v>
      </c>
      <c r="K170" s="21" t="s">
        <v>12</v>
      </c>
      <c r="L170" s="21" t="s">
        <v>577</v>
      </c>
      <c r="M170" s="20">
        <v>670</v>
      </c>
      <c r="N170" s="20">
        <v>47</v>
      </c>
      <c r="O170" s="20" t="s">
        <v>163</v>
      </c>
      <c r="P170" s="20">
        <v>674</v>
      </c>
      <c r="Q170" s="20" t="s">
        <v>360</v>
      </c>
      <c r="R170" s="20" t="s">
        <v>361</v>
      </c>
      <c r="S170" s="18" t="s">
        <v>362</v>
      </c>
      <c r="T170" s="18">
        <v>190367</v>
      </c>
      <c r="U170" s="20" t="s">
        <v>425</v>
      </c>
      <c r="V170" s="20">
        <v>69</v>
      </c>
      <c r="W170" s="18" t="s">
        <v>491</v>
      </c>
      <c r="X170" s="18" t="s">
        <v>1067</v>
      </c>
      <c r="Y170" s="20" t="s">
        <v>365</v>
      </c>
      <c r="Z170" s="18" t="s">
        <v>2882</v>
      </c>
    </row>
    <row r="171" spans="1:26" hidden="1">
      <c r="A171" s="18">
        <v>161379</v>
      </c>
      <c r="B171" s="18">
        <v>161379</v>
      </c>
      <c r="C171" s="18" t="s">
        <v>663</v>
      </c>
      <c r="D171" s="19" t="s">
        <v>664</v>
      </c>
      <c r="E171" s="19" t="s">
        <v>462</v>
      </c>
      <c r="F171" s="20">
        <v>131</v>
      </c>
      <c r="G171" s="21" t="s">
        <v>196</v>
      </c>
      <c r="H171" s="21" t="s">
        <v>164</v>
      </c>
      <c r="I171" s="21" t="s">
        <v>238</v>
      </c>
      <c r="J171" s="22">
        <v>46052</v>
      </c>
      <c r="K171" s="21" t="s">
        <v>12</v>
      </c>
      <c r="L171" s="21" t="s">
        <v>363</v>
      </c>
      <c r="M171" s="20">
        <v>670</v>
      </c>
      <c r="N171" s="20">
        <v>60</v>
      </c>
      <c r="O171" s="20" t="s">
        <v>163</v>
      </c>
      <c r="P171" s="20">
        <v>674</v>
      </c>
      <c r="Q171" s="20" t="s">
        <v>360</v>
      </c>
      <c r="R171" s="20" t="s">
        <v>361</v>
      </c>
      <c r="S171" s="18" t="s">
        <v>362</v>
      </c>
      <c r="T171" s="18">
        <v>190369</v>
      </c>
      <c r="U171" s="20" t="s">
        <v>597</v>
      </c>
      <c r="V171" s="20">
        <v>69</v>
      </c>
      <c r="W171" s="18" t="s">
        <v>430</v>
      </c>
      <c r="X171" s="18" t="s">
        <v>1067</v>
      </c>
      <c r="Y171" s="20" t="s">
        <v>365</v>
      </c>
      <c r="Z171" s="18" t="s">
        <v>2882</v>
      </c>
    </row>
    <row r="172" spans="1:26" hidden="1">
      <c r="A172" s="18">
        <v>161379</v>
      </c>
      <c r="B172" s="18">
        <v>161379</v>
      </c>
      <c r="C172" s="18" t="s">
        <v>663</v>
      </c>
      <c r="D172" s="19" t="s">
        <v>664</v>
      </c>
      <c r="E172" s="19" t="s">
        <v>462</v>
      </c>
      <c r="F172" s="20">
        <v>130</v>
      </c>
      <c r="G172" s="21" t="s">
        <v>193</v>
      </c>
      <c r="H172" s="21" t="s">
        <v>164</v>
      </c>
      <c r="I172" s="21" t="s">
        <v>238</v>
      </c>
      <c r="J172" s="22">
        <v>46052</v>
      </c>
      <c r="K172" s="21" t="s">
        <v>12</v>
      </c>
      <c r="L172" s="21" t="s">
        <v>363</v>
      </c>
      <c r="M172" s="20">
        <v>670</v>
      </c>
      <c r="N172" s="20">
        <v>61</v>
      </c>
      <c r="O172" s="20" t="s">
        <v>163</v>
      </c>
      <c r="P172" s="20">
        <v>674</v>
      </c>
      <c r="Q172" s="20" t="s">
        <v>360</v>
      </c>
      <c r="R172" s="20" t="s">
        <v>361</v>
      </c>
      <c r="S172" s="18" t="s">
        <v>362</v>
      </c>
      <c r="T172" s="18">
        <v>190370</v>
      </c>
      <c r="U172" s="20" t="s">
        <v>597</v>
      </c>
      <c r="V172" s="20">
        <v>69</v>
      </c>
      <c r="W172" s="18" t="s">
        <v>430</v>
      </c>
      <c r="X172" s="18" t="s">
        <v>1067</v>
      </c>
      <c r="Y172" s="20" t="s">
        <v>365</v>
      </c>
      <c r="Z172" s="18" t="s">
        <v>2882</v>
      </c>
    </row>
    <row r="173" spans="1:26">
      <c r="A173" s="18">
        <v>161380</v>
      </c>
      <c r="B173" s="18">
        <v>161380</v>
      </c>
      <c r="C173" s="18" t="s">
        <v>68</v>
      </c>
      <c r="D173" s="19" t="s">
        <v>287</v>
      </c>
      <c r="E173" s="19" t="s">
        <v>459</v>
      </c>
      <c r="F173" s="20">
        <v>131</v>
      </c>
      <c r="G173" s="21" t="s">
        <v>196</v>
      </c>
      <c r="H173" s="21" t="s">
        <v>228</v>
      </c>
      <c r="I173" s="21" t="s">
        <v>283</v>
      </c>
      <c r="J173" s="22">
        <v>46044</v>
      </c>
      <c r="K173" s="72" t="s">
        <v>13</v>
      </c>
      <c r="L173" s="21" t="s">
        <v>358</v>
      </c>
      <c r="M173" s="20">
        <v>670</v>
      </c>
      <c r="N173" s="20">
        <v>54</v>
      </c>
      <c r="O173" s="20" t="s">
        <v>163</v>
      </c>
      <c r="P173" s="20">
        <v>674</v>
      </c>
      <c r="Q173" s="20" t="s">
        <v>360</v>
      </c>
      <c r="R173" s="20" t="s">
        <v>361</v>
      </c>
      <c r="S173" s="18" t="s">
        <v>362</v>
      </c>
      <c r="T173" s="18">
        <v>190379</v>
      </c>
      <c r="U173" s="20" t="s">
        <v>465</v>
      </c>
      <c r="V173" s="20">
        <v>69</v>
      </c>
      <c r="W173" s="18" t="s">
        <v>464</v>
      </c>
      <c r="X173" s="18" t="s">
        <v>364</v>
      </c>
      <c r="Y173" s="20" t="s">
        <v>365</v>
      </c>
      <c r="Z173" s="18" t="s">
        <v>464</v>
      </c>
    </row>
    <row r="174" spans="1:26">
      <c r="A174" s="18">
        <v>161380</v>
      </c>
      <c r="B174" s="18">
        <v>161380</v>
      </c>
      <c r="C174" s="18" t="s">
        <v>68</v>
      </c>
      <c r="D174" s="19" t="s">
        <v>287</v>
      </c>
      <c r="E174" s="19" t="s">
        <v>459</v>
      </c>
      <c r="F174" s="20">
        <v>130</v>
      </c>
      <c r="G174" s="21" t="s">
        <v>193</v>
      </c>
      <c r="H174" s="21" t="s">
        <v>228</v>
      </c>
      <c r="I174" s="21" t="s">
        <v>283</v>
      </c>
      <c r="J174" s="22">
        <v>46044</v>
      </c>
      <c r="K174" s="72" t="s">
        <v>13</v>
      </c>
      <c r="L174" s="21" t="s">
        <v>358</v>
      </c>
      <c r="M174" s="20">
        <v>670</v>
      </c>
      <c r="N174" s="20">
        <v>55</v>
      </c>
      <c r="O174" s="20" t="s">
        <v>163</v>
      </c>
      <c r="P174" s="20">
        <v>674</v>
      </c>
      <c r="Q174" s="20" t="s">
        <v>360</v>
      </c>
      <c r="R174" s="20" t="s">
        <v>361</v>
      </c>
      <c r="S174" s="18" t="s">
        <v>362</v>
      </c>
      <c r="T174" s="18">
        <v>190378</v>
      </c>
      <c r="U174" s="20" t="s">
        <v>465</v>
      </c>
      <c r="V174" s="20">
        <v>69</v>
      </c>
      <c r="W174" s="18" t="s">
        <v>464</v>
      </c>
      <c r="X174" s="18" t="s">
        <v>364</v>
      </c>
      <c r="Y174" s="20" t="s">
        <v>365</v>
      </c>
      <c r="Z174" s="18" t="s">
        <v>464</v>
      </c>
    </row>
    <row r="175" spans="1:26">
      <c r="A175" s="18">
        <v>161381</v>
      </c>
      <c r="B175" s="18">
        <v>161381</v>
      </c>
      <c r="C175" s="18" t="s">
        <v>68</v>
      </c>
      <c r="D175" s="19" t="s">
        <v>287</v>
      </c>
      <c r="E175" s="19" t="s">
        <v>466</v>
      </c>
      <c r="F175" s="20">
        <v>130</v>
      </c>
      <c r="G175" s="21" t="s">
        <v>193</v>
      </c>
      <c r="H175" s="21" t="s">
        <v>228</v>
      </c>
      <c r="I175" s="21" t="s">
        <v>283</v>
      </c>
      <c r="J175" s="22">
        <v>46044</v>
      </c>
      <c r="K175" s="72" t="s">
        <v>13</v>
      </c>
      <c r="L175" s="21" t="s">
        <v>358</v>
      </c>
      <c r="M175" s="20">
        <v>670</v>
      </c>
      <c r="N175" s="20">
        <v>55</v>
      </c>
      <c r="O175" s="20" t="s">
        <v>163</v>
      </c>
      <c r="P175" s="20">
        <v>674</v>
      </c>
      <c r="Q175" s="20" t="s">
        <v>360</v>
      </c>
      <c r="R175" s="20" t="s">
        <v>361</v>
      </c>
      <c r="S175" s="18" t="s">
        <v>362</v>
      </c>
      <c r="T175" s="18">
        <v>190381</v>
      </c>
      <c r="U175" s="20" t="s">
        <v>425</v>
      </c>
      <c r="V175" s="20">
        <v>69</v>
      </c>
      <c r="W175" s="18" t="s">
        <v>467</v>
      </c>
      <c r="X175" s="18" t="s">
        <v>364</v>
      </c>
      <c r="Y175" s="20" t="s">
        <v>365</v>
      </c>
      <c r="Z175" s="18" t="s">
        <v>464</v>
      </c>
    </row>
    <row r="176" spans="1:26">
      <c r="A176" s="18">
        <v>161381</v>
      </c>
      <c r="B176" s="18">
        <v>161381</v>
      </c>
      <c r="C176" s="18" t="s">
        <v>68</v>
      </c>
      <c r="D176" s="19" t="s">
        <v>287</v>
      </c>
      <c r="E176" s="19" t="s">
        <v>466</v>
      </c>
      <c r="F176" s="20">
        <v>131</v>
      </c>
      <c r="G176" s="21" t="s">
        <v>196</v>
      </c>
      <c r="H176" s="21" t="s">
        <v>228</v>
      </c>
      <c r="I176" s="21" t="s">
        <v>283</v>
      </c>
      <c r="J176" s="22">
        <v>46044</v>
      </c>
      <c r="K176" s="72" t="s">
        <v>13</v>
      </c>
      <c r="L176" s="21" t="s">
        <v>358</v>
      </c>
      <c r="M176" s="20">
        <v>670</v>
      </c>
      <c r="N176" s="20">
        <v>54</v>
      </c>
      <c r="O176" s="20" t="s">
        <v>163</v>
      </c>
      <c r="P176" s="20">
        <v>674</v>
      </c>
      <c r="Q176" s="20" t="s">
        <v>360</v>
      </c>
      <c r="R176" s="20" t="s">
        <v>361</v>
      </c>
      <c r="S176" s="18" t="s">
        <v>362</v>
      </c>
      <c r="T176" s="18">
        <v>190380</v>
      </c>
      <c r="U176" s="20" t="s">
        <v>425</v>
      </c>
      <c r="V176" s="20">
        <v>69</v>
      </c>
      <c r="W176" s="18" t="s">
        <v>467</v>
      </c>
      <c r="X176" s="18" t="s">
        <v>364</v>
      </c>
      <c r="Y176" s="20" t="s">
        <v>365</v>
      </c>
      <c r="Z176" s="18" t="s">
        <v>464</v>
      </c>
    </row>
    <row r="177" spans="1:28">
      <c r="A177" s="18">
        <v>161382</v>
      </c>
      <c r="B177" s="18">
        <v>161382</v>
      </c>
      <c r="C177" s="18" t="s">
        <v>68</v>
      </c>
      <c r="D177" s="19" t="s">
        <v>287</v>
      </c>
      <c r="E177" s="19" t="s">
        <v>462</v>
      </c>
      <c r="F177" s="20">
        <v>130</v>
      </c>
      <c r="G177" s="21" t="s">
        <v>193</v>
      </c>
      <c r="H177" s="21" t="s">
        <v>228</v>
      </c>
      <c r="I177" s="21" t="s">
        <v>283</v>
      </c>
      <c r="J177" s="22">
        <v>46044</v>
      </c>
      <c r="K177" s="72" t="s">
        <v>13</v>
      </c>
      <c r="L177" s="21" t="s">
        <v>358</v>
      </c>
      <c r="M177" s="20">
        <v>670</v>
      </c>
      <c r="N177" s="20">
        <v>56</v>
      </c>
      <c r="O177" s="20" t="s">
        <v>163</v>
      </c>
      <c r="P177" s="20">
        <v>674</v>
      </c>
      <c r="Q177" s="20" t="s">
        <v>360</v>
      </c>
      <c r="R177" s="20" t="s">
        <v>361</v>
      </c>
      <c r="S177" s="18" t="s">
        <v>362</v>
      </c>
      <c r="T177" s="18">
        <v>190383</v>
      </c>
      <c r="U177" s="20" t="s">
        <v>465</v>
      </c>
      <c r="V177" s="20">
        <v>69</v>
      </c>
      <c r="W177" s="18" t="s">
        <v>370</v>
      </c>
      <c r="X177" s="18" t="s">
        <v>364</v>
      </c>
      <c r="Y177" s="20" t="s">
        <v>365</v>
      </c>
      <c r="Z177" s="18" t="s">
        <v>464</v>
      </c>
    </row>
    <row r="178" spans="1:28">
      <c r="A178" s="18">
        <v>161382</v>
      </c>
      <c r="B178" s="18">
        <v>161382</v>
      </c>
      <c r="C178" s="18" t="s">
        <v>68</v>
      </c>
      <c r="D178" s="19" t="s">
        <v>287</v>
      </c>
      <c r="E178" s="19" t="s">
        <v>462</v>
      </c>
      <c r="F178" s="20">
        <v>131</v>
      </c>
      <c r="G178" s="21" t="s">
        <v>196</v>
      </c>
      <c r="H178" s="21" t="s">
        <v>228</v>
      </c>
      <c r="I178" s="21" t="s">
        <v>283</v>
      </c>
      <c r="J178" s="22">
        <v>46044</v>
      </c>
      <c r="K178" s="72" t="s">
        <v>13</v>
      </c>
      <c r="L178" s="21" t="s">
        <v>358</v>
      </c>
      <c r="M178" s="20">
        <v>670</v>
      </c>
      <c r="N178" s="20">
        <v>55</v>
      </c>
      <c r="O178" s="20" t="s">
        <v>163</v>
      </c>
      <c r="P178" s="20">
        <v>674</v>
      </c>
      <c r="Q178" s="20" t="s">
        <v>360</v>
      </c>
      <c r="R178" s="20" t="s">
        <v>361</v>
      </c>
      <c r="S178" s="18" t="s">
        <v>362</v>
      </c>
      <c r="T178" s="18">
        <v>190382</v>
      </c>
      <c r="U178" s="20" t="s">
        <v>465</v>
      </c>
      <c r="V178" s="20">
        <v>69</v>
      </c>
      <c r="W178" s="18" t="s">
        <v>370</v>
      </c>
      <c r="X178" s="18" t="s">
        <v>364</v>
      </c>
      <c r="Y178" s="20" t="s">
        <v>365</v>
      </c>
      <c r="Z178" s="18" t="s">
        <v>464</v>
      </c>
    </row>
    <row r="179" spans="1:28" s="57" customFormat="1">
      <c r="A179" s="52">
        <v>161383</v>
      </c>
      <c r="B179" s="52">
        <v>161383</v>
      </c>
      <c r="C179" s="52" t="s">
        <v>216</v>
      </c>
      <c r="D179" s="53" t="s">
        <v>217</v>
      </c>
      <c r="E179" s="53" t="s">
        <v>459</v>
      </c>
      <c r="F179" s="54">
        <v>131</v>
      </c>
      <c r="G179" s="55" t="s">
        <v>196</v>
      </c>
      <c r="H179" s="55" t="s">
        <v>194</v>
      </c>
      <c r="I179" s="55" t="s">
        <v>215</v>
      </c>
      <c r="J179" s="56">
        <v>46057</v>
      </c>
      <c r="K179" s="55" t="s">
        <v>15</v>
      </c>
      <c r="L179" s="55" t="s">
        <v>358</v>
      </c>
      <c r="M179" s="54">
        <v>670</v>
      </c>
      <c r="N179" s="54">
        <v>55</v>
      </c>
      <c r="O179" s="54" t="s">
        <v>163</v>
      </c>
      <c r="P179" s="54">
        <v>674</v>
      </c>
      <c r="Q179" s="54" t="s">
        <v>360</v>
      </c>
      <c r="R179" s="54" t="s">
        <v>361</v>
      </c>
      <c r="S179" s="52" t="s">
        <v>362</v>
      </c>
      <c r="T179" s="52">
        <v>190068</v>
      </c>
      <c r="U179" s="54" t="s">
        <v>425</v>
      </c>
      <c r="V179" s="54">
        <v>69</v>
      </c>
      <c r="W179" s="52" t="s">
        <v>468</v>
      </c>
      <c r="X179" s="52" t="s">
        <v>364</v>
      </c>
      <c r="Y179" s="54" t="s">
        <v>365</v>
      </c>
      <c r="Z179" s="52" t="s">
        <v>438</v>
      </c>
      <c r="AB179" s="57" t="s">
        <v>5229</v>
      </c>
    </row>
    <row r="180" spans="1:28" s="57" customFormat="1">
      <c r="A180" s="52">
        <v>161383</v>
      </c>
      <c r="B180" s="52">
        <v>161383</v>
      </c>
      <c r="C180" s="52" t="s">
        <v>216</v>
      </c>
      <c r="D180" s="53" t="s">
        <v>217</v>
      </c>
      <c r="E180" s="53" t="s">
        <v>459</v>
      </c>
      <c r="F180" s="54">
        <v>130</v>
      </c>
      <c r="G180" s="55" t="s">
        <v>193</v>
      </c>
      <c r="H180" s="55" t="s">
        <v>194</v>
      </c>
      <c r="I180" s="55" t="s">
        <v>215</v>
      </c>
      <c r="J180" s="56">
        <v>46057</v>
      </c>
      <c r="K180" s="55" t="s">
        <v>15</v>
      </c>
      <c r="L180" s="55" t="s">
        <v>358</v>
      </c>
      <c r="M180" s="54">
        <v>670</v>
      </c>
      <c r="N180" s="54">
        <v>55</v>
      </c>
      <c r="O180" s="54" t="s">
        <v>163</v>
      </c>
      <c r="P180" s="54">
        <v>674</v>
      </c>
      <c r="Q180" s="54" t="s">
        <v>360</v>
      </c>
      <c r="R180" s="54" t="s">
        <v>361</v>
      </c>
      <c r="S180" s="52" t="s">
        <v>362</v>
      </c>
      <c r="T180" s="52">
        <v>190067</v>
      </c>
      <c r="U180" s="54" t="s">
        <v>425</v>
      </c>
      <c r="V180" s="54">
        <v>69</v>
      </c>
      <c r="W180" s="52" t="s">
        <v>468</v>
      </c>
      <c r="X180" s="52" t="s">
        <v>364</v>
      </c>
      <c r="Y180" s="54" t="s">
        <v>365</v>
      </c>
      <c r="Z180" s="52" t="s">
        <v>438</v>
      </c>
    </row>
    <row r="181" spans="1:28" s="57" customFormat="1">
      <c r="A181" s="52">
        <v>161384</v>
      </c>
      <c r="B181" s="52">
        <v>161384</v>
      </c>
      <c r="C181" s="52" t="s">
        <v>216</v>
      </c>
      <c r="D181" s="53" t="s">
        <v>217</v>
      </c>
      <c r="E181" s="53" t="s">
        <v>469</v>
      </c>
      <c r="F181" s="54">
        <v>131</v>
      </c>
      <c r="G181" s="55" t="s">
        <v>196</v>
      </c>
      <c r="H181" s="55" t="s">
        <v>194</v>
      </c>
      <c r="I181" s="55" t="s">
        <v>215</v>
      </c>
      <c r="J181" s="56">
        <v>46057</v>
      </c>
      <c r="K181" s="55" t="s">
        <v>15</v>
      </c>
      <c r="L181" s="55" t="s">
        <v>358</v>
      </c>
      <c r="M181" s="54">
        <v>670</v>
      </c>
      <c r="N181" s="54">
        <v>53</v>
      </c>
      <c r="O181" s="54" t="s">
        <v>163</v>
      </c>
      <c r="P181" s="54">
        <v>674</v>
      </c>
      <c r="Q181" s="54" t="s">
        <v>360</v>
      </c>
      <c r="R181" s="54" t="s">
        <v>361</v>
      </c>
      <c r="S181" s="52" t="s">
        <v>362</v>
      </c>
      <c r="T181" s="52">
        <v>190069</v>
      </c>
      <c r="U181" s="54" t="s">
        <v>425</v>
      </c>
      <c r="V181" s="54">
        <v>69</v>
      </c>
      <c r="W181" s="52" t="s">
        <v>470</v>
      </c>
      <c r="X181" s="52" t="s">
        <v>364</v>
      </c>
      <c r="Y181" s="54" t="s">
        <v>365</v>
      </c>
      <c r="Z181" s="52" t="s">
        <v>438</v>
      </c>
    </row>
    <row r="182" spans="1:28" s="57" customFormat="1">
      <c r="A182" s="52">
        <v>161384</v>
      </c>
      <c r="B182" s="52">
        <v>161384</v>
      </c>
      <c r="C182" s="52" t="s">
        <v>216</v>
      </c>
      <c r="D182" s="53" t="s">
        <v>217</v>
      </c>
      <c r="E182" s="53" t="s">
        <v>469</v>
      </c>
      <c r="F182" s="54">
        <v>130</v>
      </c>
      <c r="G182" s="55" t="s">
        <v>193</v>
      </c>
      <c r="H182" s="55" t="s">
        <v>194</v>
      </c>
      <c r="I182" s="55" t="s">
        <v>215</v>
      </c>
      <c r="J182" s="56">
        <v>46057</v>
      </c>
      <c r="K182" s="55" t="s">
        <v>15</v>
      </c>
      <c r="L182" s="55" t="s">
        <v>358</v>
      </c>
      <c r="M182" s="54">
        <v>670</v>
      </c>
      <c r="N182" s="54">
        <v>53</v>
      </c>
      <c r="O182" s="54" t="s">
        <v>163</v>
      </c>
      <c r="P182" s="54">
        <v>674</v>
      </c>
      <c r="Q182" s="54" t="s">
        <v>360</v>
      </c>
      <c r="R182" s="54" t="s">
        <v>361</v>
      </c>
      <c r="S182" s="52" t="s">
        <v>362</v>
      </c>
      <c r="T182" s="52">
        <v>190070</v>
      </c>
      <c r="U182" s="54" t="s">
        <v>425</v>
      </c>
      <c r="V182" s="54">
        <v>69</v>
      </c>
      <c r="W182" s="52" t="s">
        <v>470</v>
      </c>
      <c r="X182" s="52" t="s">
        <v>364</v>
      </c>
      <c r="Y182" s="54" t="s">
        <v>365</v>
      </c>
      <c r="Z182" s="52" t="s">
        <v>438</v>
      </c>
    </row>
    <row r="183" spans="1:28" s="57" customFormat="1">
      <c r="A183" s="52">
        <v>161385</v>
      </c>
      <c r="B183" s="52">
        <v>161385</v>
      </c>
      <c r="C183" s="52" t="s">
        <v>216</v>
      </c>
      <c r="D183" s="53" t="s">
        <v>217</v>
      </c>
      <c r="E183" s="53" t="s">
        <v>471</v>
      </c>
      <c r="F183" s="54">
        <v>130</v>
      </c>
      <c r="G183" s="55" t="s">
        <v>193</v>
      </c>
      <c r="H183" s="55" t="s">
        <v>194</v>
      </c>
      <c r="I183" s="55" t="s">
        <v>215</v>
      </c>
      <c r="J183" s="56">
        <v>46057</v>
      </c>
      <c r="K183" s="55" t="s">
        <v>15</v>
      </c>
      <c r="L183" s="55" t="s">
        <v>358</v>
      </c>
      <c r="M183" s="54">
        <v>670</v>
      </c>
      <c r="N183" s="54">
        <v>54</v>
      </c>
      <c r="O183" s="54" t="s">
        <v>163</v>
      </c>
      <c r="P183" s="54">
        <v>674</v>
      </c>
      <c r="Q183" s="54" t="s">
        <v>360</v>
      </c>
      <c r="R183" s="54" t="s">
        <v>361</v>
      </c>
      <c r="S183" s="52" t="s">
        <v>362</v>
      </c>
      <c r="T183" s="52">
        <v>190071</v>
      </c>
      <c r="U183" s="54" t="s">
        <v>363</v>
      </c>
      <c r="V183" s="54">
        <v>69</v>
      </c>
      <c r="W183" s="52" t="s">
        <v>472</v>
      </c>
      <c r="X183" s="52" t="s">
        <v>364</v>
      </c>
      <c r="Y183" s="54" t="s">
        <v>365</v>
      </c>
      <c r="Z183" s="52" t="s">
        <v>438</v>
      </c>
    </row>
    <row r="184" spans="1:28" s="57" customFormat="1">
      <c r="A184" s="52">
        <v>161385</v>
      </c>
      <c r="B184" s="52">
        <v>161385</v>
      </c>
      <c r="C184" s="52" t="s">
        <v>216</v>
      </c>
      <c r="D184" s="53" t="s">
        <v>217</v>
      </c>
      <c r="E184" s="53" t="s">
        <v>471</v>
      </c>
      <c r="F184" s="54">
        <v>131</v>
      </c>
      <c r="G184" s="55" t="s">
        <v>196</v>
      </c>
      <c r="H184" s="55" t="s">
        <v>194</v>
      </c>
      <c r="I184" s="55" t="s">
        <v>215</v>
      </c>
      <c r="J184" s="56">
        <v>46057</v>
      </c>
      <c r="K184" s="55" t="s">
        <v>15</v>
      </c>
      <c r="L184" s="55" t="s">
        <v>358</v>
      </c>
      <c r="M184" s="54">
        <v>670</v>
      </c>
      <c r="N184" s="54">
        <v>53</v>
      </c>
      <c r="O184" s="54" t="s">
        <v>163</v>
      </c>
      <c r="P184" s="54">
        <v>674</v>
      </c>
      <c r="Q184" s="54" t="s">
        <v>360</v>
      </c>
      <c r="R184" s="54" t="s">
        <v>361</v>
      </c>
      <c r="S184" s="52" t="s">
        <v>362</v>
      </c>
      <c r="T184" s="52">
        <v>190072</v>
      </c>
      <c r="U184" s="54" t="s">
        <v>363</v>
      </c>
      <c r="V184" s="54">
        <v>69</v>
      </c>
      <c r="W184" s="52" t="s">
        <v>472</v>
      </c>
      <c r="X184" s="52" t="s">
        <v>364</v>
      </c>
      <c r="Y184" s="54" t="s">
        <v>365</v>
      </c>
      <c r="Z184" s="52" t="s">
        <v>438</v>
      </c>
    </row>
    <row r="185" spans="1:28">
      <c r="A185" s="18">
        <v>161386</v>
      </c>
      <c r="B185" s="18">
        <v>161386</v>
      </c>
      <c r="C185" s="18" t="s">
        <v>63</v>
      </c>
      <c r="D185" s="19" t="s">
        <v>473</v>
      </c>
      <c r="E185" s="19" t="s">
        <v>474</v>
      </c>
      <c r="F185" s="20">
        <v>365</v>
      </c>
      <c r="G185" s="21" t="s">
        <v>169</v>
      </c>
      <c r="H185" s="21" t="s">
        <v>228</v>
      </c>
      <c r="I185" s="21" t="s">
        <v>417</v>
      </c>
      <c r="J185" s="22">
        <v>46046</v>
      </c>
      <c r="K185" s="21" t="s">
        <v>475</v>
      </c>
      <c r="L185" s="21" t="s">
        <v>358</v>
      </c>
      <c r="M185" s="20">
        <v>670</v>
      </c>
      <c r="N185" s="20">
        <v>40</v>
      </c>
      <c r="O185" s="20" t="s">
        <v>163</v>
      </c>
      <c r="P185" s="20">
        <v>674</v>
      </c>
      <c r="Q185" s="20" t="s">
        <v>360</v>
      </c>
      <c r="R185" s="20" t="s">
        <v>361</v>
      </c>
      <c r="S185" s="18" t="s">
        <v>362</v>
      </c>
      <c r="T185" s="18">
        <v>190250</v>
      </c>
      <c r="U185" s="20" t="s">
        <v>477</v>
      </c>
      <c r="V185" s="20">
        <v>69</v>
      </c>
      <c r="W185" s="18" t="s">
        <v>476</v>
      </c>
      <c r="X185" s="18" t="s">
        <v>364</v>
      </c>
      <c r="Y185" s="20" t="s">
        <v>365</v>
      </c>
      <c r="Z185" s="18" t="s">
        <v>438</v>
      </c>
    </row>
    <row r="186" spans="1:28">
      <c r="A186" s="18">
        <v>161387</v>
      </c>
      <c r="B186" s="18">
        <v>161387</v>
      </c>
      <c r="C186" s="18" t="s">
        <v>63</v>
      </c>
      <c r="D186" s="19" t="s">
        <v>473</v>
      </c>
      <c r="E186" s="19" t="s">
        <v>460</v>
      </c>
      <c r="F186" s="20">
        <v>365</v>
      </c>
      <c r="G186" s="21" t="s">
        <v>169</v>
      </c>
      <c r="H186" s="21" t="s">
        <v>228</v>
      </c>
      <c r="I186" s="21" t="s">
        <v>417</v>
      </c>
      <c r="J186" s="22">
        <v>46046</v>
      </c>
      <c r="K186" s="21" t="s">
        <v>475</v>
      </c>
      <c r="L186" s="21" t="s">
        <v>358</v>
      </c>
      <c r="M186" s="20">
        <v>670</v>
      </c>
      <c r="N186" s="20">
        <v>40</v>
      </c>
      <c r="O186" s="20" t="s">
        <v>163</v>
      </c>
      <c r="P186" s="20">
        <v>674</v>
      </c>
      <c r="Q186" s="20" t="s">
        <v>360</v>
      </c>
      <c r="R186" s="20" t="s">
        <v>361</v>
      </c>
      <c r="S186" s="18" t="s">
        <v>362</v>
      </c>
      <c r="T186" s="18">
        <v>190251</v>
      </c>
      <c r="U186" s="20" t="s">
        <v>477</v>
      </c>
      <c r="V186" s="20">
        <v>69</v>
      </c>
      <c r="W186" s="18" t="s">
        <v>398</v>
      </c>
      <c r="X186" s="18" t="s">
        <v>364</v>
      </c>
      <c r="Y186" s="20" t="s">
        <v>365</v>
      </c>
      <c r="Z186" s="18" t="s">
        <v>438</v>
      </c>
    </row>
    <row r="187" spans="1:28">
      <c r="A187" s="18">
        <v>161388</v>
      </c>
      <c r="B187" s="18">
        <v>161388</v>
      </c>
      <c r="C187" s="18" t="s">
        <v>63</v>
      </c>
      <c r="D187" s="19" t="s">
        <v>473</v>
      </c>
      <c r="E187" s="19" t="s">
        <v>478</v>
      </c>
      <c r="F187" s="20">
        <v>365</v>
      </c>
      <c r="G187" s="21" t="s">
        <v>169</v>
      </c>
      <c r="H187" s="21" t="s">
        <v>228</v>
      </c>
      <c r="I187" s="21" t="s">
        <v>417</v>
      </c>
      <c r="J187" s="22">
        <v>46046</v>
      </c>
      <c r="K187" s="21" t="s">
        <v>475</v>
      </c>
      <c r="L187" s="21" t="s">
        <v>358</v>
      </c>
      <c r="M187" s="20">
        <v>670</v>
      </c>
      <c r="N187" s="20">
        <v>39</v>
      </c>
      <c r="O187" s="20" t="s">
        <v>163</v>
      </c>
      <c r="P187" s="20">
        <v>674</v>
      </c>
      <c r="Q187" s="20" t="s">
        <v>360</v>
      </c>
      <c r="R187" s="20" t="s">
        <v>361</v>
      </c>
      <c r="S187" s="18" t="s">
        <v>362</v>
      </c>
      <c r="T187" s="18">
        <v>190252</v>
      </c>
      <c r="U187" s="20" t="s">
        <v>480</v>
      </c>
      <c r="V187" s="20">
        <v>69</v>
      </c>
      <c r="W187" s="18" t="s">
        <v>479</v>
      </c>
      <c r="X187" s="18" t="s">
        <v>364</v>
      </c>
      <c r="Y187" s="20" t="s">
        <v>365</v>
      </c>
      <c r="Z187" s="18" t="s">
        <v>438</v>
      </c>
    </row>
    <row r="188" spans="1:28">
      <c r="A188" s="18">
        <v>161389</v>
      </c>
      <c r="B188" s="18">
        <v>161389</v>
      </c>
      <c r="C188" s="18" t="s">
        <v>63</v>
      </c>
      <c r="D188" s="19" t="s">
        <v>473</v>
      </c>
      <c r="E188" s="19" t="s">
        <v>481</v>
      </c>
      <c r="F188" s="20">
        <v>365</v>
      </c>
      <c r="G188" s="21" t="s">
        <v>169</v>
      </c>
      <c r="H188" s="21" t="s">
        <v>228</v>
      </c>
      <c r="I188" s="21" t="s">
        <v>417</v>
      </c>
      <c r="J188" s="22">
        <v>46046</v>
      </c>
      <c r="K188" s="21" t="s">
        <v>475</v>
      </c>
      <c r="L188" s="21" t="s">
        <v>358</v>
      </c>
      <c r="M188" s="20">
        <v>670</v>
      </c>
      <c r="N188" s="20">
        <v>40</v>
      </c>
      <c r="O188" s="20" t="s">
        <v>163</v>
      </c>
      <c r="P188" s="20">
        <v>674</v>
      </c>
      <c r="Q188" s="20" t="s">
        <v>360</v>
      </c>
      <c r="R188" s="20" t="s">
        <v>361</v>
      </c>
      <c r="S188" s="18" t="s">
        <v>362</v>
      </c>
      <c r="T188" s="18">
        <v>190253</v>
      </c>
      <c r="U188" s="20" t="s">
        <v>483</v>
      </c>
      <c r="V188" s="20">
        <v>69</v>
      </c>
      <c r="W188" s="18" t="s">
        <v>482</v>
      </c>
      <c r="X188" s="18" t="s">
        <v>364</v>
      </c>
      <c r="Y188" s="20" t="s">
        <v>365</v>
      </c>
      <c r="Z188" s="18" t="s">
        <v>438</v>
      </c>
    </row>
    <row r="189" spans="1:28">
      <c r="A189" s="18">
        <v>161390</v>
      </c>
      <c r="B189" s="18">
        <v>161390</v>
      </c>
      <c r="C189" s="18" t="s">
        <v>63</v>
      </c>
      <c r="D189" s="19" t="s">
        <v>473</v>
      </c>
      <c r="E189" s="19" t="s">
        <v>484</v>
      </c>
      <c r="F189" s="20">
        <v>365</v>
      </c>
      <c r="G189" s="21" t="s">
        <v>169</v>
      </c>
      <c r="H189" s="21" t="s">
        <v>228</v>
      </c>
      <c r="I189" s="21" t="s">
        <v>417</v>
      </c>
      <c r="J189" s="22">
        <v>46046</v>
      </c>
      <c r="K189" s="21" t="s">
        <v>475</v>
      </c>
      <c r="L189" s="21" t="s">
        <v>358</v>
      </c>
      <c r="M189" s="20">
        <v>670</v>
      </c>
      <c r="N189" s="20">
        <v>40</v>
      </c>
      <c r="O189" s="20" t="s">
        <v>163</v>
      </c>
      <c r="P189" s="20">
        <v>674</v>
      </c>
      <c r="Q189" s="20" t="s">
        <v>360</v>
      </c>
      <c r="R189" s="20" t="s">
        <v>361</v>
      </c>
      <c r="S189" s="18" t="s">
        <v>362</v>
      </c>
      <c r="T189" s="18">
        <v>190254</v>
      </c>
      <c r="U189" s="20" t="s">
        <v>25</v>
      </c>
      <c r="V189" s="20">
        <v>69</v>
      </c>
      <c r="W189" s="18" t="s">
        <v>485</v>
      </c>
      <c r="X189" s="18" t="s">
        <v>364</v>
      </c>
      <c r="Y189" s="20" t="s">
        <v>365</v>
      </c>
      <c r="Z189" s="18" t="s">
        <v>438</v>
      </c>
    </row>
    <row r="190" spans="1:28">
      <c r="A190" s="18">
        <v>161391</v>
      </c>
      <c r="B190" s="18">
        <v>161391</v>
      </c>
      <c r="C190" s="18" t="s">
        <v>63</v>
      </c>
      <c r="D190" s="19" t="s">
        <v>473</v>
      </c>
      <c r="E190" s="19" t="s">
        <v>486</v>
      </c>
      <c r="F190" s="20">
        <v>365</v>
      </c>
      <c r="G190" s="21" t="s">
        <v>169</v>
      </c>
      <c r="H190" s="21" t="s">
        <v>228</v>
      </c>
      <c r="I190" s="21" t="s">
        <v>417</v>
      </c>
      <c r="J190" s="22">
        <v>46046</v>
      </c>
      <c r="K190" s="21" t="s">
        <v>475</v>
      </c>
      <c r="L190" s="21" t="s">
        <v>358</v>
      </c>
      <c r="M190" s="20">
        <v>670</v>
      </c>
      <c r="N190" s="20">
        <v>40</v>
      </c>
      <c r="O190" s="20" t="s">
        <v>163</v>
      </c>
      <c r="P190" s="20">
        <v>674</v>
      </c>
      <c r="Q190" s="20" t="s">
        <v>360</v>
      </c>
      <c r="R190" s="20" t="s">
        <v>361</v>
      </c>
      <c r="S190" s="18" t="s">
        <v>362</v>
      </c>
      <c r="T190" s="18">
        <v>190255</v>
      </c>
      <c r="U190" s="20" t="s">
        <v>23</v>
      </c>
      <c r="V190" s="20">
        <v>69</v>
      </c>
      <c r="W190" s="18" t="s">
        <v>487</v>
      </c>
      <c r="X190" s="18" t="s">
        <v>364</v>
      </c>
      <c r="Y190" s="20" t="s">
        <v>365</v>
      </c>
      <c r="Z190" s="18" t="s">
        <v>438</v>
      </c>
    </row>
    <row r="191" spans="1:28">
      <c r="A191" s="18">
        <v>161392</v>
      </c>
      <c r="B191" s="18">
        <v>161392</v>
      </c>
      <c r="C191" s="18" t="s">
        <v>63</v>
      </c>
      <c r="D191" s="19" t="s">
        <v>473</v>
      </c>
      <c r="E191" s="19" t="s">
        <v>488</v>
      </c>
      <c r="F191" s="20">
        <v>365</v>
      </c>
      <c r="G191" s="21" t="s">
        <v>169</v>
      </c>
      <c r="H191" s="21" t="s">
        <v>228</v>
      </c>
      <c r="I191" s="21" t="s">
        <v>417</v>
      </c>
      <c r="J191" s="22">
        <v>46046</v>
      </c>
      <c r="K191" s="21" t="s">
        <v>475</v>
      </c>
      <c r="L191" s="21" t="s">
        <v>358</v>
      </c>
      <c r="M191" s="20">
        <v>670</v>
      </c>
      <c r="N191" s="20">
        <v>40</v>
      </c>
      <c r="O191" s="20" t="s">
        <v>163</v>
      </c>
      <c r="P191" s="20">
        <v>674</v>
      </c>
      <c r="Q191" s="20" t="s">
        <v>360</v>
      </c>
      <c r="R191" s="20" t="s">
        <v>361</v>
      </c>
      <c r="S191" s="18" t="s">
        <v>362</v>
      </c>
      <c r="T191" s="18">
        <v>190256</v>
      </c>
      <c r="U191" s="20" t="s">
        <v>23</v>
      </c>
      <c r="V191" s="20">
        <v>69</v>
      </c>
      <c r="W191" s="18" t="s">
        <v>489</v>
      </c>
      <c r="X191" s="18" t="s">
        <v>364</v>
      </c>
      <c r="Y191" s="20" t="s">
        <v>365</v>
      </c>
      <c r="Z191" s="18" t="s">
        <v>438</v>
      </c>
    </row>
    <row r="192" spans="1:28">
      <c r="A192" s="18">
        <v>161393</v>
      </c>
      <c r="B192" s="18">
        <v>161393</v>
      </c>
      <c r="C192" s="18" t="s">
        <v>63</v>
      </c>
      <c r="D192" s="19" t="s">
        <v>473</v>
      </c>
      <c r="E192" s="19" t="s">
        <v>490</v>
      </c>
      <c r="F192" s="20">
        <v>365</v>
      </c>
      <c r="G192" s="21" t="s">
        <v>169</v>
      </c>
      <c r="H192" s="21" t="s">
        <v>228</v>
      </c>
      <c r="I192" s="21" t="s">
        <v>417</v>
      </c>
      <c r="J192" s="22">
        <v>46046</v>
      </c>
      <c r="K192" s="21" t="s">
        <v>475</v>
      </c>
      <c r="L192" s="21" t="s">
        <v>358</v>
      </c>
      <c r="M192" s="20">
        <v>670</v>
      </c>
      <c r="N192" s="20">
        <v>40</v>
      </c>
      <c r="O192" s="20" t="s">
        <v>163</v>
      </c>
      <c r="P192" s="20">
        <v>674</v>
      </c>
      <c r="Q192" s="20" t="s">
        <v>360</v>
      </c>
      <c r="R192" s="20" t="s">
        <v>361</v>
      </c>
      <c r="S192" s="18" t="s">
        <v>362</v>
      </c>
      <c r="T192" s="18">
        <v>190257</v>
      </c>
      <c r="U192" s="20" t="s">
        <v>26</v>
      </c>
      <c r="V192" s="20">
        <v>69</v>
      </c>
      <c r="W192" s="18" t="s">
        <v>491</v>
      </c>
      <c r="X192" s="18" t="s">
        <v>364</v>
      </c>
      <c r="Y192" s="20" t="s">
        <v>365</v>
      </c>
      <c r="Z192" s="18" t="s">
        <v>438</v>
      </c>
    </row>
    <row r="193" spans="1:26">
      <c r="A193" s="18">
        <v>161394</v>
      </c>
      <c r="B193" s="18">
        <v>161394</v>
      </c>
      <c r="C193" s="18" t="s">
        <v>63</v>
      </c>
      <c r="D193" s="19" t="s">
        <v>473</v>
      </c>
      <c r="E193" s="19" t="s">
        <v>492</v>
      </c>
      <c r="F193" s="20">
        <v>365</v>
      </c>
      <c r="G193" s="21" t="s">
        <v>169</v>
      </c>
      <c r="H193" s="21" t="s">
        <v>228</v>
      </c>
      <c r="I193" s="21" t="s">
        <v>417</v>
      </c>
      <c r="J193" s="22">
        <v>46046</v>
      </c>
      <c r="K193" s="21" t="s">
        <v>475</v>
      </c>
      <c r="L193" s="21" t="s">
        <v>358</v>
      </c>
      <c r="M193" s="20">
        <v>670</v>
      </c>
      <c r="N193" s="20">
        <v>40</v>
      </c>
      <c r="O193" s="20" t="s">
        <v>163</v>
      </c>
      <c r="P193" s="20">
        <v>674</v>
      </c>
      <c r="Q193" s="20" t="s">
        <v>360</v>
      </c>
      <c r="R193" s="20" t="s">
        <v>361</v>
      </c>
      <c r="S193" s="18" t="s">
        <v>362</v>
      </c>
      <c r="T193" s="18">
        <v>190258</v>
      </c>
      <c r="U193" s="20" t="s">
        <v>480</v>
      </c>
      <c r="V193" s="20">
        <v>69</v>
      </c>
      <c r="W193" s="18" t="s">
        <v>464</v>
      </c>
      <c r="X193" s="18" t="s">
        <v>364</v>
      </c>
      <c r="Y193" s="20" t="s">
        <v>365</v>
      </c>
      <c r="Z193" s="18" t="s">
        <v>438</v>
      </c>
    </row>
    <row r="194" spans="1:26">
      <c r="A194" s="18">
        <v>161395</v>
      </c>
      <c r="B194" s="18">
        <v>161395</v>
      </c>
      <c r="C194" s="18" t="s">
        <v>63</v>
      </c>
      <c r="D194" s="19" t="s">
        <v>473</v>
      </c>
      <c r="E194" s="19" t="s">
        <v>493</v>
      </c>
      <c r="F194" s="20">
        <v>365</v>
      </c>
      <c r="G194" s="21" t="s">
        <v>169</v>
      </c>
      <c r="H194" s="21" t="s">
        <v>228</v>
      </c>
      <c r="I194" s="21" t="s">
        <v>417</v>
      </c>
      <c r="J194" s="22">
        <v>46046</v>
      </c>
      <c r="K194" s="21" t="s">
        <v>475</v>
      </c>
      <c r="L194" s="21" t="s">
        <v>358</v>
      </c>
      <c r="M194" s="20">
        <v>670</v>
      </c>
      <c r="N194" s="20">
        <v>40</v>
      </c>
      <c r="O194" s="20" t="s">
        <v>163</v>
      </c>
      <c r="P194" s="20">
        <v>674</v>
      </c>
      <c r="Q194" s="20" t="s">
        <v>360</v>
      </c>
      <c r="R194" s="20" t="s">
        <v>361</v>
      </c>
      <c r="S194" s="18" t="s">
        <v>362</v>
      </c>
      <c r="T194" s="18">
        <v>190259</v>
      </c>
      <c r="U194" s="20" t="s">
        <v>25</v>
      </c>
      <c r="V194" s="20">
        <v>69</v>
      </c>
      <c r="W194" s="18" t="s">
        <v>482</v>
      </c>
      <c r="X194" s="18" t="s">
        <v>364</v>
      </c>
      <c r="Y194" s="20" t="s">
        <v>365</v>
      </c>
      <c r="Z194" s="18" t="s">
        <v>438</v>
      </c>
    </row>
    <row r="195" spans="1:26" hidden="1">
      <c r="A195" s="18">
        <v>161396</v>
      </c>
      <c r="B195" s="18">
        <v>161396</v>
      </c>
      <c r="C195" s="18" t="s">
        <v>632</v>
      </c>
      <c r="D195" s="19" t="s">
        <v>633</v>
      </c>
      <c r="E195" s="19" t="s">
        <v>666</v>
      </c>
      <c r="F195" s="20">
        <v>365</v>
      </c>
      <c r="G195" s="21" t="s">
        <v>169</v>
      </c>
      <c r="H195" s="21" t="s">
        <v>164</v>
      </c>
      <c r="I195" s="21" t="s">
        <v>278</v>
      </c>
      <c r="J195" s="22">
        <v>46049</v>
      </c>
      <c r="K195" s="21" t="s">
        <v>13</v>
      </c>
      <c r="L195" s="26" t="s">
        <v>674</v>
      </c>
      <c r="M195" s="20">
        <v>670</v>
      </c>
      <c r="N195" s="20">
        <v>61</v>
      </c>
      <c r="O195" s="20" t="s">
        <v>163</v>
      </c>
      <c r="P195" s="20">
        <v>674</v>
      </c>
      <c r="Q195" s="20" t="s">
        <v>360</v>
      </c>
      <c r="R195" s="20" t="s">
        <v>361</v>
      </c>
      <c r="S195" s="18" t="s">
        <v>362</v>
      </c>
      <c r="T195" s="18">
        <v>190048</v>
      </c>
      <c r="U195" s="20" t="s">
        <v>579</v>
      </c>
      <c r="V195" s="20">
        <v>69</v>
      </c>
      <c r="W195" s="18" t="s">
        <v>389</v>
      </c>
      <c r="X195" s="18" t="s">
        <v>1067</v>
      </c>
      <c r="Y195" s="20" t="s">
        <v>365</v>
      </c>
      <c r="Z195" s="18" t="s">
        <v>2882</v>
      </c>
    </row>
    <row r="196" spans="1:26" hidden="1">
      <c r="A196" s="18">
        <v>161397</v>
      </c>
      <c r="B196" s="18">
        <v>161397</v>
      </c>
      <c r="C196" s="18" t="s">
        <v>632</v>
      </c>
      <c r="D196" s="19" t="s">
        <v>633</v>
      </c>
      <c r="E196" s="19" t="s">
        <v>668</v>
      </c>
      <c r="F196" s="20">
        <v>365</v>
      </c>
      <c r="G196" s="21" t="s">
        <v>169</v>
      </c>
      <c r="H196" s="21" t="s">
        <v>164</v>
      </c>
      <c r="I196" s="21" t="s">
        <v>278</v>
      </c>
      <c r="J196" s="22">
        <v>46049</v>
      </c>
      <c r="K196" s="21" t="s">
        <v>13</v>
      </c>
      <c r="L196" s="21" t="s">
        <v>363</v>
      </c>
      <c r="M196" s="20">
        <v>670</v>
      </c>
      <c r="N196" s="20">
        <v>60</v>
      </c>
      <c r="O196" s="20" t="s">
        <v>163</v>
      </c>
      <c r="P196" s="20">
        <v>674</v>
      </c>
      <c r="Q196" s="20" t="s">
        <v>360</v>
      </c>
      <c r="R196" s="20" t="s">
        <v>361</v>
      </c>
      <c r="S196" s="18" t="s">
        <v>362</v>
      </c>
      <c r="T196" s="18">
        <v>190049</v>
      </c>
      <c r="U196" s="20" t="s">
        <v>406</v>
      </c>
      <c r="V196" s="20">
        <v>69</v>
      </c>
      <c r="W196" s="18" t="s">
        <v>3267</v>
      </c>
      <c r="X196" s="18" t="s">
        <v>1067</v>
      </c>
      <c r="Y196" s="20" t="s">
        <v>365</v>
      </c>
      <c r="Z196" s="18" t="s">
        <v>2882</v>
      </c>
    </row>
    <row r="197" spans="1:26" hidden="1">
      <c r="A197" s="18">
        <v>161398</v>
      </c>
      <c r="B197" s="18">
        <v>161398</v>
      </c>
      <c r="C197" s="18" t="s">
        <v>632</v>
      </c>
      <c r="D197" s="19" t="s">
        <v>633</v>
      </c>
      <c r="E197" s="19" t="s">
        <v>669</v>
      </c>
      <c r="F197" s="20">
        <v>365</v>
      </c>
      <c r="G197" s="21" t="s">
        <v>169</v>
      </c>
      <c r="H197" s="21" t="s">
        <v>164</v>
      </c>
      <c r="I197" s="21" t="s">
        <v>278</v>
      </c>
      <c r="J197" s="22">
        <v>46049</v>
      </c>
      <c r="K197" s="21" t="s">
        <v>13</v>
      </c>
      <c r="L197" s="21" t="s">
        <v>363</v>
      </c>
      <c r="M197" s="20">
        <v>670</v>
      </c>
      <c r="N197" s="20">
        <v>59</v>
      </c>
      <c r="O197" s="20" t="s">
        <v>163</v>
      </c>
      <c r="P197" s="20">
        <v>674</v>
      </c>
      <c r="Q197" s="20" t="s">
        <v>360</v>
      </c>
      <c r="R197" s="20" t="s">
        <v>361</v>
      </c>
      <c r="S197" s="18" t="s">
        <v>362</v>
      </c>
      <c r="T197" s="18">
        <v>190050</v>
      </c>
      <c r="U197" s="20" t="s">
        <v>577</v>
      </c>
      <c r="V197" s="20">
        <v>69</v>
      </c>
      <c r="W197" s="18" t="s">
        <v>3515</v>
      </c>
      <c r="X197" s="18" t="s">
        <v>1067</v>
      </c>
      <c r="Y197" s="20" t="s">
        <v>365</v>
      </c>
      <c r="Z197" s="18" t="s">
        <v>2882</v>
      </c>
    </row>
    <row r="198" spans="1:26" hidden="1">
      <c r="A198" s="18">
        <v>161399</v>
      </c>
      <c r="B198" s="18">
        <v>161399</v>
      </c>
      <c r="C198" s="18" t="s">
        <v>632</v>
      </c>
      <c r="D198" s="19" t="s">
        <v>633</v>
      </c>
      <c r="E198" s="19" t="s">
        <v>670</v>
      </c>
      <c r="F198" s="20">
        <v>365</v>
      </c>
      <c r="G198" s="21" t="s">
        <v>169</v>
      </c>
      <c r="H198" s="21" t="s">
        <v>164</v>
      </c>
      <c r="I198" s="21" t="s">
        <v>278</v>
      </c>
      <c r="J198" s="22">
        <v>46049</v>
      </c>
      <c r="K198" s="21" t="s">
        <v>13</v>
      </c>
      <c r="L198" s="21" t="s">
        <v>579</v>
      </c>
      <c r="M198" s="20">
        <v>670</v>
      </c>
      <c r="N198" s="20">
        <v>36</v>
      </c>
      <c r="O198" s="20" t="s">
        <v>163</v>
      </c>
      <c r="P198" s="20">
        <v>674</v>
      </c>
      <c r="Q198" s="20" t="s">
        <v>360</v>
      </c>
      <c r="R198" s="20" t="s">
        <v>361</v>
      </c>
      <c r="S198" s="18" t="s">
        <v>362</v>
      </c>
      <c r="T198" s="18">
        <v>190051</v>
      </c>
      <c r="U198" s="20" t="s">
        <v>579</v>
      </c>
      <c r="V198" s="20">
        <v>69</v>
      </c>
      <c r="W198" s="18" t="s">
        <v>3523</v>
      </c>
      <c r="X198" s="18" t="s">
        <v>1067</v>
      </c>
      <c r="Y198" s="20" t="s">
        <v>365</v>
      </c>
      <c r="Z198" s="18" t="s">
        <v>2882</v>
      </c>
    </row>
    <row r="199" spans="1:26" hidden="1">
      <c r="A199" s="18">
        <v>161401</v>
      </c>
      <c r="B199" s="18">
        <v>161400</v>
      </c>
      <c r="C199" s="18" t="s">
        <v>671</v>
      </c>
      <c r="D199" s="19" t="s">
        <v>672</v>
      </c>
      <c r="E199" s="19" t="s">
        <v>673</v>
      </c>
      <c r="F199" s="20">
        <v>365</v>
      </c>
      <c r="G199" s="21" t="s">
        <v>169</v>
      </c>
      <c r="H199" s="21" t="s">
        <v>164</v>
      </c>
      <c r="I199" s="21" t="s">
        <v>283</v>
      </c>
      <c r="J199" s="22">
        <v>46051</v>
      </c>
      <c r="K199" s="21" t="s">
        <v>12</v>
      </c>
      <c r="L199" s="21" t="s">
        <v>674</v>
      </c>
      <c r="M199" s="20">
        <v>670</v>
      </c>
      <c r="N199" s="20">
        <v>67</v>
      </c>
      <c r="O199" s="20" t="s">
        <v>163</v>
      </c>
      <c r="P199" s="20">
        <v>674</v>
      </c>
      <c r="Q199" s="20" t="s">
        <v>360</v>
      </c>
      <c r="R199" s="20" t="s">
        <v>624</v>
      </c>
      <c r="S199" s="18" t="s">
        <v>625</v>
      </c>
      <c r="T199" s="18">
        <v>187488</v>
      </c>
      <c r="U199" s="20"/>
      <c r="V199" s="20">
        <v>69</v>
      </c>
      <c r="W199" s="18"/>
      <c r="X199" s="18"/>
      <c r="Y199" s="20" t="s">
        <v>514</v>
      </c>
      <c r="Z199" s="18"/>
    </row>
    <row r="200" spans="1:26" hidden="1">
      <c r="A200" s="18">
        <v>161402</v>
      </c>
      <c r="B200" s="18">
        <v>161400</v>
      </c>
      <c r="C200" s="18" t="s">
        <v>671</v>
      </c>
      <c r="D200" s="19" t="s">
        <v>672</v>
      </c>
      <c r="E200" s="19" t="s">
        <v>675</v>
      </c>
      <c r="F200" s="20">
        <v>365</v>
      </c>
      <c r="G200" s="21" t="s">
        <v>169</v>
      </c>
      <c r="H200" s="21" t="s">
        <v>164</v>
      </c>
      <c r="I200" s="21" t="s">
        <v>283</v>
      </c>
      <c r="J200" s="22">
        <v>46051</v>
      </c>
      <c r="K200" s="21" t="s">
        <v>12</v>
      </c>
      <c r="L200" s="21" t="s">
        <v>676</v>
      </c>
      <c r="M200" s="20">
        <v>670</v>
      </c>
      <c r="N200" s="20">
        <v>65</v>
      </c>
      <c r="O200" s="20" t="s">
        <v>163</v>
      </c>
      <c r="P200" s="20">
        <v>674</v>
      </c>
      <c r="Q200" s="20" t="s">
        <v>360</v>
      </c>
      <c r="R200" s="20" t="s">
        <v>624</v>
      </c>
      <c r="S200" s="18" t="s">
        <v>625</v>
      </c>
      <c r="T200" s="18">
        <v>187489</v>
      </c>
      <c r="U200" s="20"/>
      <c r="V200" s="20">
        <v>69</v>
      </c>
      <c r="W200" s="18"/>
      <c r="X200" s="18"/>
      <c r="Y200" s="20" t="s">
        <v>514</v>
      </c>
      <c r="Z200" s="18"/>
    </row>
    <row r="201" spans="1:26" hidden="1">
      <c r="A201" s="18">
        <v>161404</v>
      </c>
      <c r="B201" s="18">
        <v>161403</v>
      </c>
      <c r="C201" s="18" t="s">
        <v>677</v>
      </c>
      <c r="D201" s="19" t="s">
        <v>678</v>
      </c>
      <c r="E201" s="19" t="s">
        <v>673</v>
      </c>
      <c r="F201" s="20">
        <v>365</v>
      </c>
      <c r="G201" s="21" t="s">
        <v>169</v>
      </c>
      <c r="H201" s="21" t="s">
        <v>194</v>
      </c>
      <c r="I201" s="21" t="s">
        <v>278</v>
      </c>
      <c r="J201" s="22">
        <v>46056</v>
      </c>
      <c r="K201" s="21" t="s">
        <v>11</v>
      </c>
      <c r="L201" s="21" t="s">
        <v>378</v>
      </c>
      <c r="M201" s="20">
        <v>670</v>
      </c>
      <c r="N201" s="20">
        <v>56</v>
      </c>
      <c r="O201" s="20" t="s">
        <v>163</v>
      </c>
      <c r="P201" s="20">
        <v>674</v>
      </c>
      <c r="Q201" s="20" t="s">
        <v>360</v>
      </c>
      <c r="R201" s="20" t="s">
        <v>679</v>
      </c>
      <c r="S201" s="18" t="s">
        <v>680</v>
      </c>
      <c r="T201" s="18">
        <v>189278</v>
      </c>
      <c r="U201" s="20"/>
      <c r="V201" s="20">
        <v>69</v>
      </c>
      <c r="W201" s="18"/>
      <c r="X201" s="18"/>
      <c r="Y201" s="20" t="s">
        <v>514</v>
      </c>
      <c r="Z201" s="18"/>
    </row>
    <row r="202" spans="1:26" hidden="1">
      <c r="A202" s="18">
        <v>161405</v>
      </c>
      <c r="B202" s="18">
        <v>161403</v>
      </c>
      <c r="C202" s="18" t="s">
        <v>677</v>
      </c>
      <c r="D202" s="19" t="s">
        <v>678</v>
      </c>
      <c r="E202" s="19" t="s">
        <v>675</v>
      </c>
      <c r="F202" s="20">
        <v>365</v>
      </c>
      <c r="G202" s="21" t="s">
        <v>169</v>
      </c>
      <c r="H202" s="21" t="s">
        <v>194</v>
      </c>
      <c r="I202" s="21" t="s">
        <v>278</v>
      </c>
      <c r="J202" s="22">
        <v>46056</v>
      </c>
      <c r="K202" s="21" t="s">
        <v>11</v>
      </c>
      <c r="L202" s="21" t="s">
        <v>378</v>
      </c>
      <c r="M202" s="20">
        <v>670</v>
      </c>
      <c r="N202" s="20">
        <v>59</v>
      </c>
      <c r="O202" s="20" t="s">
        <v>163</v>
      </c>
      <c r="P202" s="20">
        <v>674</v>
      </c>
      <c r="Q202" s="20" t="s">
        <v>360</v>
      </c>
      <c r="R202" s="20" t="s">
        <v>679</v>
      </c>
      <c r="S202" s="18" t="s">
        <v>680</v>
      </c>
      <c r="T202" s="18">
        <v>189279</v>
      </c>
      <c r="U202" s="20"/>
      <c r="V202" s="20">
        <v>69</v>
      </c>
      <c r="W202" s="18"/>
      <c r="X202" s="18"/>
      <c r="Y202" s="20" t="s">
        <v>514</v>
      </c>
      <c r="Z202" s="18"/>
    </row>
    <row r="203" spans="1:26" hidden="1">
      <c r="A203" s="18">
        <v>161407</v>
      </c>
      <c r="B203" s="18">
        <v>161406</v>
      </c>
      <c r="C203" s="18" t="s">
        <v>677</v>
      </c>
      <c r="D203" s="19" t="s">
        <v>678</v>
      </c>
      <c r="E203" s="19" t="s">
        <v>681</v>
      </c>
      <c r="F203" s="20">
        <v>130</v>
      </c>
      <c r="G203" s="21" t="s">
        <v>193</v>
      </c>
      <c r="H203" s="21" t="s">
        <v>194</v>
      </c>
      <c r="I203" s="21" t="s">
        <v>278</v>
      </c>
      <c r="J203" s="22">
        <v>46056</v>
      </c>
      <c r="K203" s="21" t="s">
        <v>11</v>
      </c>
      <c r="L203" s="21" t="s">
        <v>363</v>
      </c>
      <c r="M203" s="20">
        <v>670</v>
      </c>
      <c r="N203" s="20">
        <v>42</v>
      </c>
      <c r="O203" s="20" t="s">
        <v>163</v>
      </c>
      <c r="P203" s="20">
        <v>674</v>
      </c>
      <c r="Q203" s="20" t="s">
        <v>360</v>
      </c>
      <c r="R203" s="20" t="s">
        <v>679</v>
      </c>
      <c r="S203" s="18" t="s">
        <v>680</v>
      </c>
      <c r="T203" s="18">
        <v>189281</v>
      </c>
      <c r="U203" s="20"/>
      <c r="V203" s="20">
        <v>69</v>
      </c>
      <c r="W203" s="18"/>
      <c r="X203" s="18"/>
      <c r="Y203" s="20" t="s">
        <v>514</v>
      </c>
      <c r="Z203" s="18"/>
    </row>
    <row r="204" spans="1:26" hidden="1">
      <c r="A204" s="18">
        <v>161407</v>
      </c>
      <c r="B204" s="18">
        <v>161406</v>
      </c>
      <c r="C204" s="18" t="s">
        <v>677</v>
      </c>
      <c r="D204" s="19" t="s">
        <v>678</v>
      </c>
      <c r="E204" s="19" t="s">
        <v>681</v>
      </c>
      <c r="F204" s="20">
        <v>131</v>
      </c>
      <c r="G204" s="21" t="s">
        <v>196</v>
      </c>
      <c r="H204" s="21" t="s">
        <v>194</v>
      </c>
      <c r="I204" s="21" t="s">
        <v>278</v>
      </c>
      <c r="J204" s="22">
        <v>46056</v>
      </c>
      <c r="K204" s="21" t="s">
        <v>11</v>
      </c>
      <c r="L204" s="21" t="s">
        <v>363</v>
      </c>
      <c r="M204" s="20">
        <v>670</v>
      </c>
      <c r="N204" s="20">
        <v>42</v>
      </c>
      <c r="O204" s="20" t="s">
        <v>163</v>
      </c>
      <c r="P204" s="20">
        <v>674</v>
      </c>
      <c r="Q204" s="20" t="s">
        <v>360</v>
      </c>
      <c r="R204" s="20" t="s">
        <v>679</v>
      </c>
      <c r="S204" s="18" t="s">
        <v>680</v>
      </c>
      <c r="T204" s="18">
        <v>189280</v>
      </c>
      <c r="U204" s="20"/>
      <c r="V204" s="20">
        <v>69</v>
      </c>
      <c r="W204" s="18"/>
      <c r="X204" s="18"/>
      <c r="Y204" s="20" t="s">
        <v>514</v>
      </c>
      <c r="Z204" s="18"/>
    </row>
    <row r="205" spans="1:26" hidden="1">
      <c r="A205" s="18">
        <v>161409</v>
      </c>
      <c r="B205" s="18">
        <v>161408</v>
      </c>
      <c r="C205" s="18" t="s">
        <v>682</v>
      </c>
      <c r="D205" s="19" t="s">
        <v>683</v>
      </c>
      <c r="E205" s="19" t="s">
        <v>673</v>
      </c>
      <c r="F205" s="20">
        <v>365</v>
      </c>
      <c r="G205" s="21" t="s">
        <v>169</v>
      </c>
      <c r="H205" s="21" t="s">
        <v>228</v>
      </c>
      <c r="I205" s="21" t="s">
        <v>283</v>
      </c>
      <c r="J205" s="22">
        <v>46044</v>
      </c>
      <c r="K205" s="21" t="s">
        <v>11</v>
      </c>
      <c r="L205" s="21" t="s">
        <v>378</v>
      </c>
      <c r="M205" s="20">
        <v>670</v>
      </c>
      <c r="N205" s="20">
        <v>60</v>
      </c>
      <c r="O205" s="20" t="s">
        <v>163</v>
      </c>
      <c r="P205" s="20">
        <v>674</v>
      </c>
      <c r="Q205" s="20" t="s">
        <v>360</v>
      </c>
      <c r="R205" s="20" t="s">
        <v>684</v>
      </c>
      <c r="S205" s="18" t="s">
        <v>685</v>
      </c>
      <c r="T205" s="18">
        <v>189693</v>
      </c>
      <c r="U205" s="20"/>
      <c r="V205" s="20">
        <v>69</v>
      </c>
      <c r="W205" s="18"/>
      <c r="X205" s="18"/>
      <c r="Y205" s="20" t="s">
        <v>514</v>
      </c>
      <c r="Z205" s="18"/>
    </row>
    <row r="206" spans="1:26" hidden="1">
      <c r="A206" s="18">
        <v>161410</v>
      </c>
      <c r="B206" s="18">
        <v>161408</v>
      </c>
      <c r="C206" s="18" t="s">
        <v>682</v>
      </c>
      <c r="D206" s="19" t="s">
        <v>683</v>
      </c>
      <c r="E206" s="19" t="s">
        <v>675</v>
      </c>
      <c r="F206" s="20">
        <v>365</v>
      </c>
      <c r="G206" s="21" t="s">
        <v>169</v>
      </c>
      <c r="H206" s="21" t="s">
        <v>228</v>
      </c>
      <c r="I206" s="21" t="s">
        <v>283</v>
      </c>
      <c r="J206" s="22">
        <v>46044</v>
      </c>
      <c r="K206" s="21" t="s">
        <v>11</v>
      </c>
      <c r="L206" s="21" t="s">
        <v>378</v>
      </c>
      <c r="M206" s="20">
        <v>670</v>
      </c>
      <c r="N206" s="20">
        <v>58</v>
      </c>
      <c r="O206" s="20" t="s">
        <v>163</v>
      </c>
      <c r="P206" s="20">
        <v>674</v>
      </c>
      <c r="Q206" s="20" t="s">
        <v>360</v>
      </c>
      <c r="R206" s="20" t="s">
        <v>684</v>
      </c>
      <c r="S206" s="18" t="s">
        <v>685</v>
      </c>
      <c r="T206" s="18">
        <v>189694</v>
      </c>
      <c r="U206" s="20"/>
      <c r="V206" s="20">
        <v>69</v>
      </c>
      <c r="W206" s="18"/>
      <c r="X206" s="18"/>
      <c r="Y206" s="20" t="s">
        <v>514</v>
      </c>
      <c r="Z206" s="18"/>
    </row>
    <row r="207" spans="1:26">
      <c r="A207" s="18">
        <v>161411</v>
      </c>
      <c r="B207" s="18">
        <v>161411</v>
      </c>
      <c r="C207" s="18" t="s">
        <v>494</v>
      </c>
      <c r="D207" s="19" t="s">
        <v>495</v>
      </c>
      <c r="E207" s="19" t="s">
        <v>496</v>
      </c>
      <c r="F207" s="20">
        <v>131</v>
      </c>
      <c r="G207" s="21" t="s">
        <v>196</v>
      </c>
      <c r="H207" s="21" t="s">
        <v>194</v>
      </c>
      <c r="I207" s="21" t="s">
        <v>283</v>
      </c>
      <c r="J207" s="22">
        <v>46058</v>
      </c>
      <c r="K207" s="21" t="s">
        <v>12</v>
      </c>
      <c r="L207" s="21" t="s">
        <v>358</v>
      </c>
      <c r="M207" s="20">
        <v>670</v>
      </c>
      <c r="N207" s="20">
        <v>43</v>
      </c>
      <c r="O207" s="20" t="s">
        <v>163</v>
      </c>
      <c r="P207" s="20">
        <v>674</v>
      </c>
      <c r="Q207" s="20" t="s">
        <v>360</v>
      </c>
      <c r="R207" s="20" t="s">
        <v>361</v>
      </c>
      <c r="S207" s="18" t="s">
        <v>362</v>
      </c>
      <c r="T207" s="18">
        <v>190089</v>
      </c>
      <c r="U207" s="20" t="s">
        <v>406</v>
      </c>
      <c r="V207" s="20">
        <v>69</v>
      </c>
      <c r="W207" s="18" t="s">
        <v>437</v>
      </c>
      <c r="X207" s="18" t="s">
        <v>364</v>
      </c>
      <c r="Y207" s="20" t="s">
        <v>365</v>
      </c>
      <c r="Z207" s="18" t="s">
        <v>437</v>
      </c>
    </row>
    <row r="208" spans="1:26">
      <c r="A208" s="18">
        <v>161411</v>
      </c>
      <c r="B208" s="18">
        <v>161411</v>
      </c>
      <c r="C208" s="18" t="s">
        <v>494</v>
      </c>
      <c r="D208" s="19" t="s">
        <v>495</v>
      </c>
      <c r="E208" s="19" t="s">
        <v>496</v>
      </c>
      <c r="F208" s="20">
        <v>130</v>
      </c>
      <c r="G208" s="21" t="s">
        <v>193</v>
      </c>
      <c r="H208" s="21" t="s">
        <v>194</v>
      </c>
      <c r="I208" s="21" t="s">
        <v>283</v>
      </c>
      <c r="J208" s="22">
        <v>46058</v>
      </c>
      <c r="K208" s="21" t="s">
        <v>12</v>
      </c>
      <c r="L208" s="21" t="s">
        <v>358</v>
      </c>
      <c r="M208" s="20">
        <v>670</v>
      </c>
      <c r="N208" s="20">
        <v>45</v>
      </c>
      <c r="O208" s="20" t="s">
        <v>163</v>
      </c>
      <c r="P208" s="20">
        <v>674</v>
      </c>
      <c r="Q208" s="20" t="s">
        <v>360</v>
      </c>
      <c r="R208" s="20" t="s">
        <v>361</v>
      </c>
      <c r="S208" s="18" t="s">
        <v>362</v>
      </c>
      <c r="T208" s="18">
        <v>190090</v>
      </c>
      <c r="U208" s="20" t="s">
        <v>406</v>
      </c>
      <c r="V208" s="20">
        <v>69</v>
      </c>
      <c r="W208" s="18" t="s">
        <v>437</v>
      </c>
      <c r="X208" s="18" t="s">
        <v>364</v>
      </c>
      <c r="Y208" s="20" t="s">
        <v>365</v>
      </c>
      <c r="Z208" s="18" t="s">
        <v>437</v>
      </c>
    </row>
    <row r="209" spans="1:26">
      <c r="A209" s="18">
        <v>161412</v>
      </c>
      <c r="B209" s="18">
        <v>161412</v>
      </c>
      <c r="C209" s="18" t="s">
        <v>494</v>
      </c>
      <c r="D209" s="19" t="s">
        <v>495</v>
      </c>
      <c r="E209" s="19" t="s">
        <v>497</v>
      </c>
      <c r="F209" s="20">
        <v>130</v>
      </c>
      <c r="G209" s="21" t="s">
        <v>193</v>
      </c>
      <c r="H209" s="21" t="s">
        <v>194</v>
      </c>
      <c r="I209" s="21" t="s">
        <v>283</v>
      </c>
      <c r="J209" s="22">
        <v>46058</v>
      </c>
      <c r="K209" s="21" t="s">
        <v>12</v>
      </c>
      <c r="L209" s="21" t="s">
        <v>358</v>
      </c>
      <c r="M209" s="20">
        <v>670</v>
      </c>
      <c r="N209" s="20">
        <v>38</v>
      </c>
      <c r="O209" s="20" t="s">
        <v>163</v>
      </c>
      <c r="P209" s="20">
        <v>674</v>
      </c>
      <c r="Q209" s="20" t="s">
        <v>360</v>
      </c>
      <c r="R209" s="20" t="s">
        <v>361</v>
      </c>
      <c r="S209" s="18" t="s">
        <v>362</v>
      </c>
      <c r="T209" s="18">
        <v>190091</v>
      </c>
      <c r="U209" s="20" t="s">
        <v>498</v>
      </c>
      <c r="V209" s="20">
        <v>69</v>
      </c>
      <c r="W209" s="18" t="s">
        <v>438</v>
      </c>
      <c r="X209" s="18" t="s">
        <v>364</v>
      </c>
      <c r="Y209" s="20" t="s">
        <v>365</v>
      </c>
      <c r="Z209" s="18" t="s">
        <v>437</v>
      </c>
    </row>
    <row r="210" spans="1:26">
      <c r="A210" s="18">
        <v>161412</v>
      </c>
      <c r="B210" s="18">
        <v>161412</v>
      </c>
      <c r="C210" s="18" t="s">
        <v>494</v>
      </c>
      <c r="D210" s="19" t="s">
        <v>495</v>
      </c>
      <c r="E210" s="19" t="s">
        <v>497</v>
      </c>
      <c r="F210" s="20">
        <v>131</v>
      </c>
      <c r="G210" s="21" t="s">
        <v>196</v>
      </c>
      <c r="H210" s="21" t="s">
        <v>194</v>
      </c>
      <c r="I210" s="21" t="s">
        <v>283</v>
      </c>
      <c r="J210" s="22">
        <v>46058</v>
      </c>
      <c r="K210" s="21" t="s">
        <v>12</v>
      </c>
      <c r="L210" s="21" t="s">
        <v>358</v>
      </c>
      <c r="M210" s="20">
        <v>670</v>
      </c>
      <c r="N210" s="20">
        <v>38</v>
      </c>
      <c r="O210" s="20" t="s">
        <v>163</v>
      </c>
      <c r="P210" s="20">
        <v>674</v>
      </c>
      <c r="Q210" s="20" t="s">
        <v>360</v>
      </c>
      <c r="R210" s="20" t="s">
        <v>361</v>
      </c>
      <c r="S210" s="18" t="s">
        <v>362</v>
      </c>
      <c r="T210" s="18">
        <v>190092</v>
      </c>
      <c r="U210" s="20" t="s">
        <v>498</v>
      </c>
      <c r="V210" s="20">
        <v>69</v>
      </c>
      <c r="W210" s="18" t="s">
        <v>438</v>
      </c>
      <c r="X210" s="18" t="s">
        <v>364</v>
      </c>
      <c r="Y210" s="20" t="s">
        <v>365</v>
      </c>
      <c r="Z210" s="18" t="s">
        <v>437</v>
      </c>
    </row>
    <row r="211" spans="1:26" hidden="1">
      <c r="A211" s="18">
        <v>161413</v>
      </c>
      <c r="B211" s="18">
        <v>161413</v>
      </c>
      <c r="C211" s="18" t="s">
        <v>499</v>
      </c>
      <c r="D211" s="19" t="s">
        <v>500</v>
      </c>
      <c r="E211" s="19" t="s">
        <v>496</v>
      </c>
      <c r="F211" s="20">
        <v>131</v>
      </c>
      <c r="G211" s="21" t="s">
        <v>196</v>
      </c>
      <c r="H211" s="21" t="s">
        <v>164</v>
      </c>
      <c r="I211" s="21" t="s">
        <v>215</v>
      </c>
      <c r="J211" s="22">
        <v>46050</v>
      </c>
      <c r="K211" s="21" t="s">
        <v>14</v>
      </c>
      <c r="L211" s="21" t="s">
        <v>358</v>
      </c>
      <c r="M211" s="20">
        <v>670</v>
      </c>
      <c r="N211" s="20">
        <v>54</v>
      </c>
      <c r="O211" s="20" t="s">
        <v>163</v>
      </c>
      <c r="P211" s="20">
        <v>674</v>
      </c>
      <c r="Q211" s="20" t="s">
        <v>360</v>
      </c>
      <c r="R211" s="20" t="s">
        <v>361</v>
      </c>
      <c r="S211" s="18" t="s">
        <v>362</v>
      </c>
      <c r="T211" s="18">
        <v>190220</v>
      </c>
      <c r="U211" s="20" t="s">
        <v>363</v>
      </c>
      <c r="V211" s="20">
        <v>69</v>
      </c>
      <c r="W211" s="18" t="s">
        <v>438</v>
      </c>
      <c r="X211" s="18" t="s">
        <v>364</v>
      </c>
      <c r="Y211" s="20" t="s">
        <v>365</v>
      </c>
      <c r="Z211" s="18" t="s">
        <v>438</v>
      </c>
    </row>
    <row r="212" spans="1:26" hidden="1">
      <c r="A212" s="18">
        <v>161413</v>
      </c>
      <c r="B212" s="18">
        <v>161413</v>
      </c>
      <c r="C212" s="18" t="s">
        <v>499</v>
      </c>
      <c r="D212" s="19" t="s">
        <v>500</v>
      </c>
      <c r="E212" s="19" t="s">
        <v>496</v>
      </c>
      <c r="F212" s="20">
        <v>130</v>
      </c>
      <c r="G212" s="21" t="s">
        <v>193</v>
      </c>
      <c r="H212" s="21" t="s">
        <v>164</v>
      </c>
      <c r="I212" s="21" t="s">
        <v>215</v>
      </c>
      <c r="J212" s="22">
        <v>46050</v>
      </c>
      <c r="K212" s="21" t="s">
        <v>14</v>
      </c>
      <c r="L212" s="21" t="s">
        <v>358</v>
      </c>
      <c r="M212" s="20">
        <v>670</v>
      </c>
      <c r="N212" s="20">
        <v>55</v>
      </c>
      <c r="O212" s="20" t="s">
        <v>163</v>
      </c>
      <c r="P212" s="20">
        <v>674</v>
      </c>
      <c r="Q212" s="20" t="s">
        <v>360</v>
      </c>
      <c r="R212" s="20" t="s">
        <v>361</v>
      </c>
      <c r="S212" s="18" t="s">
        <v>362</v>
      </c>
      <c r="T212" s="18">
        <v>190221</v>
      </c>
      <c r="U212" s="20" t="s">
        <v>363</v>
      </c>
      <c r="V212" s="20">
        <v>69</v>
      </c>
      <c r="W212" s="18" t="s">
        <v>438</v>
      </c>
      <c r="X212" s="18" t="s">
        <v>364</v>
      </c>
      <c r="Y212" s="20" t="s">
        <v>365</v>
      </c>
      <c r="Z212" s="18" t="s">
        <v>438</v>
      </c>
    </row>
    <row r="213" spans="1:26" hidden="1">
      <c r="A213" s="18">
        <v>161414</v>
      </c>
      <c r="B213" s="18">
        <v>161414</v>
      </c>
      <c r="C213" s="18" t="s">
        <v>499</v>
      </c>
      <c r="D213" s="19" t="s">
        <v>500</v>
      </c>
      <c r="E213" s="19" t="s">
        <v>497</v>
      </c>
      <c r="F213" s="20">
        <v>131</v>
      </c>
      <c r="G213" s="21" t="s">
        <v>196</v>
      </c>
      <c r="H213" s="21" t="s">
        <v>164</v>
      </c>
      <c r="I213" s="21" t="s">
        <v>215</v>
      </c>
      <c r="J213" s="22">
        <v>46050</v>
      </c>
      <c r="K213" s="21" t="s">
        <v>14</v>
      </c>
      <c r="L213" s="21" t="s">
        <v>358</v>
      </c>
      <c r="M213" s="20">
        <v>670</v>
      </c>
      <c r="N213" s="20">
        <v>38</v>
      </c>
      <c r="O213" s="20" t="s">
        <v>163</v>
      </c>
      <c r="P213" s="20">
        <v>674</v>
      </c>
      <c r="Q213" s="20" t="s">
        <v>360</v>
      </c>
      <c r="R213" s="20" t="s">
        <v>361</v>
      </c>
      <c r="S213" s="18" t="s">
        <v>362</v>
      </c>
      <c r="T213" s="18">
        <v>190223</v>
      </c>
      <c r="U213" s="20" t="s">
        <v>406</v>
      </c>
      <c r="V213" s="20">
        <v>69</v>
      </c>
      <c r="W213" s="18" t="s">
        <v>437</v>
      </c>
      <c r="X213" s="18" t="s">
        <v>364</v>
      </c>
      <c r="Y213" s="20" t="s">
        <v>365</v>
      </c>
      <c r="Z213" s="18" t="s">
        <v>438</v>
      </c>
    </row>
    <row r="214" spans="1:26" hidden="1">
      <c r="A214" s="18">
        <v>161414</v>
      </c>
      <c r="B214" s="18">
        <v>161414</v>
      </c>
      <c r="C214" s="18" t="s">
        <v>499</v>
      </c>
      <c r="D214" s="19" t="s">
        <v>500</v>
      </c>
      <c r="E214" s="19" t="s">
        <v>497</v>
      </c>
      <c r="F214" s="20">
        <v>130</v>
      </c>
      <c r="G214" s="21" t="s">
        <v>193</v>
      </c>
      <c r="H214" s="21" t="s">
        <v>164</v>
      </c>
      <c r="I214" s="21" t="s">
        <v>215</v>
      </c>
      <c r="J214" s="22">
        <v>46050</v>
      </c>
      <c r="K214" s="21" t="s">
        <v>14</v>
      </c>
      <c r="L214" s="21" t="s">
        <v>358</v>
      </c>
      <c r="M214" s="20">
        <v>670</v>
      </c>
      <c r="N214" s="20">
        <v>38</v>
      </c>
      <c r="O214" s="20" t="s">
        <v>163</v>
      </c>
      <c r="P214" s="20">
        <v>674</v>
      </c>
      <c r="Q214" s="20" t="s">
        <v>360</v>
      </c>
      <c r="R214" s="20" t="s">
        <v>361</v>
      </c>
      <c r="S214" s="18" t="s">
        <v>362</v>
      </c>
      <c r="T214" s="18">
        <v>190222</v>
      </c>
      <c r="U214" s="20" t="s">
        <v>406</v>
      </c>
      <c r="V214" s="20">
        <v>69</v>
      </c>
      <c r="W214" s="18" t="s">
        <v>437</v>
      </c>
      <c r="X214" s="18" t="s">
        <v>364</v>
      </c>
      <c r="Y214" s="20" t="s">
        <v>365</v>
      </c>
      <c r="Z214" s="18" t="s">
        <v>438</v>
      </c>
    </row>
    <row r="215" spans="1:26">
      <c r="A215" s="18">
        <v>161415</v>
      </c>
      <c r="B215" s="18">
        <v>161415</v>
      </c>
      <c r="C215" s="18" t="s">
        <v>501</v>
      </c>
      <c r="D215" s="19" t="s">
        <v>502</v>
      </c>
      <c r="E215" s="19" t="s">
        <v>503</v>
      </c>
      <c r="F215" s="20">
        <v>130</v>
      </c>
      <c r="G215" s="21" t="s">
        <v>193</v>
      </c>
      <c r="H215" s="21" t="s">
        <v>228</v>
      </c>
      <c r="I215" s="21" t="s">
        <v>215</v>
      </c>
      <c r="J215" s="22">
        <v>46043</v>
      </c>
      <c r="K215" s="72" t="s">
        <v>14</v>
      </c>
      <c r="L215" s="21" t="s">
        <v>358</v>
      </c>
      <c r="M215" s="20">
        <v>670</v>
      </c>
      <c r="N215" s="20">
        <v>40</v>
      </c>
      <c r="O215" s="20" t="s">
        <v>163</v>
      </c>
      <c r="P215" s="20">
        <v>674</v>
      </c>
      <c r="Q215" s="20" t="s">
        <v>360</v>
      </c>
      <c r="R215" s="20" t="s">
        <v>361</v>
      </c>
      <c r="S215" s="18" t="s">
        <v>362</v>
      </c>
      <c r="T215" s="18">
        <v>190264</v>
      </c>
      <c r="U215" s="20" t="s">
        <v>403</v>
      </c>
      <c r="V215" s="20">
        <v>69</v>
      </c>
      <c r="W215" s="18" t="s">
        <v>402</v>
      </c>
      <c r="X215" s="18" t="s">
        <v>364</v>
      </c>
      <c r="Y215" s="20" t="s">
        <v>365</v>
      </c>
      <c r="Z215" s="18" t="s">
        <v>504</v>
      </c>
    </row>
    <row r="216" spans="1:26">
      <c r="A216" s="18">
        <v>161415</v>
      </c>
      <c r="B216" s="18">
        <v>161415</v>
      </c>
      <c r="C216" s="18" t="s">
        <v>501</v>
      </c>
      <c r="D216" s="19" t="s">
        <v>502</v>
      </c>
      <c r="E216" s="19" t="s">
        <v>503</v>
      </c>
      <c r="F216" s="20">
        <v>131</v>
      </c>
      <c r="G216" s="21" t="s">
        <v>196</v>
      </c>
      <c r="H216" s="21" t="s">
        <v>228</v>
      </c>
      <c r="I216" s="21" t="s">
        <v>215</v>
      </c>
      <c r="J216" s="22">
        <v>46043</v>
      </c>
      <c r="K216" s="72" t="s">
        <v>14</v>
      </c>
      <c r="L216" s="21" t="s">
        <v>358</v>
      </c>
      <c r="M216" s="20">
        <v>670</v>
      </c>
      <c r="N216" s="20">
        <v>40</v>
      </c>
      <c r="O216" s="20" t="s">
        <v>163</v>
      </c>
      <c r="P216" s="20">
        <v>674</v>
      </c>
      <c r="Q216" s="20" t="s">
        <v>360</v>
      </c>
      <c r="R216" s="20" t="s">
        <v>361</v>
      </c>
      <c r="S216" s="18" t="s">
        <v>362</v>
      </c>
      <c r="T216" s="18">
        <v>190263</v>
      </c>
      <c r="U216" s="20" t="s">
        <v>403</v>
      </c>
      <c r="V216" s="20">
        <v>69</v>
      </c>
      <c r="W216" s="18" t="s">
        <v>402</v>
      </c>
      <c r="X216" s="18" t="s">
        <v>364</v>
      </c>
      <c r="Y216" s="20" t="s">
        <v>365</v>
      </c>
      <c r="Z216" s="18" t="s">
        <v>504</v>
      </c>
    </row>
    <row r="217" spans="1:26">
      <c r="A217" s="18">
        <v>161416</v>
      </c>
      <c r="B217" s="18">
        <v>161416</v>
      </c>
      <c r="C217" s="18" t="s">
        <v>501</v>
      </c>
      <c r="D217" s="19" t="s">
        <v>502</v>
      </c>
      <c r="E217" s="19" t="s">
        <v>503</v>
      </c>
      <c r="F217" s="20">
        <v>131</v>
      </c>
      <c r="G217" s="21" t="s">
        <v>196</v>
      </c>
      <c r="H217" s="21" t="s">
        <v>228</v>
      </c>
      <c r="I217" s="21" t="s">
        <v>215</v>
      </c>
      <c r="J217" s="22">
        <v>46043</v>
      </c>
      <c r="K217" s="72" t="s">
        <v>14</v>
      </c>
      <c r="L217" s="21" t="s">
        <v>358</v>
      </c>
      <c r="M217" s="20">
        <v>670</v>
      </c>
      <c r="N217" s="20">
        <v>37</v>
      </c>
      <c r="O217" s="20" t="s">
        <v>163</v>
      </c>
      <c r="P217" s="20">
        <v>674</v>
      </c>
      <c r="Q217" s="20" t="s">
        <v>360</v>
      </c>
      <c r="R217" s="20" t="s">
        <v>361</v>
      </c>
      <c r="S217" s="18" t="s">
        <v>362</v>
      </c>
      <c r="T217" s="18">
        <v>190266</v>
      </c>
      <c r="U217" s="20" t="s">
        <v>446</v>
      </c>
      <c r="V217" s="20">
        <v>69</v>
      </c>
      <c r="W217" s="18" t="s">
        <v>37</v>
      </c>
      <c r="X217" s="18" t="s">
        <v>364</v>
      </c>
      <c r="Y217" s="20" t="s">
        <v>365</v>
      </c>
      <c r="Z217" s="18" t="s">
        <v>504</v>
      </c>
    </row>
    <row r="218" spans="1:26">
      <c r="A218" s="18">
        <v>161416</v>
      </c>
      <c r="B218" s="18">
        <v>161416</v>
      </c>
      <c r="C218" s="18" t="s">
        <v>501</v>
      </c>
      <c r="D218" s="19" t="s">
        <v>502</v>
      </c>
      <c r="E218" s="19" t="s">
        <v>503</v>
      </c>
      <c r="F218" s="20">
        <v>130</v>
      </c>
      <c r="G218" s="21" t="s">
        <v>193</v>
      </c>
      <c r="H218" s="21" t="s">
        <v>228</v>
      </c>
      <c r="I218" s="21" t="s">
        <v>215</v>
      </c>
      <c r="J218" s="22">
        <v>46043</v>
      </c>
      <c r="K218" s="72" t="s">
        <v>14</v>
      </c>
      <c r="L218" s="21" t="s">
        <v>358</v>
      </c>
      <c r="M218" s="20">
        <v>670</v>
      </c>
      <c r="N218" s="20">
        <v>37</v>
      </c>
      <c r="O218" s="20" t="s">
        <v>163</v>
      </c>
      <c r="P218" s="20">
        <v>674</v>
      </c>
      <c r="Q218" s="20" t="s">
        <v>360</v>
      </c>
      <c r="R218" s="20" t="s">
        <v>361</v>
      </c>
      <c r="S218" s="18" t="s">
        <v>362</v>
      </c>
      <c r="T218" s="18">
        <v>190265</v>
      </c>
      <c r="U218" s="20" t="s">
        <v>446</v>
      </c>
      <c r="V218" s="20">
        <v>69</v>
      </c>
      <c r="W218" s="18" t="s">
        <v>37</v>
      </c>
      <c r="X218" s="18" t="s">
        <v>364</v>
      </c>
      <c r="Y218" s="20" t="s">
        <v>365</v>
      </c>
      <c r="Z218" s="18" t="s">
        <v>504</v>
      </c>
    </row>
    <row r="219" spans="1:26" hidden="1">
      <c r="A219" s="18">
        <v>161417</v>
      </c>
      <c r="B219" s="18">
        <v>161417</v>
      </c>
      <c r="C219" s="18" t="s">
        <v>505</v>
      </c>
      <c r="D219" s="19" t="s">
        <v>506</v>
      </c>
      <c r="E219" s="19" t="s">
        <v>496</v>
      </c>
      <c r="F219" s="20">
        <v>365</v>
      </c>
      <c r="G219" s="21" t="s">
        <v>169</v>
      </c>
      <c r="H219" s="21" t="s">
        <v>164</v>
      </c>
      <c r="I219" s="21" t="s">
        <v>238</v>
      </c>
      <c r="J219" s="22">
        <v>46052</v>
      </c>
      <c r="K219" s="21" t="s">
        <v>11</v>
      </c>
      <c r="L219" s="21" t="s">
        <v>358</v>
      </c>
      <c r="M219" s="20">
        <v>670</v>
      </c>
      <c r="N219" s="20">
        <v>40</v>
      </c>
      <c r="O219" s="20" t="s">
        <v>163</v>
      </c>
      <c r="P219" s="20">
        <v>674</v>
      </c>
      <c r="Q219" s="20" t="s">
        <v>360</v>
      </c>
      <c r="R219" s="20" t="s">
        <v>361</v>
      </c>
      <c r="S219" s="18" t="s">
        <v>362</v>
      </c>
      <c r="T219" s="18">
        <v>190260</v>
      </c>
      <c r="U219" s="20" t="s">
        <v>26</v>
      </c>
      <c r="V219" s="20">
        <v>69</v>
      </c>
      <c r="W219" s="18" t="s">
        <v>507</v>
      </c>
      <c r="X219" s="18" t="s">
        <v>364</v>
      </c>
      <c r="Y219" s="20" t="s">
        <v>365</v>
      </c>
      <c r="Z219" s="18" t="s">
        <v>504</v>
      </c>
    </row>
    <row r="220" spans="1:26" hidden="1">
      <c r="A220" s="18">
        <v>161418</v>
      </c>
      <c r="B220" s="18">
        <v>161418</v>
      </c>
      <c r="C220" s="18" t="s">
        <v>505</v>
      </c>
      <c r="D220" s="19" t="s">
        <v>506</v>
      </c>
      <c r="E220" s="19" t="s">
        <v>508</v>
      </c>
      <c r="F220" s="20">
        <v>365</v>
      </c>
      <c r="G220" s="21" t="s">
        <v>169</v>
      </c>
      <c r="H220" s="21" t="s">
        <v>164</v>
      </c>
      <c r="I220" s="21" t="s">
        <v>238</v>
      </c>
      <c r="J220" s="22">
        <v>46052</v>
      </c>
      <c r="K220" s="21" t="s">
        <v>11</v>
      </c>
      <c r="L220" s="21" t="s">
        <v>358</v>
      </c>
      <c r="M220" s="20">
        <v>670</v>
      </c>
      <c r="N220" s="20">
        <v>40</v>
      </c>
      <c r="O220" s="20" t="s">
        <v>163</v>
      </c>
      <c r="P220" s="20">
        <v>674</v>
      </c>
      <c r="Q220" s="20" t="s">
        <v>360</v>
      </c>
      <c r="R220" s="20" t="s">
        <v>361</v>
      </c>
      <c r="S220" s="18" t="s">
        <v>362</v>
      </c>
      <c r="T220" s="18">
        <v>190261</v>
      </c>
      <c r="U220" s="20" t="s">
        <v>477</v>
      </c>
      <c r="V220" s="20">
        <v>69</v>
      </c>
      <c r="W220" s="18" t="s">
        <v>509</v>
      </c>
      <c r="X220" s="18" t="s">
        <v>364</v>
      </c>
      <c r="Y220" s="20" t="s">
        <v>365</v>
      </c>
      <c r="Z220" s="18" t="s">
        <v>504</v>
      </c>
    </row>
    <row r="221" spans="1:26" hidden="1">
      <c r="A221" s="18">
        <v>161419</v>
      </c>
      <c r="B221" s="18">
        <v>161419</v>
      </c>
      <c r="C221" s="18" t="s">
        <v>505</v>
      </c>
      <c r="D221" s="19" t="s">
        <v>506</v>
      </c>
      <c r="E221" s="19" t="s">
        <v>510</v>
      </c>
      <c r="F221" s="20">
        <v>365</v>
      </c>
      <c r="G221" s="21" t="s">
        <v>169</v>
      </c>
      <c r="H221" s="21" t="s">
        <v>164</v>
      </c>
      <c r="I221" s="21" t="s">
        <v>238</v>
      </c>
      <c r="J221" s="22">
        <v>46052</v>
      </c>
      <c r="K221" s="21" t="s">
        <v>11</v>
      </c>
      <c r="L221" s="21" t="s">
        <v>358</v>
      </c>
      <c r="M221" s="20">
        <v>670</v>
      </c>
      <c r="N221" s="20">
        <v>40</v>
      </c>
      <c r="O221" s="20" t="s">
        <v>163</v>
      </c>
      <c r="P221" s="20">
        <v>674</v>
      </c>
      <c r="Q221" s="20" t="s">
        <v>360</v>
      </c>
      <c r="R221" s="20" t="s">
        <v>361</v>
      </c>
      <c r="S221" s="18" t="s">
        <v>362</v>
      </c>
      <c r="T221" s="18">
        <v>190262</v>
      </c>
      <c r="U221" s="20" t="s">
        <v>26</v>
      </c>
      <c r="V221" s="20">
        <v>69</v>
      </c>
      <c r="W221" s="18" t="s">
        <v>368</v>
      </c>
      <c r="X221" s="18" t="s">
        <v>364</v>
      </c>
      <c r="Y221" s="20" t="s">
        <v>365</v>
      </c>
      <c r="Z221" s="18" t="s">
        <v>504</v>
      </c>
    </row>
    <row r="222" spans="1:26" hidden="1">
      <c r="A222" s="18">
        <v>161421</v>
      </c>
      <c r="B222" s="18">
        <v>161420</v>
      </c>
      <c r="C222" s="18" t="s">
        <v>671</v>
      </c>
      <c r="D222" s="19" t="s">
        <v>672</v>
      </c>
      <c r="E222" s="19" t="s">
        <v>686</v>
      </c>
      <c r="F222" s="20">
        <v>3723</v>
      </c>
      <c r="G222" s="21" t="s">
        <v>516</v>
      </c>
      <c r="H222" s="21" t="s">
        <v>164</v>
      </c>
      <c r="I222" s="21" t="s">
        <v>283</v>
      </c>
      <c r="J222" s="22">
        <v>46051</v>
      </c>
      <c r="K222" s="21" t="s">
        <v>12</v>
      </c>
      <c r="L222" s="21" t="s">
        <v>363</v>
      </c>
      <c r="M222" s="20">
        <v>670</v>
      </c>
      <c r="N222" s="20">
        <v>67</v>
      </c>
      <c r="O222" s="20" t="s">
        <v>163</v>
      </c>
      <c r="P222" s="20">
        <v>674</v>
      </c>
      <c r="Q222" s="20" t="s">
        <v>360</v>
      </c>
      <c r="R222" s="20" t="s">
        <v>624</v>
      </c>
      <c r="S222" s="18" t="s">
        <v>625</v>
      </c>
      <c r="T222" s="18">
        <v>187490</v>
      </c>
      <c r="U222" s="20"/>
      <c r="V222" s="20">
        <v>70</v>
      </c>
      <c r="W222" s="18"/>
      <c r="X222" s="18"/>
      <c r="Y222" s="20" t="s">
        <v>514</v>
      </c>
      <c r="Z222" s="18"/>
    </row>
    <row r="223" spans="1:26" hidden="1">
      <c r="A223" s="18">
        <v>161422</v>
      </c>
      <c r="B223" s="18">
        <v>161420</v>
      </c>
      <c r="C223" s="18" t="s">
        <v>671</v>
      </c>
      <c r="D223" s="19" t="s">
        <v>672</v>
      </c>
      <c r="E223" s="19" t="s">
        <v>687</v>
      </c>
      <c r="F223" s="20">
        <v>3724</v>
      </c>
      <c r="G223" s="21" t="s">
        <v>517</v>
      </c>
      <c r="H223" s="21" t="s">
        <v>164</v>
      </c>
      <c r="I223" s="21" t="s">
        <v>283</v>
      </c>
      <c r="J223" s="22">
        <v>46051</v>
      </c>
      <c r="K223" s="21" t="s">
        <v>12</v>
      </c>
      <c r="L223" s="21" t="s">
        <v>363</v>
      </c>
      <c r="M223" s="20">
        <v>670</v>
      </c>
      <c r="N223" s="20">
        <v>65</v>
      </c>
      <c r="O223" s="20" t="s">
        <v>163</v>
      </c>
      <c r="P223" s="20">
        <v>674</v>
      </c>
      <c r="Q223" s="20" t="s">
        <v>360</v>
      </c>
      <c r="R223" s="20" t="s">
        <v>624</v>
      </c>
      <c r="S223" s="18" t="s">
        <v>625</v>
      </c>
      <c r="T223" s="18">
        <v>187491</v>
      </c>
      <c r="U223" s="20"/>
      <c r="V223" s="20">
        <v>70</v>
      </c>
      <c r="W223" s="18"/>
      <c r="X223" s="18"/>
      <c r="Y223" s="20" t="s">
        <v>514</v>
      </c>
      <c r="Z223" s="18"/>
    </row>
    <row r="224" spans="1:26" hidden="1">
      <c r="A224" s="18">
        <v>161424</v>
      </c>
      <c r="B224" s="18">
        <v>161423</v>
      </c>
      <c r="C224" s="18" t="s">
        <v>671</v>
      </c>
      <c r="D224" s="19" t="s">
        <v>672</v>
      </c>
      <c r="E224" s="19" t="s">
        <v>688</v>
      </c>
      <c r="F224" s="20">
        <v>3726</v>
      </c>
      <c r="G224" s="21" t="s">
        <v>512</v>
      </c>
      <c r="H224" s="21" t="s">
        <v>164</v>
      </c>
      <c r="I224" s="21" t="s">
        <v>283</v>
      </c>
      <c r="J224" s="22">
        <v>46051</v>
      </c>
      <c r="K224" s="21" t="s">
        <v>12</v>
      </c>
      <c r="L224" s="21" t="s">
        <v>378</v>
      </c>
      <c r="M224" s="20">
        <v>670</v>
      </c>
      <c r="N224" s="20">
        <v>64</v>
      </c>
      <c r="O224" s="20" t="s">
        <v>163</v>
      </c>
      <c r="P224" s="20">
        <v>674</v>
      </c>
      <c r="Q224" s="20" t="s">
        <v>360</v>
      </c>
      <c r="R224" s="20" t="s">
        <v>624</v>
      </c>
      <c r="S224" s="18" t="s">
        <v>625</v>
      </c>
      <c r="T224" s="18">
        <v>187492</v>
      </c>
      <c r="U224" s="20"/>
      <c r="V224" s="20">
        <v>70</v>
      </c>
      <c r="W224" s="18"/>
      <c r="X224" s="18"/>
      <c r="Y224" s="20" t="s">
        <v>514</v>
      </c>
      <c r="Z224" s="18"/>
    </row>
    <row r="225" spans="1:26" hidden="1">
      <c r="A225" s="18">
        <v>161425</v>
      </c>
      <c r="B225" s="18">
        <v>161423</v>
      </c>
      <c r="C225" s="18" t="s">
        <v>671</v>
      </c>
      <c r="D225" s="19" t="s">
        <v>672</v>
      </c>
      <c r="E225" s="19" t="s">
        <v>689</v>
      </c>
      <c r="F225" s="20">
        <v>3725</v>
      </c>
      <c r="G225" s="21" t="s">
        <v>519</v>
      </c>
      <c r="H225" s="21" t="s">
        <v>164</v>
      </c>
      <c r="I225" s="21" t="s">
        <v>283</v>
      </c>
      <c r="J225" s="22">
        <v>46051</v>
      </c>
      <c r="K225" s="21" t="s">
        <v>12</v>
      </c>
      <c r="L225" s="21" t="s">
        <v>378</v>
      </c>
      <c r="M225" s="20">
        <v>670</v>
      </c>
      <c r="N225" s="20">
        <v>65</v>
      </c>
      <c r="O225" s="20" t="s">
        <v>163</v>
      </c>
      <c r="P225" s="20">
        <v>674</v>
      </c>
      <c r="Q225" s="20" t="s">
        <v>360</v>
      </c>
      <c r="R225" s="20" t="s">
        <v>624</v>
      </c>
      <c r="S225" s="18" t="s">
        <v>625</v>
      </c>
      <c r="T225" s="18">
        <v>187493</v>
      </c>
      <c r="U225" s="20"/>
      <c r="V225" s="20">
        <v>70</v>
      </c>
      <c r="W225" s="18"/>
      <c r="X225" s="18"/>
      <c r="Y225" s="20" t="s">
        <v>514</v>
      </c>
      <c r="Z225" s="18"/>
    </row>
    <row r="226" spans="1:26" hidden="1">
      <c r="A226" s="18">
        <v>161427</v>
      </c>
      <c r="B226" s="18">
        <v>161427</v>
      </c>
      <c r="C226" s="18" t="s">
        <v>690</v>
      </c>
      <c r="D226" s="19" t="s">
        <v>691</v>
      </c>
      <c r="E226" s="19" t="s">
        <v>692</v>
      </c>
      <c r="F226" s="20">
        <v>365</v>
      </c>
      <c r="G226" s="21" t="s">
        <v>169</v>
      </c>
      <c r="H226" s="20" t="s">
        <v>164</v>
      </c>
      <c r="I226" s="21" t="s">
        <v>165</v>
      </c>
      <c r="J226" s="22">
        <v>46048</v>
      </c>
      <c r="K226" s="21" t="s">
        <v>13</v>
      </c>
      <c r="L226" s="21" t="s">
        <v>446</v>
      </c>
      <c r="M226" s="20">
        <v>670</v>
      </c>
      <c r="N226" s="20">
        <v>28</v>
      </c>
      <c r="O226" s="20" t="s">
        <v>163</v>
      </c>
      <c r="P226" s="20">
        <v>674</v>
      </c>
      <c r="Q226" s="20" t="s">
        <v>360</v>
      </c>
      <c r="R226" s="20" t="s">
        <v>361</v>
      </c>
      <c r="S226" s="18" t="s">
        <v>362</v>
      </c>
      <c r="T226" s="18">
        <v>190603</v>
      </c>
      <c r="U226" s="20" t="s">
        <v>693</v>
      </c>
      <c r="V226" s="20">
        <v>70</v>
      </c>
      <c r="W226" s="18" t="s">
        <v>3671</v>
      </c>
      <c r="X226" s="18" t="s">
        <v>1067</v>
      </c>
      <c r="Y226" s="20" t="s">
        <v>365</v>
      </c>
      <c r="Z226" s="18" t="s">
        <v>1052</v>
      </c>
    </row>
    <row r="227" spans="1:26" hidden="1">
      <c r="A227" s="18">
        <v>161428</v>
      </c>
      <c r="B227" s="18">
        <v>161428</v>
      </c>
      <c r="C227" s="18" t="s">
        <v>690</v>
      </c>
      <c r="D227" s="19" t="s">
        <v>691</v>
      </c>
      <c r="E227" s="19" t="s">
        <v>694</v>
      </c>
      <c r="F227" s="20">
        <v>365</v>
      </c>
      <c r="G227" s="21" t="s">
        <v>169</v>
      </c>
      <c r="H227" s="20" t="s">
        <v>164</v>
      </c>
      <c r="I227" s="21" t="s">
        <v>165</v>
      </c>
      <c r="J227" s="22">
        <v>46048</v>
      </c>
      <c r="K227" s="21" t="s">
        <v>13</v>
      </c>
      <c r="L227" s="21" t="s">
        <v>577</v>
      </c>
      <c r="M227" s="20">
        <v>670</v>
      </c>
      <c r="N227" s="20">
        <v>26</v>
      </c>
      <c r="O227" s="20" t="s">
        <v>163</v>
      </c>
      <c r="P227" s="20">
        <v>674</v>
      </c>
      <c r="Q227" s="20" t="s">
        <v>360</v>
      </c>
      <c r="R227" s="20" t="s">
        <v>361</v>
      </c>
      <c r="S227" s="18" t="s">
        <v>362</v>
      </c>
      <c r="T227" s="18">
        <v>190604</v>
      </c>
      <c r="U227" s="20" t="s">
        <v>695</v>
      </c>
      <c r="V227" s="20">
        <v>70</v>
      </c>
      <c r="W227" s="18" t="s">
        <v>3677</v>
      </c>
      <c r="X227" s="18" t="s">
        <v>1067</v>
      </c>
      <c r="Y227" s="20" t="s">
        <v>365</v>
      </c>
      <c r="Z227" s="18" t="s">
        <v>1052</v>
      </c>
    </row>
    <row r="228" spans="1:26" hidden="1">
      <c r="A228" s="18">
        <v>161429</v>
      </c>
      <c r="B228" s="18">
        <v>161429</v>
      </c>
      <c r="C228" s="18" t="s">
        <v>690</v>
      </c>
      <c r="D228" s="19" t="s">
        <v>691</v>
      </c>
      <c r="E228" s="19" t="s">
        <v>696</v>
      </c>
      <c r="F228" s="20">
        <v>365</v>
      </c>
      <c r="G228" s="21" t="s">
        <v>169</v>
      </c>
      <c r="H228" s="20" t="s">
        <v>164</v>
      </c>
      <c r="I228" s="21" t="s">
        <v>165</v>
      </c>
      <c r="J228" s="22">
        <v>46048</v>
      </c>
      <c r="K228" s="21" t="s">
        <v>13</v>
      </c>
      <c r="L228" s="21" t="s">
        <v>579</v>
      </c>
      <c r="M228" s="20">
        <v>670</v>
      </c>
      <c r="N228" s="20">
        <v>27</v>
      </c>
      <c r="O228" s="20" t="s">
        <v>163</v>
      </c>
      <c r="P228" s="20">
        <v>674</v>
      </c>
      <c r="Q228" s="20" t="s">
        <v>360</v>
      </c>
      <c r="R228" s="20" t="s">
        <v>361</v>
      </c>
      <c r="S228" s="18" t="s">
        <v>362</v>
      </c>
      <c r="T228" s="18">
        <v>190605</v>
      </c>
      <c r="U228" s="20" t="s">
        <v>697</v>
      </c>
      <c r="V228" s="20">
        <v>70</v>
      </c>
      <c r="W228" s="18" t="s">
        <v>3663</v>
      </c>
      <c r="X228" s="18" t="s">
        <v>1067</v>
      </c>
      <c r="Y228" s="20" t="s">
        <v>365</v>
      </c>
      <c r="Z228" s="18" t="s">
        <v>1052</v>
      </c>
    </row>
    <row r="229" spans="1:26" hidden="1">
      <c r="A229" s="18">
        <v>161430</v>
      </c>
      <c r="B229" s="18">
        <v>161430</v>
      </c>
      <c r="C229" s="18" t="s">
        <v>690</v>
      </c>
      <c r="D229" s="19" t="s">
        <v>691</v>
      </c>
      <c r="E229" s="19" t="s">
        <v>698</v>
      </c>
      <c r="F229" s="20">
        <v>365</v>
      </c>
      <c r="G229" s="21" t="s">
        <v>169</v>
      </c>
      <c r="H229" s="20" t="s">
        <v>164</v>
      </c>
      <c r="I229" s="21" t="s">
        <v>165</v>
      </c>
      <c r="J229" s="22">
        <v>46048</v>
      </c>
      <c r="K229" s="21" t="s">
        <v>13</v>
      </c>
      <c r="L229" s="21" t="s">
        <v>406</v>
      </c>
      <c r="M229" s="20">
        <v>670</v>
      </c>
      <c r="N229" s="20">
        <v>25</v>
      </c>
      <c r="O229" s="20" t="s">
        <v>163</v>
      </c>
      <c r="P229" s="20">
        <v>674</v>
      </c>
      <c r="Q229" s="20" t="s">
        <v>360</v>
      </c>
      <c r="R229" s="20" t="s">
        <v>361</v>
      </c>
      <c r="S229" s="18" t="s">
        <v>362</v>
      </c>
      <c r="T229" s="18">
        <v>190606</v>
      </c>
      <c r="U229" s="20" t="s">
        <v>699</v>
      </c>
      <c r="V229" s="20">
        <v>70</v>
      </c>
      <c r="W229" s="18" t="s">
        <v>3690</v>
      </c>
      <c r="X229" s="18" t="s">
        <v>1067</v>
      </c>
      <c r="Y229" s="20" t="s">
        <v>365</v>
      </c>
      <c r="Z229" s="18" t="s">
        <v>1052</v>
      </c>
    </row>
    <row r="230" spans="1:26" hidden="1">
      <c r="A230" s="18">
        <v>161431</v>
      </c>
      <c r="B230" s="18">
        <v>161431</v>
      </c>
      <c r="C230" s="18" t="s">
        <v>690</v>
      </c>
      <c r="D230" s="19" t="s">
        <v>691</v>
      </c>
      <c r="E230" s="19" t="s">
        <v>700</v>
      </c>
      <c r="F230" s="20">
        <v>365</v>
      </c>
      <c r="G230" s="21" t="s">
        <v>169</v>
      </c>
      <c r="H230" s="20" t="s">
        <v>164</v>
      </c>
      <c r="I230" s="21" t="s">
        <v>165</v>
      </c>
      <c r="J230" s="22">
        <v>46048</v>
      </c>
      <c r="K230" s="21" t="s">
        <v>13</v>
      </c>
      <c r="L230" s="21" t="s">
        <v>582</v>
      </c>
      <c r="M230" s="20">
        <v>670</v>
      </c>
      <c r="N230" s="20">
        <v>26</v>
      </c>
      <c r="O230" s="20" t="s">
        <v>163</v>
      </c>
      <c r="P230" s="20">
        <v>674</v>
      </c>
      <c r="Q230" s="20" t="s">
        <v>360</v>
      </c>
      <c r="R230" s="20" t="s">
        <v>361</v>
      </c>
      <c r="S230" s="18" t="s">
        <v>362</v>
      </c>
      <c r="T230" s="18">
        <v>190607</v>
      </c>
      <c r="U230" s="20" t="s">
        <v>701</v>
      </c>
      <c r="V230" s="20">
        <v>70</v>
      </c>
      <c r="W230" s="18" t="s">
        <v>3546</v>
      </c>
      <c r="X230" s="18" t="s">
        <v>1067</v>
      </c>
      <c r="Y230" s="20" t="s">
        <v>365</v>
      </c>
      <c r="Z230" s="18" t="s">
        <v>1052</v>
      </c>
    </row>
    <row r="231" spans="1:26" hidden="1">
      <c r="A231" s="18">
        <v>161432</v>
      </c>
      <c r="B231" s="18">
        <v>161432</v>
      </c>
      <c r="C231" s="18" t="s">
        <v>690</v>
      </c>
      <c r="D231" s="19" t="s">
        <v>691</v>
      </c>
      <c r="E231" s="19" t="s">
        <v>702</v>
      </c>
      <c r="F231" s="20">
        <v>365</v>
      </c>
      <c r="G231" s="21" t="s">
        <v>169</v>
      </c>
      <c r="H231" s="20" t="s">
        <v>164</v>
      </c>
      <c r="I231" s="21" t="s">
        <v>165</v>
      </c>
      <c r="J231" s="22">
        <v>46048</v>
      </c>
      <c r="K231" s="21" t="s">
        <v>13</v>
      </c>
      <c r="L231" s="21" t="s">
        <v>498</v>
      </c>
      <c r="M231" s="20">
        <v>670</v>
      </c>
      <c r="N231" s="20">
        <v>26</v>
      </c>
      <c r="O231" s="20" t="s">
        <v>163</v>
      </c>
      <c r="P231" s="20">
        <v>674</v>
      </c>
      <c r="Q231" s="20" t="s">
        <v>360</v>
      </c>
      <c r="R231" s="20" t="s">
        <v>361</v>
      </c>
      <c r="S231" s="18" t="s">
        <v>362</v>
      </c>
      <c r="T231" s="18">
        <v>190608</v>
      </c>
      <c r="U231" s="20" t="s">
        <v>693</v>
      </c>
      <c r="V231" s="20">
        <v>70</v>
      </c>
      <c r="W231" s="18" t="s">
        <v>3671</v>
      </c>
      <c r="X231" s="18" t="s">
        <v>1067</v>
      </c>
      <c r="Y231" s="20" t="s">
        <v>365</v>
      </c>
      <c r="Z231" s="18" t="s">
        <v>1052</v>
      </c>
    </row>
    <row r="232" spans="1:26" hidden="1">
      <c r="A232" s="18">
        <v>161433</v>
      </c>
      <c r="B232" s="18">
        <v>161433</v>
      </c>
      <c r="C232" s="18" t="s">
        <v>690</v>
      </c>
      <c r="D232" s="19" t="s">
        <v>691</v>
      </c>
      <c r="E232" s="19" t="s">
        <v>703</v>
      </c>
      <c r="F232" s="20">
        <v>365</v>
      </c>
      <c r="G232" s="21" t="s">
        <v>169</v>
      </c>
      <c r="H232" s="20" t="s">
        <v>164</v>
      </c>
      <c r="I232" s="21" t="s">
        <v>165</v>
      </c>
      <c r="J232" s="22">
        <v>46048</v>
      </c>
      <c r="K232" s="21" t="s">
        <v>13</v>
      </c>
      <c r="L232" s="21" t="s">
        <v>403</v>
      </c>
      <c r="M232" s="20">
        <v>670</v>
      </c>
      <c r="N232" s="20">
        <v>25</v>
      </c>
      <c r="O232" s="20" t="s">
        <v>163</v>
      </c>
      <c r="P232" s="20">
        <v>674</v>
      </c>
      <c r="Q232" s="20" t="s">
        <v>360</v>
      </c>
      <c r="R232" s="20" t="s">
        <v>361</v>
      </c>
      <c r="S232" s="18" t="s">
        <v>362</v>
      </c>
      <c r="T232" s="18">
        <v>190609</v>
      </c>
      <c r="U232" s="20" t="s">
        <v>695</v>
      </c>
      <c r="V232" s="20">
        <v>70</v>
      </c>
      <c r="W232" s="18" t="s">
        <v>3677</v>
      </c>
      <c r="X232" s="18" t="s">
        <v>1067</v>
      </c>
      <c r="Y232" s="20" t="s">
        <v>365</v>
      </c>
      <c r="Z232" s="18" t="s">
        <v>1052</v>
      </c>
    </row>
    <row r="233" spans="1:26" hidden="1">
      <c r="A233" s="18">
        <v>161434</v>
      </c>
      <c r="B233" s="18">
        <v>161434</v>
      </c>
      <c r="C233" s="18" t="s">
        <v>690</v>
      </c>
      <c r="D233" s="19" t="s">
        <v>691</v>
      </c>
      <c r="E233" s="19" t="s">
        <v>704</v>
      </c>
      <c r="F233" s="20">
        <v>365</v>
      </c>
      <c r="G233" s="21" t="s">
        <v>169</v>
      </c>
      <c r="H233" s="20" t="s">
        <v>164</v>
      </c>
      <c r="I233" s="21" t="s">
        <v>165</v>
      </c>
      <c r="J233" s="22">
        <v>46048</v>
      </c>
      <c r="K233" s="21" t="s">
        <v>13</v>
      </c>
      <c r="L233" s="21" t="s">
        <v>585</v>
      </c>
      <c r="M233" s="20">
        <v>670</v>
      </c>
      <c r="N233" s="20">
        <v>26</v>
      </c>
      <c r="O233" s="20" t="s">
        <v>163</v>
      </c>
      <c r="P233" s="20">
        <v>674</v>
      </c>
      <c r="Q233" s="20" t="s">
        <v>360</v>
      </c>
      <c r="R233" s="20" t="s">
        <v>361</v>
      </c>
      <c r="S233" s="18" t="s">
        <v>362</v>
      </c>
      <c r="T233" s="18">
        <v>190610</v>
      </c>
      <c r="U233" s="20" t="s">
        <v>697</v>
      </c>
      <c r="V233" s="20">
        <v>70</v>
      </c>
      <c r="W233" s="18" t="s">
        <v>3663</v>
      </c>
      <c r="X233" s="18" t="s">
        <v>1067</v>
      </c>
      <c r="Y233" s="20" t="s">
        <v>365</v>
      </c>
      <c r="Z233" s="18" t="s">
        <v>1052</v>
      </c>
    </row>
    <row r="234" spans="1:26" hidden="1">
      <c r="A234" s="18">
        <v>161435</v>
      </c>
      <c r="B234" s="18">
        <v>161435</v>
      </c>
      <c r="C234" s="18" t="s">
        <v>690</v>
      </c>
      <c r="D234" s="19" t="s">
        <v>691</v>
      </c>
      <c r="E234" s="19" t="s">
        <v>705</v>
      </c>
      <c r="F234" s="20">
        <v>365</v>
      </c>
      <c r="G234" s="21" t="s">
        <v>169</v>
      </c>
      <c r="H234" s="20" t="s">
        <v>164</v>
      </c>
      <c r="I234" s="21" t="s">
        <v>165</v>
      </c>
      <c r="J234" s="22">
        <v>46048</v>
      </c>
      <c r="K234" s="21" t="s">
        <v>13</v>
      </c>
      <c r="L234" s="21" t="s">
        <v>586</v>
      </c>
      <c r="M234" s="20">
        <v>670</v>
      </c>
      <c r="N234" s="20">
        <v>26</v>
      </c>
      <c r="O234" s="20" t="s">
        <v>163</v>
      </c>
      <c r="P234" s="20">
        <v>674</v>
      </c>
      <c r="Q234" s="20" t="s">
        <v>360</v>
      </c>
      <c r="R234" s="20" t="s">
        <v>361</v>
      </c>
      <c r="S234" s="18" t="s">
        <v>362</v>
      </c>
      <c r="T234" s="18">
        <v>190611</v>
      </c>
      <c r="U234" s="20" t="s">
        <v>699</v>
      </c>
      <c r="V234" s="20">
        <v>70</v>
      </c>
      <c r="W234" s="18" t="s">
        <v>3690</v>
      </c>
      <c r="X234" s="18" t="s">
        <v>1067</v>
      </c>
      <c r="Y234" s="20" t="s">
        <v>365</v>
      </c>
      <c r="Z234" s="18" t="s">
        <v>1052</v>
      </c>
    </row>
    <row r="235" spans="1:26" hidden="1">
      <c r="A235" s="18">
        <v>161436</v>
      </c>
      <c r="B235" s="18">
        <v>161436</v>
      </c>
      <c r="C235" s="18" t="s">
        <v>690</v>
      </c>
      <c r="D235" s="19" t="s">
        <v>691</v>
      </c>
      <c r="E235" s="19" t="s">
        <v>706</v>
      </c>
      <c r="F235" s="20">
        <v>365</v>
      </c>
      <c r="G235" s="21" t="s">
        <v>169</v>
      </c>
      <c r="H235" s="20" t="s">
        <v>164</v>
      </c>
      <c r="I235" s="21" t="s">
        <v>165</v>
      </c>
      <c r="J235" s="22">
        <v>46048</v>
      </c>
      <c r="K235" s="21" t="s">
        <v>13</v>
      </c>
      <c r="L235" s="21" t="s">
        <v>588</v>
      </c>
      <c r="M235" s="20">
        <v>670</v>
      </c>
      <c r="N235" s="20">
        <v>26</v>
      </c>
      <c r="O235" s="20" t="s">
        <v>163</v>
      </c>
      <c r="P235" s="20">
        <v>674</v>
      </c>
      <c r="Q235" s="20" t="s">
        <v>360</v>
      </c>
      <c r="R235" s="20" t="s">
        <v>361</v>
      </c>
      <c r="S235" s="18" t="s">
        <v>362</v>
      </c>
      <c r="T235" s="18">
        <v>190612</v>
      </c>
      <c r="U235" s="20" t="s">
        <v>701</v>
      </c>
      <c r="V235" s="20">
        <v>70</v>
      </c>
      <c r="W235" s="18" t="s">
        <v>3546</v>
      </c>
      <c r="X235" s="18" t="s">
        <v>1067</v>
      </c>
      <c r="Y235" s="20" t="s">
        <v>365</v>
      </c>
      <c r="Z235" s="18" t="s">
        <v>1052</v>
      </c>
    </row>
    <row r="236" spans="1:26" hidden="1">
      <c r="A236" s="18">
        <v>161438</v>
      </c>
      <c r="B236" s="18">
        <v>161437</v>
      </c>
      <c r="C236" s="18" t="s">
        <v>707</v>
      </c>
      <c r="D236" s="19" t="s">
        <v>708</v>
      </c>
      <c r="E236" s="19" t="s">
        <v>709</v>
      </c>
      <c r="F236" s="20">
        <v>3723</v>
      </c>
      <c r="G236" s="21" t="s">
        <v>516</v>
      </c>
      <c r="H236" s="21" t="s">
        <v>194</v>
      </c>
      <c r="I236" s="21" t="s">
        <v>283</v>
      </c>
      <c r="J236" s="22">
        <v>46058</v>
      </c>
      <c r="K236" s="21" t="s">
        <v>13</v>
      </c>
      <c r="L236" s="21" t="s">
        <v>363</v>
      </c>
      <c r="M236" s="20">
        <v>670</v>
      </c>
      <c r="N236" s="20">
        <v>44</v>
      </c>
      <c r="O236" s="20" t="s">
        <v>163</v>
      </c>
      <c r="P236" s="20">
        <v>674</v>
      </c>
      <c r="Q236" s="20" t="s">
        <v>360</v>
      </c>
      <c r="R236" s="20" t="s">
        <v>679</v>
      </c>
      <c r="S236" s="18" t="s">
        <v>680</v>
      </c>
      <c r="T236" s="18">
        <v>189161</v>
      </c>
      <c r="U236" s="20"/>
      <c r="V236" s="20">
        <v>70</v>
      </c>
      <c r="W236" s="18"/>
      <c r="X236" s="18"/>
      <c r="Y236" s="20" t="s">
        <v>514</v>
      </c>
      <c r="Z236" s="18"/>
    </row>
    <row r="237" spans="1:26" hidden="1">
      <c r="A237" s="18">
        <v>161438</v>
      </c>
      <c r="B237" s="18">
        <v>161437</v>
      </c>
      <c r="C237" s="18" t="s">
        <v>707</v>
      </c>
      <c r="D237" s="19" t="s">
        <v>708</v>
      </c>
      <c r="E237" s="19" t="s">
        <v>709</v>
      </c>
      <c r="F237" s="20">
        <v>365</v>
      </c>
      <c r="G237" s="21" t="s">
        <v>169</v>
      </c>
      <c r="H237" s="21" t="s">
        <v>194</v>
      </c>
      <c r="I237" s="21" t="s">
        <v>283</v>
      </c>
      <c r="J237" s="22">
        <v>46058</v>
      </c>
      <c r="K237" s="21" t="s">
        <v>13</v>
      </c>
      <c r="L237" s="21" t="s">
        <v>363</v>
      </c>
      <c r="M237" s="20">
        <v>670</v>
      </c>
      <c r="N237" s="20">
        <v>11</v>
      </c>
      <c r="O237" s="20" t="s">
        <v>163</v>
      </c>
      <c r="P237" s="20">
        <v>674</v>
      </c>
      <c r="Q237" s="20" t="s">
        <v>360</v>
      </c>
      <c r="R237" s="20" t="s">
        <v>679</v>
      </c>
      <c r="S237" s="18" t="s">
        <v>680</v>
      </c>
      <c r="T237" s="18">
        <v>189162</v>
      </c>
      <c r="U237" s="20"/>
      <c r="V237" s="20">
        <v>70</v>
      </c>
      <c r="W237" s="18"/>
      <c r="X237" s="18"/>
      <c r="Y237" s="20" t="s">
        <v>514</v>
      </c>
      <c r="Z237" s="18"/>
    </row>
    <row r="238" spans="1:26" hidden="1">
      <c r="A238" s="18">
        <v>161439</v>
      </c>
      <c r="B238" s="18">
        <v>161437</v>
      </c>
      <c r="C238" s="18" t="s">
        <v>707</v>
      </c>
      <c r="D238" s="19" t="s">
        <v>708</v>
      </c>
      <c r="E238" s="19" t="s">
        <v>710</v>
      </c>
      <c r="F238" s="20">
        <v>365</v>
      </c>
      <c r="G238" s="21" t="s">
        <v>169</v>
      </c>
      <c r="H238" s="21" t="s">
        <v>194</v>
      </c>
      <c r="I238" s="21" t="s">
        <v>283</v>
      </c>
      <c r="J238" s="22">
        <v>46058</v>
      </c>
      <c r="K238" s="21" t="s">
        <v>13</v>
      </c>
      <c r="L238" s="21" t="s">
        <v>363</v>
      </c>
      <c r="M238" s="20">
        <v>670</v>
      </c>
      <c r="N238" s="20">
        <v>46</v>
      </c>
      <c r="O238" s="20" t="s">
        <v>163</v>
      </c>
      <c r="P238" s="20">
        <v>674</v>
      </c>
      <c r="Q238" s="20" t="s">
        <v>360</v>
      </c>
      <c r="R238" s="20" t="s">
        <v>679</v>
      </c>
      <c r="S238" s="18" t="s">
        <v>680</v>
      </c>
      <c r="T238" s="18">
        <v>189163</v>
      </c>
      <c r="U238" s="20"/>
      <c r="V238" s="20">
        <v>70</v>
      </c>
      <c r="W238" s="18"/>
      <c r="X238" s="18"/>
      <c r="Y238" s="20" t="s">
        <v>514</v>
      </c>
      <c r="Z238" s="18"/>
    </row>
    <row r="239" spans="1:26" hidden="1">
      <c r="A239" s="18">
        <v>161441</v>
      </c>
      <c r="B239" s="18">
        <v>161440</v>
      </c>
      <c r="C239" s="18" t="s">
        <v>707</v>
      </c>
      <c r="D239" s="19" t="s">
        <v>708</v>
      </c>
      <c r="E239" s="19" t="s">
        <v>711</v>
      </c>
      <c r="F239" s="20">
        <v>365</v>
      </c>
      <c r="G239" s="21" t="s">
        <v>169</v>
      </c>
      <c r="H239" s="21" t="s">
        <v>194</v>
      </c>
      <c r="I239" s="21" t="s">
        <v>283</v>
      </c>
      <c r="J239" s="22">
        <v>46058</v>
      </c>
      <c r="K239" s="21" t="s">
        <v>13</v>
      </c>
      <c r="L239" s="21" t="s">
        <v>378</v>
      </c>
      <c r="M239" s="20">
        <v>670</v>
      </c>
      <c r="N239" s="20">
        <v>51</v>
      </c>
      <c r="O239" s="20" t="s">
        <v>163</v>
      </c>
      <c r="P239" s="20">
        <v>674</v>
      </c>
      <c r="Q239" s="20" t="s">
        <v>360</v>
      </c>
      <c r="R239" s="20" t="s">
        <v>679</v>
      </c>
      <c r="S239" s="18" t="s">
        <v>680</v>
      </c>
      <c r="T239" s="18">
        <v>189164</v>
      </c>
      <c r="U239" s="20"/>
      <c r="V239" s="20">
        <v>70</v>
      </c>
      <c r="W239" s="18"/>
      <c r="X239" s="18"/>
      <c r="Y239" s="20" t="s">
        <v>514</v>
      </c>
      <c r="Z239" s="18"/>
    </row>
    <row r="240" spans="1:26" hidden="1">
      <c r="A240" s="18">
        <v>161442</v>
      </c>
      <c r="B240" s="18">
        <v>161440</v>
      </c>
      <c r="C240" s="18" t="s">
        <v>707</v>
      </c>
      <c r="D240" s="19" t="s">
        <v>708</v>
      </c>
      <c r="E240" s="19" t="s">
        <v>712</v>
      </c>
      <c r="F240" s="20">
        <v>365</v>
      </c>
      <c r="G240" s="21" t="s">
        <v>169</v>
      </c>
      <c r="H240" s="21" t="s">
        <v>194</v>
      </c>
      <c r="I240" s="21" t="s">
        <v>283</v>
      </c>
      <c r="J240" s="22">
        <v>46058</v>
      </c>
      <c r="K240" s="21" t="s">
        <v>13</v>
      </c>
      <c r="L240" s="21" t="s">
        <v>378</v>
      </c>
      <c r="M240" s="20">
        <v>670</v>
      </c>
      <c r="N240" s="20">
        <v>49</v>
      </c>
      <c r="O240" s="20" t="s">
        <v>163</v>
      </c>
      <c r="P240" s="20">
        <v>674</v>
      </c>
      <c r="Q240" s="20" t="s">
        <v>360</v>
      </c>
      <c r="R240" s="20" t="s">
        <v>679</v>
      </c>
      <c r="S240" s="18" t="s">
        <v>680</v>
      </c>
      <c r="T240" s="18">
        <v>189165</v>
      </c>
      <c r="U240" s="20"/>
      <c r="V240" s="20">
        <v>70</v>
      </c>
      <c r="W240" s="18"/>
      <c r="X240" s="18"/>
      <c r="Y240" s="20" t="s">
        <v>514</v>
      </c>
      <c r="Z240" s="18"/>
    </row>
    <row r="241" spans="1:26" hidden="1">
      <c r="A241" s="18">
        <v>161444</v>
      </c>
      <c r="B241" s="18">
        <v>161443</v>
      </c>
      <c r="C241" s="18" t="s">
        <v>707</v>
      </c>
      <c r="D241" s="19" t="s">
        <v>708</v>
      </c>
      <c r="E241" s="19" t="s">
        <v>713</v>
      </c>
      <c r="F241" s="20">
        <v>3726</v>
      </c>
      <c r="G241" s="21" t="s">
        <v>512</v>
      </c>
      <c r="H241" s="21" t="s">
        <v>194</v>
      </c>
      <c r="I241" s="21" t="s">
        <v>283</v>
      </c>
      <c r="J241" s="22">
        <v>46058</v>
      </c>
      <c r="K241" s="21" t="s">
        <v>13</v>
      </c>
      <c r="L241" s="21" t="s">
        <v>446</v>
      </c>
      <c r="M241" s="20">
        <v>670</v>
      </c>
      <c r="N241" s="20">
        <v>21</v>
      </c>
      <c r="O241" s="20" t="s">
        <v>163</v>
      </c>
      <c r="P241" s="20">
        <v>674</v>
      </c>
      <c r="Q241" s="20" t="s">
        <v>360</v>
      </c>
      <c r="R241" s="20" t="s">
        <v>679</v>
      </c>
      <c r="S241" s="18" t="s">
        <v>680</v>
      </c>
      <c r="T241" s="18">
        <v>189166</v>
      </c>
      <c r="U241" s="20"/>
      <c r="V241" s="20">
        <v>70</v>
      </c>
      <c r="W241" s="18"/>
      <c r="X241" s="18"/>
      <c r="Y241" s="20" t="s">
        <v>514</v>
      </c>
      <c r="Z241" s="18"/>
    </row>
    <row r="242" spans="1:26" hidden="1">
      <c r="A242" s="18">
        <v>161444</v>
      </c>
      <c r="B242" s="18">
        <v>161443</v>
      </c>
      <c r="C242" s="18" t="s">
        <v>707</v>
      </c>
      <c r="D242" s="19" t="s">
        <v>708</v>
      </c>
      <c r="E242" s="19" t="s">
        <v>713</v>
      </c>
      <c r="F242" s="20">
        <v>365</v>
      </c>
      <c r="G242" s="21" t="s">
        <v>169</v>
      </c>
      <c r="H242" s="21" t="s">
        <v>194</v>
      </c>
      <c r="I242" s="21" t="s">
        <v>283</v>
      </c>
      <c r="J242" s="22">
        <v>46058</v>
      </c>
      <c r="K242" s="21" t="s">
        <v>13</v>
      </c>
      <c r="L242" s="21" t="s">
        <v>446</v>
      </c>
      <c r="M242" s="20">
        <v>670</v>
      </c>
      <c r="N242" s="20">
        <v>12</v>
      </c>
      <c r="O242" s="20" t="s">
        <v>163</v>
      </c>
      <c r="P242" s="20">
        <v>674</v>
      </c>
      <c r="Q242" s="20" t="s">
        <v>360</v>
      </c>
      <c r="R242" s="20" t="s">
        <v>679</v>
      </c>
      <c r="S242" s="18" t="s">
        <v>680</v>
      </c>
      <c r="T242" s="18">
        <v>189168</v>
      </c>
      <c r="U242" s="20"/>
      <c r="V242" s="20">
        <v>70</v>
      </c>
      <c r="W242" s="18"/>
      <c r="X242" s="18"/>
      <c r="Y242" s="20" t="s">
        <v>514</v>
      </c>
      <c r="Z242" s="18"/>
    </row>
    <row r="243" spans="1:26" hidden="1">
      <c r="A243" s="18">
        <v>161444</v>
      </c>
      <c r="B243" s="18">
        <v>161443</v>
      </c>
      <c r="C243" s="18" t="s">
        <v>707</v>
      </c>
      <c r="D243" s="19" t="s">
        <v>708</v>
      </c>
      <c r="E243" s="19" t="s">
        <v>713</v>
      </c>
      <c r="F243" s="20">
        <v>3725</v>
      </c>
      <c r="G243" s="21" t="s">
        <v>519</v>
      </c>
      <c r="H243" s="21" t="s">
        <v>194</v>
      </c>
      <c r="I243" s="21" t="s">
        <v>283</v>
      </c>
      <c r="J243" s="22">
        <v>46058</v>
      </c>
      <c r="K243" s="21" t="s">
        <v>13</v>
      </c>
      <c r="L243" s="21" t="s">
        <v>577</v>
      </c>
      <c r="M243" s="20">
        <v>670</v>
      </c>
      <c r="N243" s="20">
        <v>22</v>
      </c>
      <c r="O243" s="20" t="s">
        <v>163</v>
      </c>
      <c r="P243" s="20">
        <v>674</v>
      </c>
      <c r="Q243" s="20" t="s">
        <v>360</v>
      </c>
      <c r="R243" s="20" t="s">
        <v>679</v>
      </c>
      <c r="S243" s="18" t="s">
        <v>680</v>
      </c>
      <c r="T243" s="18">
        <v>189167</v>
      </c>
      <c r="U243" s="20"/>
      <c r="V243" s="20">
        <v>70</v>
      </c>
      <c r="W243" s="18"/>
      <c r="X243" s="18"/>
      <c r="Y243" s="20" t="s">
        <v>514</v>
      </c>
      <c r="Z243" s="18"/>
    </row>
    <row r="244" spans="1:26" hidden="1">
      <c r="A244" s="18">
        <v>161445</v>
      </c>
      <c r="B244" s="18">
        <v>161443</v>
      </c>
      <c r="C244" s="18" t="s">
        <v>707</v>
      </c>
      <c r="D244" s="19" t="s">
        <v>708</v>
      </c>
      <c r="E244" s="19" t="s">
        <v>714</v>
      </c>
      <c r="F244" s="20">
        <v>3725</v>
      </c>
      <c r="G244" s="21" t="s">
        <v>519</v>
      </c>
      <c r="H244" s="21" t="s">
        <v>194</v>
      </c>
      <c r="I244" s="21" t="s">
        <v>283</v>
      </c>
      <c r="J244" s="22">
        <v>46058</v>
      </c>
      <c r="K244" s="21" t="s">
        <v>13</v>
      </c>
      <c r="L244" s="21" t="s">
        <v>579</v>
      </c>
      <c r="M244" s="20">
        <v>670</v>
      </c>
      <c r="N244" s="20">
        <v>43</v>
      </c>
      <c r="O244" s="20" t="s">
        <v>163</v>
      </c>
      <c r="P244" s="20">
        <v>674</v>
      </c>
      <c r="Q244" s="20" t="s">
        <v>360</v>
      </c>
      <c r="R244" s="20" t="s">
        <v>679</v>
      </c>
      <c r="S244" s="18" t="s">
        <v>680</v>
      </c>
      <c r="T244" s="18">
        <v>189169</v>
      </c>
      <c r="U244" s="20"/>
      <c r="V244" s="20">
        <v>70</v>
      </c>
      <c r="W244" s="18"/>
      <c r="X244" s="18"/>
      <c r="Y244" s="20" t="s">
        <v>514</v>
      </c>
      <c r="Z244" s="18"/>
    </row>
    <row r="245" spans="1:26" hidden="1">
      <c r="A245" s="18">
        <v>161445</v>
      </c>
      <c r="B245" s="18">
        <v>161443</v>
      </c>
      <c r="C245" s="18" t="s">
        <v>707</v>
      </c>
      <c r="D245" s="19" t="s">
        <v>708</v>
      </c>
      <c r="E245" s="19" t="s">
        <v>714</v>
      </c>
      <c r="F245" s="20">
        <v>365</v>
      </c>
      <c r="G245" s="21" t="s">
        <v>169</v>
      </c>
      <c r="H245" s="21" t="s">
        <v>194</v>
      </c>
      <c r="I245" s="21" t="s">
        <v>283</v>
      </c>
      <c r="J245" s="22">
        <v>46058</v>
      </c>
      <c r="K245" s="21" t="s">
        <v>13</v>
      </c>
      <c r="L245" s="21" t="s">
        <v>577</v>
      </c>
      <c r="M245" s="20">
        <v>670</v>
      </c>
      <c r="N245" s="20">
        <v>13</v>
      </c>
      <c r="O245" s="20" t="s">
        <v>163</v>
      </c>
      <c r="P245" s="20">
        <v>674</v>
      </c>
      <c r="Q245" s="20" t="s">
        <v>360</v>
      </c>
      <c r="R245" s="20" t="s">
        <v>679</v>
      </c>
      <c r="S245" s="18" t="s">
        <v>680</v>
      </c>
      <c r="T245" s="18">
        <v>189170</v>
      </c>
      <c r="U245" s="20"/>
      <c r="V245" s="20">
        <v>70</v>
      </c>
      <c r="W245" s="18"/>
      <c r="X245" s="18"/>
      <c r="Y245" s="20" t="s">
        <v>514</v>
      </c>
      <c r="Z245" s="18"/>
    </row>
    <row r="246" spans="1:26" hidden="1">
      <c r="A246" s="18">
        <v>161447</v>
      </c>
      <c r="B246" s="18">
        <v>161446</v>
      </c>
      <c r="C246" s="18" t="s">
        <v>715</v>
      </c>
      <c r="D246" s="19" t="s">
        <v>716</v>
      </c>
      <c r="E246" s="19" t="s">
        <v>709</v>
      </c>
      <c r="F246" s="20">
        <v>365</v>
      </c>
      <c r="G246" s="21" t="s">
        <v>169</v>
      </c>
      <c r="H246" s="20" t="s">
        <v>164</v>
      </c>
      <c r="I246" s="20" t="s">
        <v>717</v>
      </c>
      <c r="J246" s="22">
        <v>46054</v>
      </c>
      <c r="K246" s="20" t="s">
        <v>14</v>
      </c>
      <c r="L246" s="21" t="s">
        <v>446</v>
      </c>
      <c r="M246" s="20">
        <v>670</v>
      </c>
      <c r="N246" s="20">
        <v>50</v>
      </c>
      <c r="O246" s="20" t="s">
        <v>163</v>
      </c>
      <c r="P246" s="20">
        <v>674</v>
      </c>
      <c r="Q246" s="20" t="s">
        <v>360</v>
      </c>
      <c r="R246" s="20" t="s">
        <v>679</v>
      </c>
      <c r="S246" s="18" t="s">
        <v>680</v>
      </c>
      <c r="T246" s="18">
        <v>188790</v>
      </c>
      <c r="U246" s="20"/>
      <c r="V246" s="20">
        <v>70</v>
      </c>
      <c r="W246" s="18"/>
      <c r="X246" s="18"/>
      <c r="Y246" s="20" t="s">
        <v>514</v>
      </c>
      <c r="Z246" s="18"/>
    </row>
    <row r="247" spans="1:26" hidden="1">
      <c r="A247" s="18">
        <v>161448</v>
      </c>
      <c r="B247" s="18">
        <v>161446</v>
      </c>
      <c r="C247" s="18" t="s">
        <v>715</v>
      </c>
      <c r="D247" s="19" t="s">
        <v>716</v>
      </c>
      <c r="E247" s="19" t="s">
        <v>710</v>
      </c>
      <c r="F247" s="20">
        <v>365</v>
      </c>
      <c r="G247" s="21" t="s">
        <v>169</v>
      </c>
      <c r="H247" s="20" t="s">
        <v>164</v>
      </c>
      <c r="I247" s="20" t="s">
        <v>717</v>
      </c>
      <c r="J247" s="22">
        <v>46054</v>
      </c>
      <c r="K247" s="20" t="s">
        <v>14</v>
      </c>
      <c r="L247" s="21" t="s">
        <v>577</v>
      </c>
      <c r="M247" s="20">
        <v>670</v>
      </c>
      <c r="N247" s="20">
        <v>50</v>
      </c>
      <c r="O247" s="20" t="s">
        <v>163</v>
      </c>
      <c r="P247" s="20">
        <v>674</v>
      </c>
      <c r="Q247" s="20" t="s">
        <v>360</v>
      </c>
      <c r="R247" s="20" t="s">
        <v>679</v>
      </c>
      <c r="S247" s="18" t="s">
        <v>680</v>
      </c>
      <c r="T247" s="18">
        <v>188791</v>
      </c>
      <c r="U247" s="20"/>
      <c r="V247" s="20">
        <v>70</v>
      </c>
      <c r="W247" s="18"/>
      <c r="X247" s="18"/>
      <c r="Y247" s="20" t="s">
        <v>514</v>
      </c>
      <c r="Z247" s="18"/>
    </row>
    <row r="248" spans="1:26" hidden="1">
      <c r="A248" s="18">
        <v>161450</v>
      </c>
      <c r="B248" s="18">
        <v>161449</v>
      </c>
      <c r="C248" s="18" t="s">
        <v>715</v>
      </c>
      <c r="D248" s="19" t="s">
        <v>716</v>
      </c>
      <c r="E248" s="19" t="s">
        <v>711</v>
      </c>
      <c r="F248" s="20">
        <v>365</v>
      </c>
      <c r="G248" s="21" t="s">
        <v>169</v>
      </c>
      <c r="H248" s="20" t="s">
        <v>164</v>
      </c>
      <c r="I248" s="20" t="s">
        <v>717</v>
      </c>
      <c r="J248" s="22">
        <v>46054</v>
      </c>
      <c r="K248" s="20" t="s">
        <v>14</v>
      </c>
      <c r="L248" s="21" t="s">
        <v>363</v>
      </c>
      <c r="M248" s="20">
        <v>670</v>
      </c>
      <c r="N248" s="20">
        <v>51</v>
      </c>
      <c r="O248" s="20" t="s">
        <v>163</v>
      </c>
      <c r="P248" s="20">
        <v>674</v>
      </c>
      <c r="Q248" s="20" t="s">
        <v>360</v>
      </c>
      <c r="R248" s="20" t="s">
        <v>679</v>
      </c>
      <c r="S248" s="18" t="s">
        <v>680</v>
      </c>
      <c r="T248" s="18">
        <v>188792</v>
      </c>
      <c r="U248" s="20"/>
      <c r="V248" s="20">
        <v>70</v>
      </c>
      <c r="W248" s="18"/>
      <c r="X248" s="18"/>
      <c r="Y248" s="20" t="s">
        <v>514</v>
      </c>
      <c r="Z248" s="18"/>
    </row>
    <row r="249" spans="1:26" hidden="1">
      <c r="A249" s="18">
        <v>161451</v>
      </c>
      <c r="B249" s="18">
        <v>161449</v>
      </c>
      <c r="C249" s="18" t="s">
        <v>715</v>
      </c>
      <c r="D249" s="19" t="s">
        <v>716</v>
      </c>
      <c r="E249" s="19" t="s">
        <v>712</v>
      </c>
      <c r="F249" s="20">
        <v>365</v>
      </c>
      <c r="G249" s="21" t="s">
        <v>169</v>
      </c>
      <c r="H249" s="20" t="s">
        <v>164</v>
      </c>
      <c r="I249" s="20" t="s">
        <v>717</v>
      </c>
      <c r="J249" s="22">
        <v>46054</v>
      </c>
      <c r="K249" s="20" t="s">
        <v>14</v>
      </c>
      <c r="L249" s="21" t="s">
        <v>363</v>
      </c>
      <c r="M249" s="20">
        <v>670</v>
      </c>
      <c r="N249" s="20">
        <v>51</v>
      </c>
      <c r="O249" s="20" t="s">
        <v>163</v>
      </c>
      <c r="P249" s="20">
        <v>674</v>
      </c>
      <c r="Q249" s="20" t="s">
        <v>360</v>
      </c>
      <c r="R249" s="20" t="s">
        <v>679</v>
      </c>
      <c r="S249" s="18" t="s">
        <v>680</v>
      </c>
      <c r="T249" s="18">
        <v>188793</v>
      </c>
      <c r="U249" s="20"/>
      <c r="V249" s="20">
        <v>70</v>
      </c>
      <c r="W249" s="18"/>
      <c r="X249" s="18"/>
      <c r="Y249" s="20" t="s">
        <v>514</v>
      </c>
      <c r="Z249" s="18"/>
    </row>
    <row r="250" spans="1:26" hidden="1">
      <c r="A250" s="18">
        <v>161453</v>
      </c>
      <c r="B250" s="18">
        <v>161452</v>
      </c>
      <c r="C250" s="18" t="s">
        <v>715</v>
      </c>
      <c r="D250" s="19" t="s">
        <v>716</v>
      </c>
      <c r="E250" s="19" t="s">
        <v>713</v>
      </c>
      <c r="F250" s="20">
        <v>365</v>
      </c>
      <c r="G250" s="21" t="s">
        <v>169</v>
      </c>
      <c r="H250" s="20" t="s">
        <v>164</v>
      </c>
      <c r="I250" s="20" t="s">
        <v>717</v>
      </c>
      <c r="J250" s="22">
        <v>46054</v>
      </c>
      <c r="K250" s="20" t="s">
        <v>14</v>
      </c>
      <c r="L250" s="21" t="s">
        <v>378</v>
      </c>
      <c r="M250" s="20">
        <v>670</v>
      </c>
      <c r="N250" s="20">
        <v>50</v>
      </c>
      <c r="O250" s="20" t="s">
        <v>163</v>
      </c>
      <c r="P250" s="20">
        <v>674</v>
      </c>
      <c r="Q250" s="20" t="s">
        <v>360</v>
      </c>
      <c r="R250" s="20" t="s">
        <v>679</v>
      </c>
      <c r="S250" s="18" t="s">
        <v>680</v>
      </c>
      <c r="T250" s="18">
        <v>188794</v>
      </c>
      <c r="U250" s="20"/>
      <c r="V250" s="20">
        <v>70</v>
      </c>
      <c r="W250" s="18"/>
      <c r="X250" s="18"/>
      <c r="Y250" s="20" t="s">
        <v>514</v>
      </c>
      <c r="Z250" s="18"/>
    </row>
    <row r="251" spans="1:26" hidden="1">
      <c r="A251" s="18">
        <v>161454</v>
      </c>
      <c r="B251" s="18">
        <v>161452</v>
      </c>
      <c r="C251" s="18" t="s">
        <v>715</v>
      </c>
      <c r="D251" s="19" t="s">
        <v>716</v>
      </c>
      <c r="E251" s="19" t="s">
        <v>714</v>
      </c>
      <c r="F251" s="20">
        <v>365</v>
      </c>
      <c r="G251" s="21" t="s">
        <v>169</v>
      </c>
      <c r="H251" s="20" t="s">
        <v>164</v>
      </c>
      <c r="I251" s="20" t="s">
        <v>717</v>
      </c>
      <c r="J251" s="22">
        <v>46054</v>
      </c>
      <c r="K251" s="20" t="s">
        <v>14</v>
      </c>
      <c r="L251" s="21" t="s">
        <v>378</v>
      </c>
      <c r="M251" s="20">
        <v>670</v>
      </c>
      <c r="N251" s="20">
        <v>10</v>
      </c>
      <c r="O251" s="20" t="s">
        <v>163</v>
      </c>
      <c r="P251" s="20">
        <v>674</v>
      </c>
      <c r="Q251" s="20" t="s">
        <v>360</v>
      </c>
      <c r="R251" s="20" t="s">
        <v>679</v>
      </c>
      <c r="S251" s="18" t="s">
        <v>680</v>
      </c>
      <c r="T251" s="18">
        <v>188795</v>
      </c>
      <c r="U251" s="20"/>
      <c r="V251" s="20">
        <v>70</v>
      </c>
      <c r="W251" s="18"/>
      <c r="X251" s="18"/>
      <c r="Y251" s="20" t="s">
        <v>514</v>
      </c>
      <c r="Z251" s="18"/>
    </row>
    <row r="252" spans="1:26" hidden="1">
      <c r="A252" s="18">
        <v>161454</v>
      </c>
      <c r="B252" s="18">
        <v>161452</v>
      </c>
      <c r="C252" s="18" t="s">
        <v>715</v>
      </c>
      <c r="D252" s="19" t="s">
        <v>716</v>
      </c>
      <c r="E252" s="19" t="s">
        <v>714</v>
      </c>
      <c r="F252" s="20">
        <v>3725</v>
      </c>
      <c r="G252" s="21" t="s">
        <v>519</v>
      </c>
      <c r="H252" s="20" t="s">
        <v>164</v>
      </c>
      <c r="I252" s="20" t="s">
        <v>717</v>
      </c>
      <c r="J252" s="22">
        <v>46054</v>
      </c>
      <c r="K252" s="20" t="s">
        <v>14</v>
      </c>
      <c r="L252" s="21" t="s">
        <v>378</v>
      </c>
      <c r="M252" s="20">
        <v>670</v>
      </c>
      <c r="N252" s="20">
        <v>43</v>
      </c>
      <c r="O252" s="20" t="s">
        <v>163</v>
      </c>
      <c r="P252" s="20">
        <v>674</v>
      </c>
      <c r="Q252" s="20" t="s">
        <v>360</v>
      </c>
      <c r="R252" s="20" t="s">
        <v>679</v>
      </c>
      <c r="S252" s="18" t="s">
        <v>680</v>
      </c>
      <c r="T252" s="18">
        <v>188796</v>
      </c>
      <c r="U252" s="20"/>
      <c r="V252" s="20">
        <v>70</v>
      </c>
      <c r="W252" s="18"/>
      <c r="X252" s="18"/>
      <c r="Y252" s="20" t="s">
        <v>514</v>
      </c>
      <c r="Z252" s="18"/>
    </row>
    <row r="253" spans="1:26">
      <c r="A253" s="18">
        <v>161455</v>
      </c>
      <c r="B253" s="18">
        <v>161455</v>
      </c>
      <c r="C253" s="18" t="s">
        <v>212</v>
      </c>
      <c r="D253" s="19" t="s">
        <v>213</v>
      </c>
      <c r="E253" s="19" t="s">
        <v>511</v>
      </c>
      <c r="F253" s="20">
        <v>3726</v>
      </c>
      <c r="G253" s="21" t="s">
        <v>512</v>
      </c>
      <c r="H253" s="21" t="s">
        <v>194</v>
      </c>
      <c r="I253" s="21" t="s">
        <v>215</v>
      </c>
      <c r="J253" s="22">
        <v>46057</v>
      </c>
      <c r="K253" s="74" t="s">
        <v>718</v>
      </c>
      <c r="L253" s="21" t="s">
        <v>358</v>
      </c>
      <c r="M253" s="20">
        <v>670</v>
      </c>
      <c r="N253" s="20">
        <v>64</v>
      </c>
      <c r="O253" s="20" t="s">
        <v>163</v>
      </c>
      <c r="P253" s="20">
        <v>674</v>
      </c>
      <c r="Q253" s="20" t="s">
        <v>360</v>
      </c>
      <c r="R253" s="20" t="s">
        <v>361</v>
      </c>
      <c r="S253" s="18" t="s">
        <v>362</v>
      </c>
      <c r="T253" s="18">
        <v>190017</v>
      </c>
      <c r="U253" s="20" t="s">
        <v>513</v>
      </c>
      <c r="V253" s="20">
        <v>70</v>
      </c>
      <c r="W253" s="18" t="s">
        <v>509</v>
      </c>
      <c r="X253" s="18" t="s">
        <v>364</v>
      </c>
      <c r="Y253" s="20" t="s">
        <v>514</v>
      </c>
      <c r="Z253" s="18" t="s">
        <v>515</v>
      </c>
    </row>
    <row r="254" spans="1:26">
      <c r="A254" s="18">
        <v>161455</v>
      </c>
      <c r="B254" s="18">
        <v>161455</v>
      </c>
      <c r="C254" s="18" t="s">
        <v>212</v>
      </c>
      <c r="D254" s="19" t="s">
        <v>213</v>
      </c>
      <c r="E254" s="19" t="s">
        <v>511</v>
      </c>
      <c r="F254" s="20">
        <v>3723</v>
      </c>
      <c r="G254" s="21" t="s">
        <v>516</v>
      </c>
      <c r="H254" s="21" t="s">
        <v>194</v>
      </c>
      <c r="I254" s="21" t="s">
        <v>215</v>
      </c>
      <c r="J254" s="22">
        <v>46057</v>
      </c>
      <c r="K254" s="74" t="s">
        <v>718</v>
      </c>
      <c r="L254" s="21" t="s">
        <v>358</v>
      </c>
      <c r="M254" s="20">
        <v>670</v>
      </c>
      <c r="N254" s="20">
        <v>67</v>
      </c>
      <c r="O254" s="20" t="s">
        <v>163</v>
      </c>
      <c r="P254" s="20">
        <v>674</v>
      </c>
      <c r="Q254" s="20" t="s">
        <v>360</v>
      </c>
      <c r="R254" s="20" t="s">
        <v>361</v>
      </c>
      <c r="S254" s="18" t="s">
        <v>362</v>
      </c>
      <c r="T254" s="18">
        <v>190020</v>
      </c>
      <c r="U254" s="20" t="s">
        <v>513</v>
      </c>
      <c r="V254" s="20">
        <v>70</v>
      </c>
      <c r="W254" s="18" t="s">
        <v>509</v>
      </c>
      <c r="X254" s="18" t="s">
        <v>364</v>
      </c>
      <c r="Y254" s="20" t="s">
        <v>365</v>
      </c>
      <c r="Z254" s="18" t="s">
        <v>515</v>
      </c>
    </row>
    <row r="255" spans="1:26">
      <c r="A255" s="18">
        <v>161455</v>
      </c>
      <c r="B255" s="18">
        <v>161455</v>
      </c>
      <c r="C255" s="18" t="s">
        <v>212</v>
      </c>
      <c r="D255" s="19" t="s">
        <v>213</v>
      </c>
      <c r="E255" s="19" t="s">
        <v>511</v>
      </c>
      <c r="F255" s="20">
        <v>365</v>
      </c>
      <c r="G255" s="21" t="s">
        <v>169</v>
      </c>
      <c r="H255" s="21" t="s">
        <v>194</v>
      </c>
      <c r="I255" s="21" t="s">
        <v>215</v>
      </c>
      <c r="J255" s="22">
        <v>46057</v>
      </c>
      <c r="K255" s="74" t="s">
        <v>718</v>
      </c>
      <c r="L255" s="21" t="s">
        <v>358</v>
      </c>
      <c r="M255" s="20">
        <v>670</v>
      </c>
      <c r="N255" s="20">
        <v>1</v>
      </c>
      <c r="O255" s="20" t="s">
        <v>163</v>
      </c>
      <c r="P255" s="20">
        <v>674</v>
      </c>
      <c r="Q255" s="20" t="s">
        <v>360</v>
      </c>
      <c r="R255" s="20" t="s">
        <v>361</v>
      </c>
      <c r="S255" s="18" t="s">
        <v>362</v>
      </c>
      <c r="T255" s="18">
        <v>190016</v>
      </c>
      <c r="U255" s="20" t="s">
        <v>513</v>
      </c>
      <c r="V255" s="20">
        <v>70</v>
      </c>
      <c r="W255" s="18" t="s">
        <v>509</v>
      </c>
      <c r="X255" s="18" t="s">
        <v>364</v>
      </c>
      <c r="Y255" s="20" t="s">
        <v>365</v>
      </c>
      <c r="Z255" s="18" t="s">
        <v>515</v>
      </c>
    </row>
    <row r="256" spans="1:26">
      <c r="A256" s="18">
        <v>161455</v>
      </c>
      <c r="B256" s="18">
        <v>161455</v>
      </c>
      <c r="C256" s="18" t="s">
        <v>212</v>
      </c>
      <c r="D256" s="19" t="s">
        <v>213</v>
      </c>
      <c r="E256" s="19" t="s">
        <v>511</v>
      </c>
      <c r="F256" s="20">
        <v>3724</v>
      </c>
      <c r="G256" s="21" t="s">
        <v>517</v>
      </c>
      <c r="H256" s="21" t="s">
        <v>194</v>
      </c>
      <c r="I256" s="21" t="s">
        <v>215</v>
      </c>
      <c r="J256" s="22">
        <v>46057</v>
      </c>
      <c r="K256" s="74" t="s">
        <v>718</v>
      </c>
      <c r="L256" s="21" t="s">
        <v>358</v>
      </c>
      <c r="M256" s="20">
        <v>670</v>
      </c>
      <c r="N256" s="20">
        <v>65</v>
      </c>
      <c r="O256" s="20" t="s">
        <v>163</v>
      </c>
      <c r="P256" s="20">
        <v>674</v>
      </c>
      <c r="Q256" s="20" t="s">
        <v>360</v>
      </c>
      <c r="R256" s="20" t="s">
        <v>361</v>
      </c>
      <c r="S256" s="18" t="s">
        <v>362</v>
      </c>
      <c r="T256" s="18">
        <v>190019</v>
      </c>
      <c r="U256" s="20" t="s">
        <v>513</v>
      </c>
      <c r="V256" s="20">
        <v>70</v>
      </c>
      <c r="W256" s="18" t="s">
        <v>509</v>
      </c>
      <c r="X256" s="18" t="s">
        <v>364</v>
      </c>
      <c r="Y256" s="20" t="s">
        <v>365</v>
      </c>
      <c r="Z256" s="18" t="s">
        <v>515</v>
      </c>
    </row>
    <row r="257" spans="1:26">
      <c r="A257" s="18">
        <v>161455</v>
      </c>
      <c r="B257" s="18">
        <v>161455</v>
      </c>
      <c r="C257" s="18" t="s">
        <v>212</v>
      </c>
      <c r="D257" s="19" t="s">
        <v>213</v>
      </c>
      <c r="E257" s="19" t="s">
        <v>511</v>
      </c>
      <c r="F257" s="20">
        <v>3727</v>
      </c>
      <c r="G257" s="21" t="s">
        <v>518</v>
      </c>
      <c r="H257" s="21" t="s">
        <v>194</v>
      </c>
      <c r="I257" s="21" t="s">
        <v>215</v>
      </c>
      <c r="J257" s="22">
        <v>46057</v>
      </c>
      <c r="K257" s="74" t="s">
        <v>718</v>
      </c>
      <c r="L257" s="21" t="s">
        <v>358</v>
      </c>
      <c r="M257" s="20">
        <v>670</v>
      </c>
      <c r="N257" s="20">
        <v>43</v>
      </c>
      <c r="O257" s="20" t="s">
        <v>163</v>
      </c>
      <c r="P257" s="20">
        <v>674</v>
      </c>
      <c r="Q257" s="20" t="s">
        <v>360</v>
      </c>
      <c r="R257" s="20" t="s">
        <v>361</v>
      </c>
      <c r="S257" s="18" t="s">
        <v>362</v>
      </c>
      <c r="T257" s="18">
        <v>190021</v>
      </c>
      <c r="U257" s="20" t="s">
        <v>513</v>
      </c>
      <c r="V257" s="20">
        <v>70</v>
      </c>
      <c r="W257" s="18" t="s">
        <v>509</v>
      </c>
      <c r="X257" s="18" t="s">
        <v>364</v>
      </c>
      <c r="Y257" s="20" t="s">
        <v>365</v>
      </c>
      <c r="Z257" s="18" t="s">
        <v>515</v>
      </c>
    </row>
    <row r="258" spans="1:26">
      <c r="A258" s="18">
        <v>161455</v>
      </c>
      <c r="B258" s="18">
        <v>161455</v>
      </c>
      <c r="C258" s="18" t="s">
        <v>212</v>
      </c>
      <c r="D258" s="19" t="s">
        <v>213</v>
      </c>
      <c r="E258" s="19" t="s">
        <v>511</v>
      </c>
      <c r="F258" s="20">
        <v>3725</v>
      </c>
      <c r="G258" s="21" t="s">
        <v>519</v>
      </c>
      <c r="H258" s="21" t="s">
        <v>194</v>
      </c>
      <c r="I258" s="21" t="s">
        <v>215</v>
      </c>
      <c r="J258" s="22">
        <v>46057</v>
      </c>
      <c r="K258" s="74" t="s">
        <v>718</v>
      </c>
      <c r="L258" s="21" t="s">
        <v>358</v>
      </c>
      <c r="M258" s="20">
        <v>670</v>
      </c>
      <c r="N258" s="20">
        <v>65</v>
      </c>
      <c r="O258" s="20" t="s">
        <v>163</v>
      </c>
      <c r="P258" s="20">
        <v>674</v>
      </c>
      <c r="Q258" s="20" t="s">
        <v>360</v>
      </c>
      <c r="R258" s="20" t="s">
        <v>361</v>
      </c>
      <c r="S258" s="18" t="s">
        <v>362</v>
      </c>
      <c r="T258" s="18">
        <v>190018</v>
      </c>
      <c r="U258" s="20" t="s">
        <v>513</v>
      </c>
      <c r="V258" s="20">
        <v>70</v>
      </c>
      <c r="W258" s="18" t="s">
        <v>509</v>
      </c>
      <c r="X258" s="18" t="s">
        <v>364</v>
      </c>
      <c r="Y258" s="20" t="s">
        <v>365</v>
      </c>
      <c r="Z258" s="18" t="s">
        <v>515</v>
      </c>
    </row>
    <row r="259" spans="1:26" hidden="1">
      <c r="A259" s="18">
        <v>161457</v>
      </c>
      <c r="B259" s="18">
        <v>161456</v>
      </c>
      <c r="C259" s="18" t="s">
        <v>719</v>
      </c>
      <c r="D259" s="19" t="s">
        <v>720</v>
      </c>
      <c r="E259" s="19" t="s">
        <v>721</v>
      </c>
      <c r="F259" s="20">
        <v>365</v>
      </c>
      <c r="G259" s="21" t="s">
        <v>169</v>
      </c>
      <c r="H259" s="21" t="s">
        <v>194</v>
      </c>
      <c r="I259" s="21" t="s">
        <v>283</v>
      </c>
      <c r="J259" s="22">
        <v>46058</v>
      </c>
      <c r="K259" s="21" t="s">
        <v>13</v>
      </c>
      <c r="L259" s="21" t="s">
        <v>406</v>
      </c>
      <c r="M259" s="20">
        <v>670</v>
      </c>
      <c r="N259" s="20">
        <v>39</v>
      </c>
      <c r="O259" s="20" t="s">
        <v>163</v>
      </c>
      <c r="P259" s="20">
        <v>674</v>
      </c>
      <c r="Q259" s="20" t="s">
        <v>360</v>
      </c>
      <c r="R259" s="20" t="s">
        <v>679</v>
      </c>
      <c r="S259" s="18" t="s">
        <v>680</v>
      </c>
      <c r="T259" s="18">
        <v>189173</v>
      </c>
      <c r="U259" s="20"/>
      <c r="V259" s="20">
        <v>70</v>
      </c>
      <c r="W259" s="18"/>
      <c r="X259" s="18"/>
      <c r="Y259" s="20" t="s">
        <v>514</v>
      </c>
      <c r="Z259" s="18"/>
    </row>
    <row r="260" spans="1:26" hidden="1">
      <c r="A260" s="18">
        <v>161458</v>
      </c>
      <c r="B260" s="18">
        <v>161456</v>
      </c>
      <c r="C260" s="18" t="s">
        <v>719</v>
      </c>
      <c r="D260" s="19" t="s">
        <v>720</v>
      </c>
      <c r="E260" s="19" t="s">
        <v>722</v>
      </c>
      <c r="F260" s="20">
        <v>365</v>
      </c>
      <c r="G260" s="21" t="s">
        <v>169</v>
      </c>
      <c r="H260" s="21" t="s">
        <v>194</v>
      </c>
      <c r="I260" s="21" t="s">
        <v>283</v>
      </c>
      <c r="J260" s="22">
        <v>46058</v>
      </c>
      <c r="K260" s="21" t="s">
        <v>13</v>
      </c>
      <c r="L260" s="21" t="s">
        <v>582</v>
      </c>
      <c r="M260" s="20">
        <v>670</v>
      </c>
      <c r="N260" s="20">
        <v>33</v>
      </c>
      <c r="O260" s="20" t="s">
        <v>163</v>
      </c>
      <c r="P260" s="20">
        <v>674</v>
      </c>
      <c r="Q260" s="20" t="s">
        <v>360</v>
      </c>
      <c r="R260" s="20" t="s">
        <v>679</v>
      </c>
      <c r="S260" s="18" t="s">
        <v>680</v>
      </c>
      <c r="T260" s="18">
        <v>189174</v>
      </c>
      <c r="U260" s="20"/>
      <c r="V260" s="20">
        <v>70</v>
      </c>
      <c r="W260" s="18"/>
      <c r="X260" s="18"/>
      <c r="Y260" s="20" t="s">
        <v>514</v>
      </c>
      <c r="Z260" s="18"/>
    </row>
    <row r="261" spans="1:26" hidden="1">
      <c r="A261" s="18">
        <v>161460</v>
      </c>
      <c r="B261" s="18">
        <v>161459</v>
      </c>
      <c r="C261" s="18" t="s">
        <v>719</v>
      </c>
      <c r="D261" s="19" t="s">
        <v>720</v>
      </c>
      <c r="E261" s="19" t="s">
        <v>723</v>
      </c>
      <c r="F261" s="20">
        <v>365</v>
      </c>
      <c r="G261" s="21" t="s">
        <v>169</v>
      </c>
      <c r="H261" s="21" t="s">
        <v>194</v>
      </c>
      <c r="I261" s="21" t="s">
        <v>283</v>
      </c>
      <c r="J261" s="22">
        <v>46058</v>
      </c>
      <c r="K261" s="21" t="s">
        <v>13</v>
      </c>
      <c r="L261" s="21" t="s">
        <v>498</v>
      </c>
      <c r="M261" s="20">
        <v>670</v>
      </c>
      <c r="N261" s="20">
        <v>35</v>
      </c>
      <c r="O261" s="20" t="s">
        <v>163</v>
      </c>
      <c r="P261" s="20">
        <v>674</v>
      </c>
      <c r="Q261" s="20" t="s">
        <v>360</v>
      </c>
      <c r="R261" s="20" t="s">
        <v>679</v>
      </c>
      <c r="S261" s="18" t="s">
        <v>680</v>
      </c>
      <c r="T261" s="18">
        <v>189175</v>
      </c>
      <c r="U261" s="20"/>
      <c r="V261" s="20">
        <v>70</v>
      </c>
      <c r="W261" s="18"/>
      <c r="X261" s="18"/>
      <c r="Y261" s="20" t="s">
        <v>514</v>
      </c>
      <c r="Z261" s="18"/>
    </row>
    <row r="262" spans="1:26" hidden="1">
      <c r="A262" s="18">
        <v>161461</v>
      </c>
      <c r="B262" s="18">
        <v>161459</v>
      </c>
      <c r="C262" s="18" t="s">
        <v>719</v>
      </c>
      <c r="D262" s="19" t="s">
        <v>720</v>
      </c>
      <c r="E262" s="19" t="s">
        <v>724</v>
      </c>
      <c r="F262" s="20">
        <v>365</v>
      </c>
      <c r="G262" s="21" t="s">
        <v>169</v>
      </c>
      <c r="H262" s="21" t="s">
        <v>194</v>
      </c>
      <c r="I262" s="21" t="s">
        <v>283</v>
      </c>
      <c r="J262" s="22">
        <v>46058</v>
      </c>
      <c r="K262" s="21" t="s">
        <v>13</v>
      </c>
      <c r="L262" s="21" t="s">
        <v>403</v>
      </c>
      <c r="M262" s="20">
        <v>670</v>
      </c>
      <c r="N262" s="20">
        <v>42</v>
      </c>
      <c r="O262" s="20" t="s">
        <v>163</v>
      </c>
      <c r="P262" s="20">
        <v>674</v>
      </c>
      <c r="Q262" s="20" t="s">
        <v>360</v>
      </c>
      <c r="R262" s="20" t="s">
        <v>679</v>
      </c>
      <c r="S262" s="18" t="s">
        <v>680</v>
      </c>
      <c r="T262" s="18">
        <v>189176</v>
      </c>
      <c r="U262" s="20"/>
      <c r="V262" s="20">
        <v>70</v>
      </c>
      <c r="W262" s="18"/>
      <c r="X262" s="18"/>
      <c r="Y262" s="20" t="s">
        <v>514</v>
      </c>
      <c r="Z262" s="18"/>
    </row>
    <row r="263" spans="1:26" hidden="1">
      <c r="A263" s="18">
        <v>161463</v>
      </c>
      <c r="B263" s="18">
        <v>161462</v>
      </c>
      <c r="C263" s="18" t="s">
        <v>725</v>
      </c>
      <c r="D263" s="19" t="s">
        <v>726</v>
      </c>
      <c r="E263" s="19" t="s">
        <v>721</v>
      </c>
      <c r="F263" s="20">
        <v>365</v>
      </c>
      <c r="G263" s="21" t="s">
        <v>169</v>
      </c>
      <c r="H263" s="20" t="s">
        <v>164</v>
      </c>
      <c r="I263" s="20" t="s">
        <v>717</v>
      </c>
      <c r="J263" s="22">
        <v>46054</v>
      </c>
      <c r="K263" s="20" t="s">
        <v>14</v>
      </c>
      <c r="L263" s="21" t="s">
        <v>579</v>
      </c>
      <c r="M263" s="20">
        <v>670</v>
      </c>
      <c r="N263" s="20">
        <v>39</v>
      </c>
      <c r="O263" s="20" t="s">
        <v>163</v>
      </c>
      <c r="P263" s="20">
        <v>674</v>
      </c>
      <c r="Q263" s="20" t="s">
        <v>360</v>
      </c>
      <c r="R263" s="20" t="s">
        <v>679</v>
      </c>
      <c r="S263" s="18" t="s">
        <v>680</v>
      </c>
      <c r="T263" s="18">
        <v>188799</v>
      </c>
      <c r="U263" s="20"/>
      <c r="V263" s="20">
        <v>70</v>
      </c>
      <c r="W263" s="18"/>
      <c r="X263" s="18"/>
      <c r="Y263" s="20" t="s">
        <v>514</v>
      </c>
      <c r="Z263" s="18"/>
    </row>
    <row r="264" spans="1:26" hidden="1">
      <c r="A264" s="18">
        <v>161464</v>
      </c>
      <c r="B264" s="18">
        <v>161462</v>
      </c>
      <c r="C264" s="18" t="s">
        <v>725</v>
      </c>
      <c r="D264" s="19" t="s">
        <v>726</v>
      </c>
      <c r="E264" s="19" t="s">
        <v>722</v>
      </c>
      <c r="F264" s="20">
        <v>365</v>
      </c>
      <c r="G264" s="21" t="s">
        <v>169</v>
      </c>
      <c r="H264" s="20" t="s">
        <v>164</v>
      </c>
      <c r="I264" s="20" t="s">
        <v>717</v>
      </c>
      <c r="J264" s="22">
        <v>46054</v>
      </c>
      <c r="K264" s="20" t="s">
        <v>14</v>
      </c>
      <c r="L264" s="21" t="s">
        <v>406</v>
      </c>
      <c r="M264" s="20">
        <v>670</v>
      </c>
      <c r="N264" s="20">
        <v>34</v>
      </c>
      <c r="O264" s="20" t="s">
        <v>163</v>
      </c>
      <c r="P264" s="20">
        <v>674</v>
      </c>
      <c r="Q264" s="20" t="s">
        <v>360</v>
      </c>
      <c r="R264" s="20" t="s">
        <v>679</v>
      </c>
      <c r="S264" s="18" t="s">
        <v>680</v>
      </c>
      <c r="T264" s="18">
        <v>188800</v>
      </c>
      <c r="U264" s="20"/>
      <c r="V264" s="20">
        <v>70</v>
      </c>
      <c r="W264" s="18"/>
      <c r="X264" s="18"/>
      <c r="Y264" s="20" t="s">
        <v>514</v>
      </c>
      <c r="Z264" s="18"/>
    </row>
    <row r="265" spans="1:26" hidden="1">
      <c r="A265" s="18">
        <v>161466</v>
      </c>
      <c r="B265" s="18">
        <v>161465</v>
      </c>
      <c r="C265" s="18" t="s">
        <v>725</v>
      </c>
      <c r="D265" s="19" t="s">
        <v>726</v>
      </c>
      <c r="E265" s="19" t="s">
        <v>723</v>
      </c>
      <c r="F265" s="20">
        <v>365</v>
      </c>
      <c r="G265" s="21" t="s">
        <v>169</v>
      </c>
      <c r="H265" s="20" t="s">
        <v>164</v>
      </c>
      <c r="I265" s="20" t="s">
        <v>717</v>
      </c>
      <c r="J265" s="22">
        <v>46054</v>
      </c>
      <c r="K265" s="20" t="s">
        <v>14</v>
      </c>
      <c r="L265" s="21" t="s">
        <v>582</v>
      </c>
      <c r="M265" s="20">
        <v>670</v>
      </c>
      <c r="N265" s="20">
        <v>36</v>
      </c>
      <c r="O265" s="20" t="s">
        <v>163</v>
      </c>
      <c r="P265" s="20">
        <v>674</v>
      </c>
      <c r="Q265" s="20" t="s">
        <v>360</v>
      </c>
      <c r="R265" s="20" t="s">
        <v>679</v>
      </c>
      <c r="S265" s="18" t="s">
        <v>680</v>
      </c>
      <c r="T265" s="18">
        <v>188801</v>
      </c>
      <c r="U265" s="20"/>
      <c r="V265" s="20">
        <v>70</v>
      </c>
      <c r="W265" s="18"/>
      <c r="X265" s="18"/>
      <c r="Y265" s="20" t="s">
        <v>514</v>
      </c>
      <c r="Z265" s="18"/>
    </row>
    <row r="266" spans="1:26" hidden="1">
      <c r="A266" s="18">
        <v>161467</v>
      </c>
      <c r="B266" s="18">
        <v>161465</v>
      </c>
      <c r="C266" s="18" t="s">
        <v>725</v>
      </c>
      <c r="D266" s="19" t="s">
        <v>726</v>
      </c>
      <c r="E266" s="19" t="s">
        <v>724</v>
      </c>
      <c r="F266" s="20">
        <v>365</v>
      </c>
      <c r="G266" s="21" t="s">
        <v>169</v>
      </c>
      <c r="H266" s="20" t="s">
        <v>164</v>
      </c>
      <c r="I266" s="20" t="s">
        <v>717</v>
      </c>
      <c r="J266" s="22">
        <v>46054</v>
      </c>
      <c r="K266" s="20" t="s">
        <v>14</v>
      </c>
      <c r="L266" s="21" t="s">
        <v>498</v>
      </c>
      <c r="M266" s="20">
        <v>670</v>
      </c>
      <c r="N266" s="20">
        <v>39</v>
      </c>
      <c r="O266" s="20" t="s">
        <v>163</v>
      </c>
      <c r="P266" s="20">
        <v>674</v>
      </c>
      <c r="Q266" s="20" t="s">
        <v>360</v>
      </c>
      <c r="R266" s="20" t="s">
        <v>679</v>
      </c>
      <c r="S266" s="18" t="s">
        <v>680</v>
      </c>
      <c r="T266" s="18">
        <v>188802</v>
      </c>
      <c r="U266" s="20"/>
      <c r="V266" s="20">
        <v>70</v>
      </c>
      <c r="W266" s="18"/>
      <c r="X266" s="18"/>
      <c r="Y266" s="20" t="s">
        <v>514</v>
      </c>
      <c r="Z266" s="18"/>
    </row>
    <row r="267" spans="1:26">
      <c r="A267" s="18">
        <v>161468</v>
      </c>
      <c r="B267" s="18">
        <v>161468</v>
      </c>
      <c r="C267" s="18" t="s">
        <v>212</v>
      </c>
      <c r="D267" s="19" t="s">
        <v>213</v>
      </c>
      <c r="E267" s="19" t="s">
        <v>520</v>
      </c>
      <c r="F267" s="20">
        <v>3730</v>
      </c>
      <c r="G267" s="21" t="s">
        <v>188</v>
      </c>
      <c r="H267" s="21" t="s">
        <v>194</v>
      </c>
      <c r="I267" s="21" t="s">
        <v>215</v>
      </c>
      <c r="J267" s="22">
        <v>46057</v>
      </c>
      <c r="K267" s="74" t="s">
        <v>718</v>
      </c>
      <c r="L267" s="21" t="s">
        <v>358</v>
      </c>
      <c r="M267" s="20">
        <v>670</v>
      </c>
      <c r="N267" s="20">
        <v>45</v>
      </c>
      <c r="O267" s="20" t="s">
        <v>163</v>
      </c>
      <c r="P267" s="20">
        <v>674</v>
      </c>
      <c r="Q267" s="20" t="s">
        <v>360</v>
      </c>
      <c r="R267" s="20" t="s">
        <v>361</v>
      </c>
      <c r="S267" s="18" t="s">
        <v>362</v>
      </c>
      <c r="T267" s="18">
        <v>190026</v>
      </c>
      <c r="U267" s="20" t="s">
        <v>521</v>
      </c>
      <c r="V267" s="20">
        <v>70</v>
      </c>
      <c r="W267" s="18" t="s">
        <v>515</v>
      </c>
      <c r="X267" s="18" t="s">
        <v>364</v>
      </c>
      <c r="Y267" s="20" t="s">
        <v>365</v>
      </c>
      <c r="Z267" s="18" t="s">
        <v>515</v>
      </c>
    </row>
    <row r="268" spans="1:26">
      <c r="A268" s="18">
        <v>161468</v>
      </c>
      <c r="B268" s="18">
        <v>161468</v>
      </c>
      <c r="C268" s="18" t="s">
        <v>212</v>
      </c>
      <c r="D268" s="19" t="s">
        <v>213</v>
      </c>
      <c r="E268" s="19" t="s">
        <v>520</v>
      </c>
      <c r="F268" s="20">
        <v>365</v>
      </c>
      <c r="G268" s="21" t="s">
        <v>169</v>
      </c>
      <c r="H268" s="21" t="s">
        <v>194</v>
      </c>
      <c r="I268" s="21" t="s">
        <v>215</v>
      </c>
      <c r="J268" s="22">
        <v>46057</v>
      </c>
      <c r="K268" s="74" t="s">
        <v>718</v>
      </c>
      <c r="L268" s="21" t="s">
        <v>358</v>
      </c>
      <c r="M268" s="20">
        <v>670</v>
      </c>
      <c r="N268" s="20">
        <v>1</v>
      </c>
      <c r="O268" s="20" t="s">
        <v>163</v>
      </c>
      <c r="P268" s="20">
        <v>674</v>
      </c>
      <c r="Q268" s="20" t="s">
        <v>360</v>
      </c>
      <c r="R268" s="20" t="s">
        <v>361</v>
      </c>
      <c r="S268" s="18" t="s">
        <v>362</v>
      </c>
      <c r="T268" s="18">
        <v>190023</v>
      </c>
      <c r="U268" s="20" t="s">
        <v>521</v>
      </c>
      <c r="V268" s="20">
        <v>70</v>
      </c>
      <c r="W268" s="18" t="s">
        <v>515</v>
      </c>
      <c r="X268" s="18" t="s">
        <v>364</v>
      </c>
      <c r="Y268" s="20" t="s">
        <v>365</v>
      </c>
      <c r="Z268" s="18" t="s">
        <v>515</v>
      </c>
    </row>
    <row r="269" spans="1:26">
      <c r="A269" s="18">
        <v>161468</v>
      </c>
      <c r="B269" s="18">
        <v>161468</v>
      </c>
      <c r="C269" s="18" t="s">
        <v>212</v>
      </c>
      <c r="D269" s="19" t="s">
        <v>213</v>
      </c>
      <c r="E269" s="19" t="s">
        <v>520</v>
      </c>
      <c r="F269" s="20">
        <v>3729</v>
      </c>
      <c r="G269" s="21" t="s">
        <v>522</v>
      </c>
      <c r="H269" s="21" t="s">
        <v>194</v>
      </c>
      <c r="I269" s="21" t="s">
        <v>215</v>
      </c>
      <c r="J269" s="22">
        <v>46057</v>
      </c>
      <c r="K269" s="74" t="s">
        <v>718</v>
      </c>
      <c r="L269" s="21" t="s">
        <v>358</v>
      </c>
      <c r="M269" s="20">
        <v>670</v>
      </c>
      <c r="N269" s="20">
        <v>65</v>
      </c>
      <c r="O269" s="20" t="s">
        <v>163</v>
      </c>
      <c r="P269" s="20">
        <v>674</v>
      </c>
      <c r="Q269" s="20" t="s">
        <v>360</v>
      </c>
      <c r="R269" s="20" t="s">
        <v>361</v>
      </c>
      <c r="S269" s="18" t="s">
        <v>362</v>
      </c>
      <c r="T269" s="18">
        <v>190022</v>
      </c>
      <c r="U269" s="20" t="s">
        <v>521</v>
      </c>
      <c r="V269" s="20">
        <v>70</v>
      </c>
      <c r="W269" s="18" t="s">
        <v>515</v>
      </c>
      <c r="X269" s="18" t="s">
        <v>364</v>
      </c>
      <c r="Y269" s="20" t="s">
        <v>365</v>
      </c>
      <c r="Z269" s="18" t="s">
        <v>515</v>
      </c>
    </row>
    <row r="270" spans="1:26">
      <c r="A270" s="18">
        <v>161468</v>
      </c>
      <c r="B270" s="18">
        <v>161468</v>
      </c>
      <c r="C270" s="18" t="s">
        <v>212</v>
      </c>
      <c r="D270" s="19" t="s">
        <v>213</v>
      </c>
      <c r="E270" s="19" t="s">
        <v>520</v>
      </c>
      <c r="F270" s="20">
        <v>3728</v>
      </c>
      <c r="G270" s="21" t="s">
        <v>523</v>
      </c>
      <c r="H270" s="21" t="s">
        <v>194</v>
      </c>
      <c r="I270" s="21" t="s">
        <v>215</v>
      </c>
      <c r="J270" s="22">
        <v>46057</v>
      </c>
      <c r="K270" s="74" t="s">
        <v>718</v>
      </c>
      <c r="L270" s="21" t="s">
        <v>358</v>
      </c>
      <c r="M270" s="20">
        <v>670</v>
      </c>
      <c r="N270" s="20">
        <v>65</v>
      </c>
      <c r="O270" s="20" t="s">
        <v>163</v>
      </c>
      <c r="P270" s="20">
        <v>674</v>
      </c>
      <c r="Q270" s="20" t="s">
        <v>360</v>
      </c>
      <c r="R270" s="20" t="s">
        <v>361</v>
      </c>
      <c r="S270" s="18" t="s">
        <v>362</v>
      </c>
      <c r="T270" s="18">
        <v>190025</v>
      </c>
      <c r="U270" s="20" t="s">
        <v>521</v>
      </c>
      <c r="V270" s="20">
        <v>70</v>
      </c>
      <c r="W270" s="18" t="s">
        <v>515</v>
      </c>
      <c r="X270" s="18" t="s">
        <v>364</v>
      </c>
      <c r="Y270" s="20" t="s">
        <v>365</v>
      </c>
      <c r="Z270" s="18" t="s">
        <v>515</v>
      </c>
    </row>
    <row r="271" spans="1:26">
      <c r="A271" s="18">
        <v>161468</v>
      </c>
      <c r="B271" s="18">
        <v>161468</v>
      </c>
      <c r="C271" s="18" t="s">
        <v>212</v>
      </c>
      <c r="D271" s="19" t="s">
        <v>213</v>
      </c>
      <c r="E271" s="19" t="s">
        <v>520</v>
      </c>
      <c r="F271" s="20">
        <v>3731</v>
      </c>
      <c r="G271" s="21" t="s">
        <v>185</v>
      </c>
      <c r="H271" s="21" t="s">
        <v>194</v>
      </c>
      <c r="I271" s="21" t="s">
        <v>215</v>
      </c>
      <c r="J271" s="22">
        <v>46057</v>
      </c>
      <c r="K271" s="74" t="s">
        <v>718</v>
      </c>
      <c r="L271" s="21" t="s">
        <v>358</v>
      </c>
      <c r="M271" s="20">
        <v>670</v>
      </c>
      <c r="N271" s="20">
        <v>40</v>
      </c>
      <c r="O271" s="20" t="s">
        <v>163</v>
      </c>
      <c r="P271" s="20">
        <v>674</v>
      </c>
      <c r="Q271" s="20" t="s">
        <v>360</v>
      </c>
      <c r="R271" s="20" t="s">
        <v>361</v>
      </c>
      <c r="S271" s="18" t="s">
        <v>362</v>
      </c>
      <c r="T271" s="18">
        <v>190027</v>
      </c>
      <c r="U271" s="20" t="s">
        <v>521</v>
      </c>
      <c r="V271" s="20">
        <v>70</v>
      </c>
      <c r="W271" s="18" t="s">
        <v>515</v>
      </c>
      <c r="X271" s="18" t="s">
        <v>364</v>
      </c>
      <c r="Y271" s="20" t="s">
        <v>365</v>
      </c>
      <c r="Z271" s="18" t="s">
        <v>515</v>
      </c>
    </row>
    <row r="272" spans="1:26">
      <c r="A272" s="18">
        <v>161468</v>
      </c>
      <c r="B272" s="18">
        <v>161468</v>
      </c>
      <c r="C272" s="18" t="s">
        <v>212</v>
      </c>
      <c r="D272" s="19" t="s">
        <v>213</v>
      </c>
      <c r="E272" s="19" t="s">
        <v>520</v>
      </c>
      <c r="F272" s="20">
        <v>3733</v>
      </c>
      <c r="G272" s="21" t="s">
        <v>186</v>
      </c>
      <c r="H272" s="21" t="s">
        <v>194</v>
      </c>
      <c r="I272" s="21" t="s">
        <v>215</v>
      </c>
      <c r="J272" s="22">
        <v>46057</v>
      </c>
      <c r="K272" s="74" t="s">
        <v>718</v>
      </c>
      <c r="L272" s="21" t="s">
        <v>358</v>
      </c>
      <c r="M272" s="20">
        <v>670</v>
      </c>
      <c r="N272" s="20">
        <v>38</v>
      </c>
      <c r="O272" s="20" t="s">
        <v>163</v>
      </c>
      <c r="P272" s="20">
        <v>674</v>
      </c>
      <c r="Q272" s="20" t="s">
        <v>360</v>
      </c>
      <c r="R272" s="20" t="s">
        <v>361</v>
      </c>
      <c r="S272" s="18" t="s">
        <v>362</v>
      </c>
      <c r="T272" s="18">
        <v>190028</v>
      </c>
      <c r="U272" s="20" t="s">
        <v>521</v>
      </c>
      <c r="V272" s="20">
        <v>70</v>
      </c>
      <c r="W272" s="18" t="s">
        <v>515</v>
      </c>
      <c r="X272" s="18" t="s">
        <v>364</v>
      </c>
      <c r="Y272" s="20" t="s">
        <v>365</v>
      </c>
      <c r="Z272" s="18" t="s">
        <v>515</v>
      </c>
    </row>
    <row r="273" spans="1:26">
      <c r="A273" s="18">
        <v>161468</v>
      </c>
      <c r="B273" s="18">
        <v>161468</v>
      </c>
      <c r="C273" s="18" t="s">
        <v>212</v>
      </c>
      <c r="D273" s="19" t="s">
        <v>213</v>
      </c>
      <c r="E273" s="19" t="s">
        <v>520</v>
      </c>
      <c r="F273" s="20">
        <v>3732</v>
      </c>
      <c r="G273" s="21" t="s">
        <v>189</v>
      </c>
      <c r="H273" s="21" t="s">
        <v>194</v>
      </c>
      <c r="I273" s="21" t="s">
        <v>215</v>
      </c>
      <c r="J273" s="22">
        <v>46057</v>
      </c>
      <c r="K273" s="74" t="s">
        <v>718</v>
      </c>
      <c r="L273" s="21" t="s">
        <v>358</v>
      </c>
      <c r="M273" s="20">
        <v>670</v>
      </c>
      <c r="N273" s="20">
        <v>40</v>
      </c>
      <c r="O273" s="20" t="s">
        <v>163</v>
      </c>
      <c r="P273" s="20">
        <v>674</v>
      </c>
      <c r="Q273" s="20" t="s">
        <v>360</v>
      </c>
      <c r="R273" s="20" t="s">
        <v>361</v>
      </c>
      <c r="S273" s="18" t="s">
        <v>362</v>
      </c>
      <c r="T273" s="18">
        <v>190024</v>
      </c>
      <c r="U273" s="20" t="s">
        <v>521</v>
      </c>
      <c r="V273" s="20">
        <v>70</v>
      </c>
      <c r="W273" s="18" t="s">
        <v>515</v>
      </c>
      <c r="X273" s="18" t="s">
        <v>364</v>
      </c>
      <c r="Y273" s="20" t="s">
        <v>365</v>
      </c>
      <c r="Z273" s="18" t="s">
        <v>515</v>
      </c>
    </row>
    <row r="274" spans="1:26" hidden="1">
      <c r="A274" s="18">
        <v>161469</v>
      </c>
      <c r="B274" s="18">
        <v>161469</v>
      </c>
      <c r="C274" s="18" t="s">
        <v>524</v>
      </c>
      <c r="D274" s="19" t="s">
        <v>525</v>
      </c>
      <c r="E274" s="19" t="s">
        <v>526</v>
      </c>
      <c r="F274" s="20">
        <v>3728</v>
      </c>
      <c r="G274" s="21" t="s">
        <v>523</v>
      </c>
      <c r="H274" s="21" t="s">
        <v>164</v>
      </c>
      <c r="I274" s="21" t="s">
        <v>238</v>
      </c>
      <c r="J274" s="22">
        <v>46052</v>
      </c>
      <c r="K274" s="21" t="s">
        <v>12</v>
      </c>
      <c r="L274" s="21" t="s">
        <v>358</v>
      </c>
      <c r="M274" s="20">
        <v>670</v>
      </c>
      <c r="N274" s="20">
        <v>65</v>
      </c>
      <c r="O274" s="20" t="s">
        <v>163</v>
      </c>
      <c r="P274" s="20">
        <v>674</v>
      </c>
      <c r="Q274" s="20" t="s">
        <v>360</v>
      </c>
      <c r="R274" s="20" t="s">
        <v>361</v>
      </c>
      <c r="S274" s="18" t="s">
        <v>362</v>
      </c>
      <c r="T274" s="18">
        <v>190243</v>
      </c>
      <c r="U274" s="20" t="s">
        <v>378</v>
      </c>
      <c r="V274" s="20">
        <v>70</v>
      </c>
      <c r="W274" s="18" t="s">
        <v>398</v>
      </c>
      <c r="X274" s="18" t="s">
        <v>364</v>
      </c>
      <c r="Y274" s="20" t="s">
        <v>365</v>
      </c>
      <c r="Z274" s="18" t="s">
        <v>438</v>
      </c>
    </row>
    <row r="275" spans="1:26" hidden="1">
      <c r="A275" s="18">
        <v>161469</v>
      </c>
      <c r="B275" s="18">
        <v>161469</v>
      </c>
      <c r="C275" s="18" t="s">
        <v>524</v>
      </c>
      <c r="D275" s="19" t="s">
        <v>525</v>
      </c>
      <c r="E275" s="19" t="s">
        <v>526</v>
      </c>
      <c r="F275" s="20">
        <v>365</v>
      </c>
      <c r="G275" s="21" t="s">
        <v>169</v>
      </c>
      <c r="H275" s="21" t="s">
        <v>164</v>
      </c>
      <c r="I275" s="21" t="s">
        <v>238</v>
      </c>
      <c r="J275" s="22">
        <v>46052</v>
      </c>
      <c r="K275" s="21" t="s">
        <v>12</v>
      </c>
      <c r="L275" s="21" t="s">
        <v>358</v>
      </c>
      <c r="M275" s="20">
        <v>670</v>
      </c>
      <c r="N275" s="20">
        <v>5</v>
      </c>
      <c r="O275" s="20" t="s">
        <v>163</v>
      </c>
      <c r="P275" s="20">
        <v>674</v>
      </c>
      <c r="Q275" s="20" t="s">
        <v>360</v>
      </c>
      <c r="R275" s="20" t="s">
        <v>361</v>
      </c>
      <c r="S275" s="18" t="s">
        <v>362</v>
      </c>
      <c r="T275" s="18">
        <v>190245</v>
      </c>
      <c r="U275" s="20" t="s">
        <v>378</v>
      </c>
      <c r="V275" s="20">
        <v>70</v>
      </c>
      <c r="W275" s="18" t="s">
        <v>398</v>
      </c>
      <c r="X275" s="18" t="s">
        <v>364</v>
      </c>
      <c r="Y275" s="20" t="s">
        <v>365</v>
      </c>
      <c r="Z275" s="18" t="s">
        <v>438</v>
      </c>
    </row>
    <row r="276" spans="1:26" hidden="1">
      <c r="A276" s="18">
        <v>161469</v>
      </c>
      <c r="B276" s="18">
        <v>161469</v>
      </c>
      <c r="C276" s="18" t="s">
        <v>524</v>
      </c>
      <c r="D276" s="19" t="s">
        <v>525</v>
      </c>
      <c r="E276" s="19" t="s">
        <v>526</v>
      </c>
      <c r="F276" s="20">
        <v>3729</v>
      </c>
      <c r="G276" s="21" t="s">
        <v>522</v>
      </c>
      <c r="H276" s="21" t="s">
        <v>164</v>
      </c>
      <c r="I276" s="21" t="s">
        <v>238</v>
      </c>
      <c r="J276" s="22">
        <v>46052</v>
      </c>
      <c r="K276" s="21" t="s">
        <v>12</v>
      </c>
      <c r="L276" s="21" t="s">
        <v>358</v>
      </c>
      <c r="M276" s="20">
        <v>670</v>
      </c>
      <c r="N276" s="20">
        <v>65</v>
      </c>
      <c r="O276" s="20" t="s">
        <v>163</v>
      </c>
      <c r="P276" s="20">
        <v>674</v>
      </c>
      <c r="Q276" s="20" t="s">
        <v>360</v>
      </c>
      <c r="R276" s="20" t="s">
        <v>361</v>
      </c>
      <c r="S276" s="18" t="s">
        <v>362</v>
      </c>
      <c r="T276" s="18">
        <v>190244</v>
      </c>
      <c r="U276" s="20" t="s">
        <v>378</v>
      </c>
      <c r="V276" s="20">
        <v>70</v>
      </c>
      <c r="W276" s="18" t="s">
        <v>398</v>
      </c>
      <c r="X276" s="18" t="s">
        <v>364</v>
      </c>
      <c r="Y276" s="20" t="s">
        <v>365</v>
      </c>
      <c r="Z276" s="18" t="s">
        <v>438</v>
      </c>
    </row>
    <row r="277" spans="1:26">
      <c r="A277" s="18">
        <v>161470</v>
      </c>
      <c r="B277" s="18">
        <v>161470</v>
      </c>
      <c r="C277" s="18" t="s">
        <v>527</v>
      </c>
      <c r="D277" s="19" t="s">
        <v>528</v>
      </c>
      <c r="E277" s="19" t="s">
        <v>529</v>
      </c>
      <c r="F277" s="20">
        <v>365</v>
      </c>
      <c r="G277" s="21" t="s">
        <v>169</v>
      </c>
      <c r="H277" s="72" t="s">
        <v>228</v>
      </c>
      <c r="I277" s="72" t="s">
        <v>238</v>
      </c>
      <c r="J277" s="91">
        <v>46045</v>
      </c>
      <c r="K277" s="21" t="s">
        <v>371</v>
      </c>
      <c r="L277" s="20" t="s">
        <v>24</v>
      </c>
      <c r="M277" s="20">
        <v>670</v>
      </c>
      <c r="N277" s="20">
        <v>35</v>
      </c>
      <c r="O277" s="20" t="s">
        <v>163</v>
      </c>
      <c r="P277" s="20">
        <v>674</v>
      </c>
      <c r="Q277" s="20" t="s">
        <v>360</v>
      </c>
      <c r="R277" s="20" t="s">
        <v>361</v>
      </c>
      <c r="S277" s="18" t="s">
        <v>362</v>
      </c>
      <c r="T277" s="18">
        <v>190246</v>
      </c>
      <c r="U277" s="20" t="s">
        <v>24</v>
      </c>
      <c r="V277" s="20">
        <v>70</v>
      </c>
      <c r="W277" s="18" t="s">
        <v>472</v>
      </c>
      <c r="X277" s="18" t="s">
        <v>364</v>
      </c>
      <c r="Y277" s="20" t="s">
        <v>365</v>
      </c>
      <c r="Z277" s="18" t="s">
        <v>438</v>
      </c>
    </row>
    <row r="278" spans="1:26">
      <c r="A278" s="18">
        <v>161471</v>
      </c>
      <c r="B278" s="18">
        <v>161471</v>
      </c>
      <c r="C278" s="18" t="s">
        <v>527</v>
      </c>
      <c r="D278" s="19" t="s">
        <v>528</v>
      </c>
      <c r="E278" s="19" t="s">
        <v>532</v>
      </c>
      <c r="F278" s="20">
        <v>365</v>
      </c>
      <c r="G278" s="21" t="s">
        <v>169</v>
      </c>
      <c r="H278" s="72" t="s">
        <v>228</v>
      </c>
      <c r="I278" s="72" t="s">
        <v>238</v>
      </c>
      <c r="J278" s="91">
        <v>46045</v>
      </c>
      <c r="K278" s="21" t="s">
        <v>371</v>
      </c>
      <c r="L278" s="20" t="s">
        <v>25</v>
      </c>
      <c r="M278" s="20">
        <v>670</v>
      </c>
      <c r="N278" s="20">
        <v>34</v>
      </c>
      <c r="O278" s="20" t="s">
        <v>163</v>
      </c>
      <c r="P278" s="20">
        <v>674</v>
      </c>
      <c r="Q278" s="20" t="s">
        <v>360</v>
      </c>
      <c r="R278" s="20" t="s">
        <v>361</v>
      </c>
      <c r="S278" s="18" t="s">
        <v>362</v>
      </c>
      <c r="T278" s="18">
        <v>190247</v>
      </c>
      <c r="U278" s="20" t="s">
        <v>25</v>
      </c>
      <c r="V278" s="20">
        <v>70</v>
      </c>
      <c r="W278" s="18" t="s">
        <v>467</v>
      </c>
      <c r="X278" s="18" t="s">
        <v>364</v>
      </c>
      <c r="Y278" s="20" t="s">
        <v>365</v>
      </c>
      <c r="Z278" s="18" t="s">
        <v>438</v>
      </c>
    </row>
    <row r="279" spans="1:26">
      <c r="A279" s="18">
        <v>161472</v>
      </c>
      <c r="B279" s="18">
        <v>161472</v>
      </c>
      <c r="C279" s="18" t="s">
        <v>527</v>
      </c>
      <c r="D279" s="19" t="s">
        <v>528</v>
      </c>
      <c r="E279" s="19" t="s">
        <v>533</v>
      </c>
      <c r="F279" s="20">
        <v>365</v>
      </c>
      <c r="G279" s="21" t="s">
        <v>169</v>
      </c>
      <c r="H279" s="72" t="s">
        <v>228</v>
      </c>
      <c r="I279" s="72" t="s">
        <v>238</v>
      </c>
      <c r="J279" s="91">
        <v>46045</v>
      </c>
      <c r="K279" s="21" t="s">
        <v>371</v>
      </c>
      <c r="L279" s="20" t="s">
        <v>23</v>
      </c>
      <c r="M279" s="20">
        <v>670</v>
      </c>
      <c r="N279" s="20">
        <v>35</v>
      </c>
      <c r="O279" s="20" t="s">
        <v>163</v>
      </c>
      <c r="P279" s="20">
        <v>674</v>
      </c>
      <c r="Q279" s="20" t="s">
        <v>360</v>
      </c>
      <c r="R279" s="20" t="s">
        <v>361</v>
      </c>
      <c r="S279" s="18" t="s">
        <v>362</v>
      </c>
      <c r="T279" s="18">
        <v>190248</v>
      </c>
      <c r="U279" s="20" t="s">
        <v>23</v>
      </c>
      <c r="V279" s="20">
        <v>70</v>
      </c>
      <c r="W279" s="18" t="s">
        <v>534</v>
      </c>
      <c r="X279" s="18" t="s">
        <v>364</v>
      </c>
      <c r="Y279" s="20" t="s">
        <v>365</v>
      </c>
      <c r="Z279" s="18" t="s">
        <v>438</v>
      </c>
    </row>
    <row r="280" spans="1:26">
      <c r="A280" s="18">
        <v>161473</v>
      </c>
      <c r="B280" s="18">
        <v>161473</v>
      </c>
      <c r="C280" s="18" t="s">
        <v>527</v>
      </c>
      <c r="D280" s="19" t="s">
        <v>528</v>
      </c>
      <c r="E280" s="19" t="s">
        <v>535</v>
      </c>
      <c r="F280" s="20">
        <v>365</v>
      </c>
      <c r="G280" s="21" t="s">
        <v>169</v>
      </c>
      <c r="H280" s="72" t="s">
        <v>228</v>
      </c>
      <c r="I280" s="72" t="s">
        <v>238</v>
      </c>
      <c r="J280" s="91">
        <v>46045</v>
      </c>
      <c r="K280" s="21" t="s">
        <v>371</v>
      </c>
      <c r="L280" s="20" t="s">
        <v>26</v>
      </c>
      <c r="M280" s="20">
        <v>670</v>
      </c>
      <c r="N280" s="20">
        <v>38</v>
      </c>
      <c r="O280" s="20" t="s">
        <v>163</v>
      </c>
      <c r="P280" s="20">
        <v>674</v>
      </c>
      <c r="Q280" s="20" t="s">
        <v>360</v>
      </c>
      <c r="R280" s="20" t="s">
        <v>361</v>
      </c>
      <c r="S280" s="18" t="s">
        <v>362</v>
      </c>
      <c r="T280" s="18">
        <v>190249</v>
      </c>
      <c r="U280" s="20" t="s">
        <v>25</v>
      </c>
      <c r="V280" s="20">
        <v>70</v>
      </c>
      <c r="W280" s="18" t="s">
        <v>536</v>
      </c>
      <c r="X280" s="18" t="s">
        <v>364</v>
      </c>
      <c r="Y280" s="20" t="s">
        <v>365</v>
      </c>
      <c r="Z280" s="18" t="s">
        <v>438</v>
      </c>
    </row>
    <row r="281" spans="1:26">
      <c r="A281" s="18">
        <v>161474</v>
      </c>
      <c r="B281" s="18">
        <v>161323</v>
      </c>
      <c r="C281" s="18" t="s">
        <v>309</v>
      </c>
      <c r="D281" s="19" t="s">
        <v>310</v>
      </c>
      <c r="E281" s="19" t="s">
        <v>537</v>
      </c>
      <c r="F281" s="20">
        <v>130</v>
      </c>
      <c r="G281" s="21" t="s">
        <v>193</v>
      </c>
      <c r="H281" s="21" t="s">
        <v>194</v>
      </c>
      <c r="I281" s="21" t="s">
        <v>283</v>
      </c>
      <c r="J281" s="22">
        <v>46058</v>
      </c>
      <c r="K281" s="21" t="s">
        <v>440</v>
      </c>
      <c r="L281" s="21" t="s">
        <v>358</v>
      </c>
      <c r="M281" s="20">
        <v>670</v>
      </c>
      <c r="N281" s="20">
        <v>60</v>
      </c>
      <c r="O281" s="20" t="s">
        <v>163</v>
      </c>
      <c r="P281" s="20">
        <v>674</v>
      </c>
      <c r="Q281" s="20" t="s">
        <v>360</v>
      </c>
      <c r="R281" s="20" t="s">
        <v>361</v>
      </c>
      <c r="S281" s="18" t="s">
        <v>362</v>
      </c>
      <c r="T281" s="18">
        <v>190449</v>
      </c>
      <c r="U281" s="20" t="s">
        <v>444</v>
      </c>
      <c r="V281" s="20">
        <v>68</v>
      </c>
      <c r="W281" s="18" t="s">
        <v>441</v>
      </c>
      <c r="X281" s="18" t="s">
        <v>364</v>
      </c>
      <c r="Y281" s="20" t="s">
        <v>365</v>
      </c>
      <c r="Z281" s="18" t="s">
        <v>441</v>
      </c>
    </row>
    <row r="282" spans="1:26">
      <c r="A282" s="18">
        <v>161474</v>
      </c>
      <c r="B282" s="18">
        <v>161323</v>
      </c>
      <c r="C282" s="18" t="s">
        <v>309</v>
      </c>
      <c r="D282" s="19" t="s">
        <v>310</v>
      </c>
      <c r="E282" s="19" t="s">
        <v>537</v>
      </c>
      <c r="F282" s="20">
        <v>131</v>
      </c>
      <c r="G282" s="21" t="s">
        <v>196</v>
      </c>
      <c r="H282" s="21" t="s">
        <v>194</v>
      </c>
      <c r="I282" s="21" t="s">
        <v>283</v>
      </c>
      <c r="J282" s="22">
        <v>46058</v>
      </c>
      <c r="K282" s="21" t="s">
        <v>440</v>
      </c>
      <c r="L282" s="21" t="s">
        <v>358</v>
      </c>
      <c r="M282" s="20">
        <v>670</v>
      </c>
      <c r="N282" s="20">
        <v>60</v>
      </c>
      <c r="O282" s="20" t="s">
        <v>163</v>
      </c>
      <c r="P282" s="20">
        <v>674</v>
      </c>
      <c r="Q282" s="20" t="s">
        <v>360</v>
      </c>
      <c r="R282" s="20" t="s">
        <v>361</v>
      </c>
      <c r="S282" s="18" t="s">
        <v>362</v>
      </c>
      <c r="T282" s="18">
        <v>190450</v>
      </c>
      <c r="U282" s="20" t="s">
        <v>444</v>
      </c>
      <c r="V282" s="20">
        <v>68</v>
      </c>
      <c r="W282" s="18" t="s">
        <v>441</v>
      </c>
      <c r="X282" s="18" t="s">
        <v>364</v>
      </c>
      <c r="Y282" s="20" t="s">
        <v>365</v>
      </c>
      <c r="Z282" s="18" t="s">
        <v>441</v>
      </c>
    </row>
    <row r="283" spans="1:26" hidden="1">
      <c r="A283" s="18">
        <v>161475</v>
      </c>
      <c r="B283" s="18">
        <v>161475</v>
      </c>
      <c r="C283" s="18" t="s">
        <v>727</v>
      </c>
      <c r="D283" s="19" t="s">
        <v>728</v>
      </c>
      <c r="E283" s="19" t="s">
        <v>729</v>
      </c>
      <c r="F283" s="20">
        <v>365</v>
      </c>
      <c r="G283" s="21" t="s">
        <v>169</v>
      </c>
      <c r="H283" s="21" t="s">
        <v>164</v>
      </c>
      <c r="I283" s="21" t="s">
        <v>278</v>
      </c>
      <c r="J283" s="22">
        <v>46049</v>
      </c>
      <c r="K283" s="21" t="s">
        <v>11</v>
      </c>
      <c r="L283" s="21" t="s">
        <v>378</v>
      </c>
      <c r="M283" s="20">
        <v>670</v>
      </c>
      <c r="N283" s="20">
        <v>1</v>
      </c>
      <c r="O283" s="20" t="s">
        <v>730</v>
      </c>
      <c r="P283" s="20">
        <v>674</v>
      </c>
      <c r="Q283" s="20" t="s">
        <v>360</v>
      </c>
      <c r="R283" s="20" t="s">
        <v>731</v>
      </c>
      <c r="S283" s="18" t="s">
        <v>732</v>
      </c>
      <c r="T283" s="18">
        <v>194077</v>
      </c>
      <c r="U283" s="20"/>
      <c r="V283" s="20">
        <v>70</v>
      </c>
      <c r="W283" s="18"/>
      <c r="X283" s="18"/>
      <c r="Y283" s="20" t="s">
        <v>514</v>
      </c>
      <c r="Z283" s="18"/>
    </row>
    <row r="284" spans="1:26" hidden="1">
      <c r="A284" s="18">
        <v>161475</v>
      </c>
      <c r="B284" s="18">
        <v>161475</v>
      </c>
      <c r="C284" s="18" t="s">
        <v>727</v>
      </c>
      <c r="D284" s="19" t="s">
        <v>728</v>
      </c>
      <c r="E284" s="19" t="s">
        <v>729</v>
      </c>
      <c r="F284" s="20">
        <v>3729</v>
      </c>
      <c r="G284" s="21" t="s">
        <v>522</v>
      </c>
      <c r="H284" s="21" t="s">
        <v>164</v>
      </c>
      <c r="I284" s="21" t="s">
        <v>278</v>
      </c>
      <c r="J284" s="22">
        <v>46049</v>
      </c>
      <c r="K284" s="21" t="s">
        <v>11</v>
      </c>
      <c r="L284" s="21" t="s">
        <v>378</v>
      </c>
      <c r="M284" s="20">
        <v>670</v>
      </c>
      <c r="N284" s="20">
        <v>65</v>
      </c>
      <c r="O284" s="20" t="s">
        <v>730</v>
      </c>
      <c r="P284" s="20">
        <v>674</v>
      </c>
      <c r="Q284" s="20" t="s">
        <v>360</v>
      </c>
      <c r="R284" s="20" t="s">
        <v>731</v>
      </c>
      <c r="S284" s="18" t="s">
        <v>732</v>
      </c>
      <c r="T284" s="18">
        <v>194079</v>
      </c>
      <c r="U284" s="20"/>
      <c r="V284" s="20">
        <v>70</v>
      </c>
      <c r="W284" s="18"/>
      <c r="X284" s="18"/>
      <c r="Y284" s="20" t="s">
        <v>514</v>
      </c>
      <c r="Z284" s="18"/>
    </row>
    <row r="285" spans="1:26" hidden="1">
      <c r="A285" s="18">
        <v>161475</v>
      </c>
      <c r="B285" s="18">
        <v>161475</v>
      </c>
      <c r="C285" s="18" t="s">
        <v>727</v>
      </c>
      <c r="D285" s="19" t="s">
        <v>728</v>
      </c>
      <c r="E285" s="19" t="s">
        <v>729</v>
      </c>
      <c r="F285" s="20">
        <v>3728</v>
      </c>
      <c r="G285" s="21" t="s">
        <v>523</v>
      </c>
      <c r="H285" s="21" t="s">
        <v>164</v>
      </c>
      <c r="I285" s="21" t="s">
        <v>278</v>
      </c>
      <c r="J285" s="22">
        <v>46049</v>
      </c>
      <c r="K285" s="21" t="s">
        <v>11</v>
      </c>
      <c r="L285" s="21" t="s">
        <v>363</v>
      </c>
      <c r="M285" s="20">
        <v>670</v>
      </c>
      <c r="N285" s="20">
        <v>65</v>
      </c>
      <c r="O285" s="20" t="s">
        <v>730</v>
      </c>
      <c r="P285" s="20">
        <v>674</v>
      </c>
      <c r="Q285" s="20" t="s">
        <v>360</v>
      </c>
      <c r="R285" s="20" t="s">
        <v>731</v>
      </c>
      <c r="S285" s="18" t="s">
        <v>732</v>
      </c>
      <c r="T285" s="18">
        <v>194078</v>
      </c>
      <c r="U285" s="20"/>
      <c r="V285" s="20">
        <v>70</v>
      </c>
      <c r="W285" s="18"/>
      <c r="X285" s="18"/>
      <c r="Y285" s="20" t="s">
        <v>514</v>
      </c>
      <c r="Z285" s="18"/>
    </row>
    <row r="286" spans="1:26" hidden="1">
      <c r="A286" s="27"/>
      <c r="B286" s="27"/>
      <c r="C286" s="27"/>
      <c r="D286" s="27"/>
      <c r="E286" s="27"/>
      <c r="F286" s="27"/>
      <c r="G286" s="26"/>
      <c r="H286" s="26"/>
      <c r="I286" s="26"/>
      <c r="J286" s="28"/>
      <c r="K286" s="26"/>
      <c r="L286" s="26"/>
      <c r="M286" s="27"/>
      <c r="N286" s="26">
        <f>SUBTOTAL(9,N2:N285)</f>
        <v>4890</v>
      </c>
      <c r="O286" s="27"/>
      <c r="P286" s="27"/>
      <c r="Q286" s="27"/>
      <c r="R286" s="27"/>
      <c r="S286" s="27"/>
      <c r="T286" s="27"/>
      <c r="U286" s="26"/>
      <c r="V286" s="26"/>
      <c r="W286" s="27"/>
      <c r="X286" s="27"/>
      <c r="Y286" s="26"/>
      <c r="Z286" s="27"/>
    </row>
    <row r="287" spans="1:26">
      <c r="N287">
        <f>SUBTOTAL(9,N253:N273)</f>
        <v>599</v>
      </c>
    </row>
  </sheetData>
  <autoFilter ref="A1:Z286" xr:uid="{20E23BA8-1238-41DE-8EE7-A87BD21E387B}">
    <filterColumn colId="7">
      <filters>
        <filter val="T20"/>
        <filter val="T22"/>
      </filters>
    </filterColumn>
    <filterColumn colId="23">
      <filters>
        <filter val="Thi trên máy tính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EABC-F11A-4E2C-9BAE-095EE118323C}">
  <sheetPr>
    <tabColor rgb="FFFFFF00"/>
  </sheetPr>
  <dimension ref="A1:L75"/>
  <sheetViews>
    <sheetView workbookViewId="0">
      <selection activeCell="A21" sqref="A21"/>
    </sheetView>
  </sheetViews>
  <sheetFormatPr defaultColWidth="8.85546875" defaultRowHeight="12.75"/>
  <cols>
    <col min="1" max="1" width="5.42578125" style="174" customWidth="1"/>
    <col min="2" max="2" width="14.85546875" customWidth="1"/>
    <col min="3" max="3" width="30" customWidth="1"/>
    <col min="4" max="4" width="8.85546875" style="174"/>
    <col min="6" max="6" width="13.42578125" customWidth="1"/>
    <col min="10" max="10" width="70.42578125" customWidth="1"/>
    <col min="11" max="11" width="25.42578125" customWidth="1"/>
    <col min="12" max="12" width="12.140625" style="174" customWidth="1"/>
  </cols>
  <sheetData>
    <row r="1" spans="1:12" ht="16.5">
      <c r="A1" s="136" t="s">
        <v>8</v>
      </c>
      <c r="B1" s="160" t="s">
        <v>146</v>
      </c>
      <c r="C1" s="161" t="s">
        <v>147</v>
      </c>
      <c r="D1" s="162" t="s">
        <v>151</v>
      </c>
      <c r="E1" s="163" t="s">
        <v>152</v>
      </c>
      <c r="F1" s="164" t="s">
        <v>153</v>
      </c>
      <c r="G1" s="163" t="s">
        <v>5230</v>
      </c>
      <c r="H1" s="163" t="s">
        <v>5231</v>
      </c>
      <c r="I1" s="165" t="s">
        <v>5232</v>
      </c>
      <c r="J1" s="166" t="s">
        <v>5233</v>
      </c>
      <c r="K1" s="166" t="s">
        <v>5234</v>
      </c>
      <c r="L1" s="167" t="s">
        <v>5235</v>
      </c>
    </row>
    <row r="2" spans="1:12" s="233" customFormat="1" ht="15">
      <c r="A2" s="224">
        <v>2</v>
      </c>
      <c r="B2" s="225" t="s">
        <v>92</v>
      </c>
      <c r="C2" s="226" t="str">
        <f>INDEX(tbl_Lichthi[],MATCH(B2,tbl_Lichthi[Mã học phần],0),MATCH(LichThiTheoHocPhan!$C$1,tbl_Lichthi[#Headers],0))</f>
        <v>Công nghệ Web và dịch vụ trực tuyến</v>
      </c>
      <c r="D2" s="227" t="str">
        <f>INDEX(tbl_Lichthi[],MATCH(B2,tbl_Lichthi[Mã học phần],0),MATCH(tbl_LichthiHP[[#Headers],[Tuần]],tbl_Lichthi[#Headers],0))</f>
        <v>T20</v>
      </c>
      <c r="E2" s="226" t="str">
        <f>INDEX(tbl_Lichthi[],MATCH(B2,tbl_Lichthi[Mã học phần],0),MATCH(tbl_LichthiHP[[#Headers],[Thứ ]],tbl_Lichthi[#Headers],0))</f>
        <v>Thứ hai</v>
      </c>
      <c r="F2" s="228">
        <f>INDEX(tbl_Lichthi[],MATCH(B2,tbl_Lichthi[Mã học phần],0),MATCH(tbl_LichthiHP[[#Headers],[Ngày thi]],tbl_Lichthi[#Headers],0))</f>
        <v>46041</v>
      </c>
      <c r="G2" s="226" t="str">
        <f>VLOOKUP(B2,'CNTT26.12-Chung'!$D:$M,9,FALSE)</f>
        <v>Kíp 1</v>
      </c>
      <c r="H2" s="226" t="s">
        <v>475</v>
      </c>
      <c r="I2" s="229">
        <f>SUMIF('CNTT26.12-Chung'!D:D,LichThiTheoHocPhan!$B2,'CNTT26.12-Chung'!M:M)</f>
        <v>663</v>
      </c>
      <c r="J2" s="230" t="s">
        <v>5236</v>
      </c>
      <c r="K2" s="231" t="s">
        <v>4048</v>
      </c>
      <c r="L2" s="232" t="s">
        <v>5237</v>
      </c>
    </row>
    <row r="3" spans="1:12" s="233" customFormat="1" ht="15">
      <c r="A3" s="224">
        <v>3</v>
      </c>
      <c r="B3" s="225" t="s">
        <v>88</v>
      </c>
      <c r="C3" s="226" t="str">
        <f>INDEX(tbl_Lichthi[],MATCH(B3,tbl_Lichthi[Mã học phần],0),MATCH(LichThiTheoHocPhan!$C$1,tbl_Lichthi[#Headers],0))</f>
        <v>Kỹ thuật phần mềm</v>
      </c>
      <c r="D3" s="227" t="str">
        <f>INDEX(tbl_Lichthi[],MATCH(B3,tbl_Lichthi[Mã học phần],0),MATCH(tbl_LichthiHP[[#Headers],[Tuần]],tbl_Lichthi[#Headers],0))</f>
        <v>T20</v>
      </c>
      <c r="E3" s="226" t="str">
        <f>INDEX(tbl_Lichthi[],MATCH(B3,tbl_Lichthi[Mã học phần],0),MATCH(tbl_LichthiHP[[#Headers],[Thứ ]],tbl_Lichthi[#Headers],0))</f>
        <v xml:space="preserve">Thứ hai </v>
      </c>
      <c r="F3" s="228">
        <f>INDEX(tbl_Lichthi[],MATCH(B3,tbl_Lichthi[Mã học phần],0),MATCH(tbl_LichthiHP[[#Headers],[Ngày thi]],tbl_Lichthi[#Headers],0))</f>
        <v>46041</v>
      </c>
      <c r="G3" s="226" t="str">
        <f>VLOOKUP(B3,'CNTT26.12-Chung'!$D:$M,9,FALSE)</f>
        <v>Kíp 3</v>
      </c>
      <c r="H3" s="226"/>
      <c r="I3" s="229">
        <f>SUMIF('CNTT26.12-Chung'!D:D,LichThiTheoHocPhan!$B3,'CNTT26.12-Chung'!M:M)</f>
        <v>226</v>
      </c>
      <c r="J3" s="234" t="s">
        <v>5238</v>
      </c>
      <c r="K3" s="231"/>
      <c r="L3" s="232"/>
    </row>
    <row r="4" spans="1:12" s="233" customFormat="1" ht="15">
      <c r="A4" s="224">
        <v>4</v>
      </c>
      <c r="B4" s="225" t="s">
        <v>114</v>
      </c>
      <c r="C4" s="226" t="str">
        <f>INDEX(tbl_Lichthi[],MATCH(B4,tbl_Lichthi[Mã học phần],0),MATCH(LichThiTheoHocPhan!$C$1,tbl_Lichthi[#Headers],0))</f>
        <v>Software Engineering</v>
      </c>
      <c r="D4" s="227" t="str">
        <f>INDEX(tbl_Lichthi[],MATCH(B4,tbl_Lichthi[Mã học phần],0),MATCH(tbl_LichthiHP[[#Headers],[Tuần]],tbl_Lichthi[#Headers],0))</f>
        <v>T20</v>
      </c>
      <c r="E4" s="226" t="str">
        <f>INDEX(tbl_Lichthi[],MATCH(B4,tbl_Lichthi[Mã học phần],0),MATCH(tbl_LichthiHP[[#Headers],[Thứ ]],tbl_Lichthi[#Headers],0))</f>
        <v xml:space="preserve">Thứ hai </v>
      </c>
      <c r="F4" s="228">
        <f>INDEX(tbl_Lichthi[],MATCH(B4,tbl_Lichthi[Mã học phần],0),MATCH(tbl_LichthiHP[[#Headers],[Ngày thi]],tbl_Lichthi[#Headers],0))</f>
        <v>46041</v>
      </c>
      <c r="G4" s="226" t="str">
        <f>VLOOKUP(B4,'CNTT26.12-Chung'!$D:$M,9,FALSE)</f>
        <v>Kíp 3</v>
      </c>
      <c r="H4" s="226"/>
      <c r="I4" s="229">
        <f>SUMIF('CNTT26.12-Chung'!D:D,LichThiTheoHocPhan!$B4,'CNTT26.12-Chung'!M:M)</f>
        <v>109</v>
      </c>
      <c r="J4" s="234" t="s">
        <v>5238</v>
      </c>
      <c r="K4" s="231"/>
      <c r="L4" s="232"/>
    </row>
    <row r="5" spans="1:12" s="233" customFormat="1" ht="15">
      <c r="A5" s="224">
        <v>1</v>
      </c>
      <c r="B5" s="225" t="s">
        <v>266</v>
      </c>
      <c r="C5" s="226" t="str">
        <f>INDEX(tbl_Lichthi[],MATCH(B5,tbl_Lichthi[Mã học phần],0),MATCH(LichThiTheoHocPhan!$C$1,tbl_Lichthi[#Headers],0))</f>
        <v>Nhập môn công nghệ phần mềm</v>
      </c>
      <c r="D5" s="227" t="str">
        <f>INDEX(tbl_Lichthi[],MATCH(B5,tbl_Lichthi[Mã học phần],0),MATCH(tbl_LichthiHP[[#Headers],[Tuần]],tbl_Lichthi[#Headers],0))</f>
        <v>T20</v>
      </c>
      <c r="E5" s="226" t="str">
        <f>INDEX(tbl_Lichthi[],MATCH(B5,tbl_Lichthi[Mã học phần],0),MATCH(tbl_LichthiHP[[#Headers],[Thứ ]],tbl_Lichthi[#Headers],0))</f>
        <v>Thứ hai</v>
      </c>
      <c r="F5" s="228">
        <f>INDEX(tbl_Lichthi[],MATCH(B5,tbl_Lichthi[Mã học phần],0),MATCH(tbl_LichthiHP[[#Headers],[Ngày thi]],tbl_Lichthi[#Headers],0))</f>
        <v>46041</v>
      </c>
      <c r="G5" s="226" t="str">
        <f>VLOOKUP(B5,'CNTT26.12-Chung'!$D:$M,9,FALSE)</f>
        <v>Kíp 5</v>
      </c>
      <c r="H5" s="226" t="s">
        <v>15</v>
      </c>
      <c r="I5" s="229">
        <f>SUMIF('CNTT26.12-Chung'!D:D,LichThiTheoHocPhan!$B5,'CNTT26.12-Chung'!M:M)</f>
        <v>508</v>
      </c>
      <c r="J5" s="230" t="s">
        <v>5239</v>
      </c>
      <c r="K5" s="231" t="s">
        <v>4330</v>
      </c>
      <c r="L5" s="232" t="s">
        <v>5237</v>
      </c>
    </row>
    <row r="6" spans="1:12" s="214" customFormat="1" ht="15">
      <c r="A6" s="205">
        <v>6</v>
      </c>
      <c r="B6" s="206" t="s">
        <v>103</v>
      </c>
      <c r="C6" s="207" t="str">
        <f>INDEX(tbl_Lichthi[],MATCH(B6,tbl_Lichthi[Mã học phần],0),MATCH(LichThiTheoHocPhan!$C$1,tbl_Lichthi[#Headers],0))</f>
        <v>Nhập môn Khoa học dữ liệu</v>
      </c>
      <c r="D6" s="208" t="str">
        <f>INDEX(tbl_Lichthi[],MATCH(B6,tbl_Lichthi[Mã học phần],0),MATCH(tbl_LichthiHP[[#Headers],[Tuần]],tbl_Lichthi[#Headers],0))</f>
        <v>T20</v>
      </c>
      <c r="E6" s="207" t="str">
        <f>INDEX(tbl_Lichthi[],MATCH(B6,tbl_Lichthi[Mã học phần],0),MATCH(tbl_LichthiHP[[#Headers],[Thứ ]],tbl_Lichthi[#Headers],0))</f>
        <v>Thứ ba</v>
      </c>
      <c r="F6" s="209">
        <f>INDEX(tbl_Lichthi[],MATCH(B6,tbl_Lichthi[Mã học phần],0),MATCH(tbl_LichthiHP[[#Headers],[Ngày thi]],tbl_Lichthi[#Headers],0))</f>
        <v>46042</v>
      </c>
      <c r="G6" s="207" t="str">
        <f>VLOOKUP(B6,'CNTT26.12-Chung'!$D:$M,9,FALSE)</f>
        <v>Kíp 2</v>
      </c>
      <c r="H6" s="207"/>
      <c r="I6" s="210">
        <f>SUMIF('CNTT26.12-Chung'!D:D,LichThiTheoHocPhan!$B6,'CNTT26.12-Chung'!M:M)</f>
        <v>144</v>
      </c>
      <c r="J6" s="211" t="s">
        <v>5240</v>
      </c>
      <c r="K6" s="212" t="s">
        <v>933</v>
      </c>
      <c r="L6" s="213" t="s">
        <v>5237</v>
      </c>
    </row>
    <row r="7" spans="1:12" ht="15">
      <c r="A7" s="135">
        <v>8</v>
      </c>
      <c r="B7" s="168" t="s">
        <v>63</v>
      </c>
      <c r="C7" s="169" t="str">
        <f>INDEX(tbl_Lichthi[],MATCH(B7,tbl_Lichthi[Mã học phần],0),MATCH(LichThiTheoHocPhan!$C$1,tbl_Lichthi[#Headers],0))</f>
        <v>Lập trình C cơ bản</v>
      </c>
      <c r="D7" s="170" t="str">
        <f>INDEX(tbl_Lichthi[],MATCH(B7,tbl_Lichthi[Mã học phần],0),MATCH(tbl_LichthiHP[[#Headers],[Tuần]],tbl_Lichthi[#Headers],0))</f>
        <v>T20</v>
      </c>
      <c r="E7" s="169" t="str">
        <f>INDEX(tbl_Lichthi[],MATCH(B7,tbl_Lichthi[Mã học phần],0),MATCH(tbl_LichthiHP[[#Headers],[Thứ ]],tbl_Lichthi[#Headers],0))</f>
        <v xml:space="preserve">Thứ ba </v>
      </c>
      <c r="F7" s="171">
        <f>INDEX(tbl_Lichthi[],MATCH(B7,tbl_Lichthi[Mã học phần],0),MATCH(tbl_LichthiHP[[#Headers],[Ngày thi]],tbl_Lichthi[#Headers],0))</f>
        <v>46042</v>
      </c>
      <c r="G7" s="169" t="str">
        <f>VLOOKUP(B7,'CNTT26.12-Chung'!$D:$M,9,FALSE)</f>
        <v>Kíp 3,4</v>
      </c>
      <c r="H7" s="169"/>
      <c r="I7" s="172">
        <f>SUMIF('CNTT26.12-Chung'!D:D,LichThiTheoHocPhan!$B7,'CNTT26.12-Chung'!M:M)</f>
        <v>399</v>
      </c>
      <c r="J7" s="159"/>
      <c r="K7" s="173"/>
    </row>
    <row r="8" spans="1:12" s="233" customFormat="1" ht="15">
      <c r="A8" s="224">
        <v>5</v>
      </c>
      <c r="B8" s="225" t="s">
        <v>94</v>
      </c>
      <c r="C8" s="226" t="str">
        <f>INDEX(tbl_Lichthi[],MATCH(B8,tbl_Lichthi[Mã học phần],0),MATCH(LichThiTheoHocPhan!$C$1,tbl_Lichthi[#Headers],0))</f>
        <v>Giao diện và trải nghiệm người dùng</v>
      </c>
      <c r="D8" s="227" t="str">
        <f>INDEX(tbl_Lichthi[],MATCH(B8,tbl_Lichthi[Mã học phần],0),MATCH(tbl_LichthiHP[[#Headers],[Tuần]],tbl_Lichthi[#Headers],0))</f>
        <v>T20</v>
      </c>
      <c r="E8" s="226" t="str">
        <f>INDEX(tbl_Lichthi[],MATCH(B8,tbl_Lichthi[Mã học phần],0),MATCH(tbl_LichthiHP[[#Headers],[Thứ ]],tbl_Lichthi[#Headers],0))</f>
        <v>Thứ ba</v>
      </c>
      <c r="F8" s="228">
        <f>INDEX(tbl_Lichthi[],MATCH(B8,tbl_Lichthi[Mã học phần],0),MATCH(tbl_LichthiHP[[#Headers],[Ngày thi]],tbl_Lichthi[#Headers],0))</f>
        <v>46042</v>
      </c>
      <c r="G8" s="226" t="str">
        <f>VLOOKUP(B8,'CNTT26.12-Chung'!$D:$M,9,FALSE)</f>
        <v>Kíp 5</v>
      </c>
      <c r="H8" s="226"/>
      <c r="I8" s="229">
        <f>SUMIF('CNTT26.12-Chung'!D:D,LichThiTheoHocPhan!$B8,'CNTT26.12-Chung'!M:M)</f>
        <v>47</v>
      </c>
      <c r="J8" s="230" t="s">
        <v>5241</v>
      </c>
      <c r="K8" s="231" t="s">
        <v>4661</v>
      </c>
      <c r="L8" s="232" t="s">
        <v>5237</v>
      </c>
    </row>
    <row r="9" spans="1:12" s="233" customFormat="1" ht="15">
      <c r="A9" s="224">
        <v>7</v>
      </c>
      <c r="B9" s="225" t="s">
        <v>118</v>
      </c>
      <c r="C9" s="226" t="str">
        <f>INDEX(tbl_Lichthi[],MATCH(B9,tbl_Lichthi[Mã học phần],0),MATCH(LichThiTheoHocPhan!$C$1,tbl_Lichthi[#Headers],0))</f>
        <v>User Interface and User Experience</v>
      </c>
      <c r="D9" s="227" t="str">
        <f>INDEX(tbl_Lichthi[],MATCH(B9,tbl_Lichthi[Mã học phần],0),MATCH(tbl_LichthiHP[[#Headers],[Tuần]],tbl_Lichthi[#Headers],0))</f>
        <v>T20</v>
      </c>
      <c r="E9" s="226" t="str">
        <f>INDEX(tbl_Lichthi[],MATCH(B9,tbl_Lichthi[Mã học phần],0),MATCH(tbl_LichthiHP[[#Headers],[Thứ ]],tbl_Lichthi[#Headers],0))</f>
        <v>Thứ ba</v>
      </c>
      <c r="F9" s="228">
        <f>INDEX(tbl_Lichthi[],MATCH(B9,tbl_Lichthi[Mã học phần],0),MATCH(tbl_LichthiHP[[#Headers],[Ngày thi]],tbl_Lichthi[#Headers],0))</f>
        <v>46042</v>
      </c>
      <c r="G9" s="226" t="str">
        <f>VLOOKUP(B9,'CNTT26.12-Chung'!$D:$M,9,FALSE)</f>
        <v>Kíp 5</v>
      </c>
      <c r="H9" s="226"/>
      <c r="I9" s="229">
        <f>SUMIF('CNTT26.12-Chung'!D:D,LichThiTheoHocPhan!$B9,'CNTT26.12-Chung'!M:M)</f>
        <v>89</v>
      </c>
      <c r="J9" s="230" t="s">
        <v>5242</v>
      </c>
      <c r="K9" s="231"/>
      <c r="L9" s="232"/>
    </row>
    <row r="10" spans="1:12" s="233" customFormat="1" ht="15">
      <c r="A10" s="224">
        <v>10</v>
      </c>
      <c r="B10" s="225" t="s">
        <v>230</v>
      </c>
      <c r="C10" s="226" t="str">
        <f>INDEX(tbl_Lichthi[],MATCH(B10,tbl_Lichthi[Mã học phần],0),MATCH(LichThiTheoHocPhan!$C$1,tbl_Lichthi[#Headers],0))</f>
        <v>Kiến trúc máy tính</v>
      </c>
      <c r="D10" s="227" t="str">
        <f>INDEX(tbl_Lichthi[],MATCH(B10,tbl_Lichthi[Mã học phần],0),MATCH(tbl_LichthiHP[[#Headers],[Tuần]],tbl_Lichthi[#Headers],0))</f>
        <v>T20</v>
      </c>
      <c r="E10" s="226" t="str">
        <f>INDEX(tbl_Lichthi[],MATCH(B10,tbl_Lichthi[Mã học phần],0),MATCH(tbl_LichthiHP[[#Headers],[Thứ ]],tbl_Lichthi[#Headers],0))</f>
        <v>Thứ tư</v>
      </c>
      <c r="F10" s="228">
        <f>INDEX(tbl_Lichthi[],MATCH(B10,tbl_Lichthi[Mã học phần],0),MATCH(tbl_LichthiHP[[#Headers],[Ngày thi]],tbl_Lichthi[#Headers],0))</f>
        <v>46043</v>
      </c>
      <c r="G10" s="226" t="str">
        <f>VLOOKUP(B10,'CNTT26.12-Chung'!$D:$M,9,FALSE)</f>
        <v>Kíp 2</v>
      </c>
      <c r="H10" s="226" t="s">
        <v>12</v>
      </c>
      <c r="I10" s="229">
        <f>SUMIF('CNTT26.12-Chung'!D:D,LichThiTheoHocPhan!$B10,'CNTT26.12-Chung'!M:M)</f>
        <v>214</v>
      </c>
      <c r="J10" s="230" t="s">
        <v>5243</v>
      </c>
      <c r="K10" s="231" t="s">
        <v>2886</v>
      </c>
      <c r="L10" s="232" t="s">
        <v>5237</v>
      </c>
    </row>
    <row r="11" spans="1:12" s="233" customFormat="1" ht="15">
      <c r="A11" s="224">
        <v>12</v>
      </c>
      <c r="B11" s="225" t="s">
        <v>501</v>
      </c>
      <c r="C11" s="226" t="str">
        <f>INDEX(tbl_Lichthi[],MATCH(B11,tbl_Lichthi[Mã học phần],0),MATCH(LichThiTheoHocPhan!$C$1,tbl_Lichthi[#Headers],0))</f>
        <v>Computer Architecture</v>
      </c>
      <c r="D11" s="227" t="str">
        <f>INDEX(tbl_Lichthi[],MATCH(B11,tbl_Lichthi[Mã học phần],0),MATCH(tbl_LichthiHP[[#Headers],[Tuần]],tbl_Lichthi[#Headers],0))</f>
        <v>T20</v>
      </c>
      <c r="E11" s="226" t="str">
        <f>INDEX(tbl_Lichthi[],MATCH(B11,tbl_Lichthi[Mã học phần],0),MATCH(tbl_LichthiHP[[#Headers],[Thứ ]],tbl_Lichthi[#Headers],0))</f>
        <v>Thứ tư</v>
      </c>
      <c r="F11" s="228">
        <f>INDEX(tbl_Lichthi[],MATCH(B11,tbl_Lichthi[Mã học phần],0),MATCH(tbl_LichthiHP[[#Headers],[Ngày thi]],tbl_Lichthi[#Headers],0))</f>
        <v>46043</v>
      </c>
      <c r="G11" s="226" t="str">
        <f>VLOOKUP(B11,'CNTT26.12-Chung'!$D:$M,9,FALSE)</f>
        <v>Kíp 4</v>
      </c>
      <c r="H11" s="226"/>
      <c r="I11" s="229">
        <f>SUMIF('CNTT26.12-Chung'!D:D,LichThiTheoHocPhan!$B11,'CNTT26.12-Chung'!M:M)</f>
        <v>154</v>
      </c>
      <c r="J11" s="230" t="s">
        <v>5244</v>
      </c>
      <c r="K11" s="231" t="s">
        <v>3801</v>
      </c>
      <c r="L11" s="232" t="s">
        <v>5237</v>
      </c>
    </row>
    <row r="12" spans="1:12" s="233" customFormat="1" ht="15">
      <c r="A12" s="224">
        <v>9</v>
      </c>
      <c r="B12" s="243" t="s">
        <v>225</v>
      </c>
      <c r="C12" s="226" t="str">
        <f>INDEX(tbl_Lichthi[],MATCH(B12,tbl_Lichthi[Mã học phần],0),MATCH(LichThiTheoHocPhan!$C$1,tbl_Lichthi[#Headers],0))</f>
        <v>Kiến trúc máy tính</v>
      </c>
      <c r="D12" s="227" t="str">
        <f>INDEX(tbl_Lichthi[],MATCH(B12,tbl_Lichthi[Mã học phần],0),MATCH(tbl_LichthiHP[[#Headers],[Tuần]],tbl_Lichthi[#Headers],0))</f>
        <v>T20</v>
      </c>
      <c r="E12" s="226" t="str">
        <f>INDEX(tbl_Lichthi[],MATCH(B12,tbl_Lichthi[Mã học phần],0),MATCH(tbl_LichthiHP[[#Headers],[Thứ ]],tbl_Lichthi[#Headers],0))</f>
        <v>Thứ tư</v>
      </c>
      <c r="F12" s="228">
        <f>INDEX(tbl_Lichthi[],MATCH(B12,tbl_Lichthi[Mã học phần],0),MATCH(tbl_LichthiHP[[#Headers],[Ngày thi]],tbl_Lichthi[#Headers],0))</f>
        <v>46043</v>
      </c>
      <c r="G12" s="226" t="str">
        <f>VLOOKUP(B12,'CNTT26.12-Chung'!$D:$M,9,FALSE)</f>
        <v>Kíp 5</v>
      </c>
      <c r="H12" s="244"/>
      <c r="I12" s="229">
        <f>SUMIF('CNTT26.12-Chung'!D:D,LichThiTheoHocPhan!$B12,'CNTT26.12-Chung'!M:M)</f>
        <v>648</v>
      </c>
      <c r="J12" s="230" t="s">
        <v>5245</v>
      </c>
      <c r="K12" s="231" t="s">
        <v>2886</v>
      </c>
      <c r="L12" s="232" t="s">
        <v>5237</v>
      </c>
    </row>
    <row r="13" spans="1:12" s="233" customFormat="1" ht="15">
      <c r="A13" s="224">
        <v>11</v>
      </c>
      <c r="B13" s="243" t="s">
        <v>233</v>
      </c>
      <c r="C13" s="226" t="str">
        <f>INDEX(tbl_Lichthi[],MATCH(B13,tbl_Lichthi[Mã học phần],0),MATCH(LichThiTheoHocPhan!$C$1,tbl_Lichthi[#Headers],0))</f>
        <v>Kiến trúc máy tính</v>
      </c>
      <c r="D13" s="227" t="str">
        <f>INDEX(tbl_Lichthi[],MATCH(B13,tbl_Lichthi[Mã học phần],0),MATCH(tbl_LichthiHP[[#Headers],[Tuần]],tbl_Lichthi[#Headers],0))</f>
        <v>T20</v>
      </c>
      <c r="E13" s="226" t="str">
        <f>INDEX(tbl_Lichthi[],MATCH(B13,tbl_Lichthi[Mã học phần],0),MATCH(tbl_LichthiHP[[#Headers],[Thứ ]],tbl_Lichthi[#Headers],0))</f>
        <v>Thứ tư</v>
      </c>
      <c r="F13" s="228">
        <f>INDEX(tbl_Lichthi[],MATCH(B13,tbl_Lichthi[Mã học phần],0),MATCH(tbl_LichthiHP[[#Headers],[Ngày thi]],tbl_Lichthi[#Headers],0))</f>
        <v>46043</v>
      </c>
      <c r="G13" s="226" t="str">
        <f>VLOOKUP(B13,'CNTT26.12-Chung'!$D:$M,9,FALSE)</f>
        <v>Kíp 5</v>
      </c>
      <c r="H13" s="244"/>
      <c r="I13" s="229">
        <f>SUMIF('CNTT26.12-Chung'!D:D,LichThiTheoHocPhan!$B13,'CNTT26.12-Chung'!M:M)</f>
        <v>21</v>
      </c>
      <c r="J13" s="230" t="s">
        <v>5246</v>
      </c>
      <c r="K13" s="231" t="s">
        <v>2886</v>
      </c>
      <c r="L13" s="232" t="s">
        <v>5237</v>
      </c>
    </row>
    <row r="14" spans="1:12" s="233" customFormat="1" ht="15">
      <c r="A14" s="224">
        <v>15</v>
      </c>
      <c r="B14" s="225" t="s">
        <v>328</v>
      </c>
      <c r="C14" s="226" t="str">
        <f>INDEX(tbl_Lichthi[],MATCH(B14,tbl_Lichthi[Mã học phần],0),MATCH(LichThiTheoHocPhan!$C$1,tbl_Lichthi[#Headers],0))</f>
        <v>Xử lý ngôn ngữ tự nhiên</v>
      </c>
      <c r="D14" s="227" t="str">
        <f>INDEX(tbl_Lichthi[],MATCH(B14,tbl_Lichthi[Mã học phần],0),MATCH(tbl_LichthiHP[[#Headers],[Tuần]],tbl_Lichthi[#Headers],0))</f>
        <v>T20</v>
      </c>
      <c r="E14" s="226" t="str">
        <f>INDEX(tbl_Lichthi[],MATCH(B14,tbl_Lichthi[Mã học phần],0),MATCH(tbl_LichthiHP[[#Headers],[Thứ ]],tbl_Lichthi[#Headers],0))</f>
        <v>Thứ năm</v>
      </c>
      <c r="F14" s="228">
        <f>INDEX(tbl_Lichthi[],MATCH(B14,tbl_Lichthi[Mã học phần],0),MATCH(tbl_LichthiHP[[#Headers],[Ngày thi]],tbl_Lichthi[#Headers],0))</f>
        <v>46044</v>
      </c>
      <c r="G14" s="226" t="str">
        <f>VLOOKUP(B14,'CNTT26.12-Chung'!$D:$M,9,FALSE)</f>
        <v>Kíp 1</v>
      </c>
      <c r="H14" s="226"/>
      <c r="I14" s="229">
        <f>SUMIF('CNTT26.12-Chung'!D:D,LichThiTheoHocPhan!$B14,'CNTT26.12-Chung'!M:M)</f>
        <v>29</v>
      </c>
      <c r="J14" s="230" t="s">
        <v>5247</v>
      </c>
      <c r="K14" s="231" t="s">
        <v>1165</v>
      </c>
      <c r="L14" s="232" t="s">
        <v>5237</v>
      </c>
    </row>
    <row r="15" spans="1:12" s="233" customFormat="1" ht="15">
      <c r="A15" s="224">
        <v>13</v>
      </c>
      <c r="B15" s="225" t="s">
        <v>69</v>
      </c>
      <c r="C15" s="226" t="str">
        <f>INDEX(tbl_Lichthi[],MATCH(B15,tbl_Lichthi[Mã học phần],0),MATCH(LichThiTheoHocPhan!$C$1,tbl_Lichthi[#Headers],0))</f>
        <v>Big Data Storage and Processing</v>
      </c>
      <c r="D15" s="227" t="str">
        <f>INDEX(tbl_Lichthi[],MATCH(B15,tbl_Lichthi[Mã học phần],0),MATCH(tbl_LichthiHP[[#Headers],[Tuần]],tbl_Lichthi[#Headers],0))</f>
        <v>T20</v>
      </c>
      <c r="E15" s="226" t="str">
        <f>INDEX(tbl_Lichthi[],MATCH(B15,tbl_Lichthi[Mã học phần],0),MATCH(tbl_LichthiHP[[#Headers],[Thứ ]],tbl_Lichthi[#Headers],0))</f>
        <v>Thứ năm</v>
      </c>
      <c r="F15" s="228">
        <f>INDEX(tbl_Lichthi[],MATCH(B15,tbl_Lichthi[Mã học phần],0),MATCH(tbl_LichthiHP[[#Headers],[Ngày thi]],tbl_Lichthi[#Headers],0))</f>
        <v>46044</v>
      </c>
      <c r="G15" s="226" t="str">
        <f>VLOOKUP(B15,'CNTT26.12-Chung'!$D:$M,9,FALSE)</f>
        <v>Kíp 4</v>
      </c>
      <c r="H15" s="226"/>
      <c r="I15" s="229">
        <f>SUMIF('CNTT26.12-Chung'!D:D,LichThiTheoHocPhan!$B15,'CNTT26.12-Chung'!M:M)</f>
        <v>126</v>
      </c>
      <c r="J15" s="230" t="s">
        <v>5248</v>
      </c>
      <c r="K15" s="231" t="s">
        <v>4906</v>
      </c>
      <c r="L15" s="232" t="s">
        <v>5237</v>
      </c>
    </row>
    <row r="16" spans="1:12" s="233" customFormat="1" ht="15">
      <c r="A16" s="224">
        <v>14</v>
      </c>
      <c r="B16" s="225" t="s">
        <v>68</v>
      </c>
      <c r="C16" s="226" t="str">
        <f>INDEX(tbl_Lichthi[],MATCH(B16,tbl_Lichthi[Mã học phần],0),MATCH(LichThiTheoHocPhan!$C$1,tbl_Lichthi[#Headers],0))</f>
        <v>Xử lý tín hiệu</v>
      </c>
      <c r="D16" s="227" t="str">
        <f>INDEX(tbl_Lichthi[],MATCH(B16,tbl_Lichthi[Mã học phần],0),MATCH(tbl_LichthiHP[[#Headers],[Tuần]],tbl_Lichthi[#Headers],0))</f>
        <v>T20</v>
      </c>
      <c r="E16" s="226" t="str">
        <f>INDEX(tbl_Lichthi[],MATCH(B16,tbl_Lichthi[Mã học phần],0),MATCH(tbl_LichthiHP[[#Headers],[Thứ ]],tbl_Lichthi[#Headers],0))</f>
        <v>Thứ năm</v>
      </c>
      <c r="F16" s="228">
        <f>INDEX(tbl_Lichthi[],MATCH(B16,tbl_Lichthi[Mã học phần],0),MATCH(tbl_LichthiHP[[#Headers],[Ngày thi]],tbl_Lichthi[#Headers],0))</f>
        <v>46044</v>
      </c>
      <c r="G16" s="226" t="str">
        <f>VLOOKUP(B16,'CNTT26.12-Chung'!$D:$M,9,FALSE)</f>
        <v>Kíp 5</v>
      </c>
      <c r="H16" s="226" t="s">
        <v>13</v>
      </c>
      <c r="I16" s="229">
        <f>SUMIF('CNTT26.12-Chung'!D:D,LichThiTheoHocPhan!$B16,'CNTT26.12-Chung'!M:M)</f>
        <v>606</v>
      </c>
      <c r="J16" s="230" t="s">
        <v>5249</v>
      </c>
      <c r="K16" s="231" t="s">
        <v>3496</v>
      </c>
      <c r="L16" s="232" t="s">
        <v>5237</v>
      </c>
    </row>
    <row r="17" spans="1:12" s="233" customFormat="1" ht="15">
      <c r="A17" s="224">
        <v>16</v>
      </c>
      <c r="B17" s="225" t="s">
        <v>70</v>
      </c>
      <c r="C17" s="226" t="str">
        <f>INDEX(tbl_Lichthi[],MATCH(B17,tbl_Lichthi[Mã học phần],0),MATCH(LichThiTheoHocPhan!$C$1,tbl_Lichthi[#Headers],0))</f>
        <v>Phân tích thiết kế hệ thống</v>
      </c>
      <c r="D17" s="227" t="str">
        <f>INDEX(tbl_Lichthi[],MATCH(B17,tbl_Lichthi[Mã học phần],0),MATCH(tbl_LichthiHP[[#Headers],[Tuần]],tbl_Lichthi[#Headers],0))</f>
        <v>T20</v>
      </c>
      <c r="E17" s="226" t="str">
        <f>INDEX(tbl_Lichthi[],MATCH(B17,tbl_Lichthi[Mã học phần],0),MATCH(tbl_LichthiHP[[#Headers],[Thứ ]],tbl_Lichthi[#Headers],0))</f>
        <v>Thứ sáu</v>
      </c>
      <c r="F17" s="228">
        <f>INDEX(tbl_Lichthi[],MATCH(B17,tbl_Lichthi[Mã học phần],0),MATCH(tbl_LichthiHP[[#Headers],[Ngày thi]],tbl_Lichthi[#Headers],0))</f>
        <v>46045</v>
      </c>
      <c r="G17" s="226" t="str">
        <f>VLOOKUP(B17,'CNTT26.12-Chung'!$D:$M,9,FALSE)</f>
        <v>Kíp 1</v>
      </c>
      <c r="H17" s="226"/>
      <c r="I17" s="229">
        <f>SUMIF('CNTT26.12-Chung'!D:D,LichThiTheoHocPhan!$B17,'CNTT26.12-Chung'!M:M)</f>
        <v>171</v>
      </c>
      <c r="J17" s="230" t="s">
        <v>5250</v>
      </c>
      <c r="K17" s="231" t="s">
        <v>3322</v>
      </c>
      <c r="L17" s="232" t="s">
        <v>5237</v>
      </c>
    </row>
    <row r="18" spans="1:12" s="233" customFormat="1" ht="15">
      <c r="A18" s="224">
        <v>19</v>
      </c>
      <c r="B18" s="225" t="s">
        <v>135</v>
      </c>
      <c r="C18" s="226" t="str">
        <f>INDEX(tbl_Lichthi[],MATCH(B18,tbl_Lichthi[Mã học phần],0),MATCH(LichThiTheoHocPhan!$C$1,tbl_Lichthi[#Headers],0))</f>
        <v>Quản trị dữ liệu và trực quan hóa</v>
      </c>
      <c r="D18" s="227" t="str">
        <f>INDEX(tbl_Lichthi[],MATCH(B18,tbl_Lichthi[Mã học phần],0),MATCH(tbl_LichthiHP[[#Headers],[Tuần]],tbl_Lichthi[#Headers],0))</f>
        <v>T20</v>
      </c>
      <c r="E18" s="226" t="str">
        <f>INDEX(tbl_Lichthi[],MATCH(B18,tbl_Lichthi[Mã học phần],0),MATCH(tbl_LichthiHP[[#Headers],[Thứ ]],tbl_Lichthi[#Headers],0))</f>
        <v>Thứ sáu</v>
      </c>
      <c r="F18" s="228">
        <f>INDEX(tbl_Lichthi[],MATCH(B18,tbl_Lichthi[Mã học phần],0),MATCH(tbl_LichthiHP[[#Headers],[Ngày thi]],tbl_Lichthi[#Headers],0))</f>
        <v>46045</v>
      </c>
      <c r="G18" s="226" t="str">
        <f>VLOOKUP(B18,'CNTT26.12-Chung'!$D:$M,9,FALSE)</f>
        <v>Kíp 3</v>
      </c>
      <c r="H18" s="226"/>
      <c r="I18" s="229">
        <f>SUMIF('CNTT26.12-Chung'!D:D,LichThiTheoHocPhan!$B18,'CNTT26.12-Chung'!M:M)</f>
        <v>37</v>
      </c>
      <c r="J18" s="230" t="s">
        <v>5251</v>
      </c>
      <c r="K18" s="231" t="s">
        <v>1303</v>
      </c>
      <c r="L18" s="232" t="s">
        <v>5237</v>
      </c>
    </row>
    <row r="19" spans="1:12" ht="15">
      <c r="A19" s="135">
        <v>21</v>
      </c>
      <c r="B19" s="168" t="s">
        <v>527</v>
      </c>
      <c r="C19" s="169" t="str">
        <f>INDEX(tbl_Lichthi[],MATCH(B19,tbl_Lichthi[Mã học phần],0),MATCH(LichThiTheoHocPhan!$C$1,tbl_Lichthi[#Headers],0))</f>
        <v>C Programming (Introduction)</v>
      </c>
      <c r="D19" s="170" t="str">
        <f>INDEX(tbl_Lichthi[],MATCH(B19,tbl_Lichthi[Mã học phần],0),MATCH(tbl_LichthiHP[[#Headers],[Tuần]],tbl_Lichthi[#Headers],0))</f>
        <v>T20</v>
      </c>
      <c r="E19" s="169" t="str">
        <f>INDEX(tbl_Lichthi[],MATCH(B19,tbl_Lichthi[Mã học phần],0),MATCH(tbl_LichthiHP[[#Headers],[Thứ ]],tbl_Lichthi[#Headers],0))</f>
        <v xml:space="preserve">Thứ sáu </v>
      </c>
      <c r="F19" s="171">
        <f>INDEX(tbl_Lichthi[],MATCH(B19,tbl_Lichthi[Mã học phần],0),MATCH(tbl_LichthiHP[[#Headers],[Ngày thi]],tbl_Lichthi[#Headers],0))</f>
        <v>46045</v>
      </c>
      <c r="G19" s="169" t="str">
        <f>VLOOKUP(B19,'CNTT26.12-Chung'!$D:$M,9,FALSE)</f>
        <v>Kíp 3,4</v>
      </c>
      <c r="H19" s="169"/>
      <c r="I19" s="172">
        <f>SUMIF('CNTT26.12-Chung'!D:D,LichThiTheoHocPhan!$B19,'CNTT26.12-Chung'!M:M)</f>
        <v>142</v>
      </c>
      <c r="J19" s="159"/>
      <c r="K19" s="173"/>
    </row>
    <row r="20" spans="1:12" s="233" customFormat="1" ht="15">
      <c r="A20" s="224">
        <v>17</v>
      </c>
      <c r="B20" s="225" t="s">
        <v>136</v>
      </c>
      <c r="C20" s="226" t="str">
        <f>INDEX(tbl_Lichthi[],MATCH(B20,tbl_Lichthi[Mã học phần],0),MATCH(LichThiTheoHocPhan!$C$1,tbl_Lichthi[#Headers],0))</f>
        <v>Truyền thông đa phương tiện</v>
      </c>
      <c r="D20" s="227" t="str">
        <f>INDEX(tbl_Lichthi[],MATCH(B20,tbl_Lichthi[Mã học phần],0),MATCH(tbl_LichthiHP[[#Headers],[Tuần]],tbl_Lichthi[#Headers],0))</f>
        <v>T20</v>
      </c>
      <c r="E20" s="226" t="str">
        <f>INDEX(tbl_Lichthi[],MATCH(B20,tbl_Lichthi[Mã học phần],0),MATCH(tbl_LichthiHP[[#Headers],[Thứ ]],tbl_Lichthi[#Headers],0))</f>
        <v>Thứ sáu</v>
      </c>
      <c r="F20" s="228">
        <f>INDEX(tbl_Lichthi[],MATCH(B20,tbl_Lichthi[Mã học phần],0),MATCH(tbl_LichthiHP[[#Headers],[Ngày thi]],tbl_Lichthi[#Headers],0))</f>
        <v>46045</v>
      </c>
      <c r="G20" s="226" t="str">
        <f>VLOOKUP(B20,'CNTT26.12-Chung'!$D:$M,9,FALSE)</f>
        <v>Kíp 4</v>
      </c>
      <c r="H20" s="226"/>
      <c r="I20" s="229">
        <f>SUMIF('CNTT26.12-Chung'!D:D,LichThiTheoHocPhan!$B20,'CNTT26.12-Chung'!M:M)</f>
        <v>21</v>
      </c>
      <c r="J20" s="245" t="s">
        <v>5252</v>
      </c>
      <c r="K20" s="246" t="s">
        <v>3880</v>
      </c>
      <c r="L20" s="232" t="s">
        <v>5237</v>
      </c>
    </row>
    <row r="21" spans="1:12" s="233" customFormat="1" ht="15">
      <c r="A21" s="224">
        <v>18</v>
      </c>
      <c r="B21" s="225" t="s">
        <v>71</v>
      </c>
      <c r="C21" s="226" t="str">
        <f>INDEX(tbl_Lichthi[],MATCH(B21,tbl_Lichthi[Mã học phần],0),MATCH(LichThiTheoHocPhan!$C$1,tbl_Lichthi[#Headers],0))</f>
        <v>IoT và ứng dụng</v>
      </c>
      <c r="D21" s="227" t="str">
        <f>INDEX(tbl_Lichthi[],MATCH(B21,tbl_Lichthi[Mã học phần],0),MATCH(tbl_LichthiHP[[#Headers],[Tuần]],tbl_Lichthi[#Headers],0))</f>
        <v>T20</v>
      </c>
      <c r="E21" s="226" t="str">
        <f>INDEX(tbl_Lichthi[],MATCH(B21,tbl_Lichthi[Mã học phần],0),MATCH(tbl_LichthiHP[[#Headers],[Thứ ]],tbl_Lichthi[#Headers],0))</f>
        <v>Thứ sáu</v>
      </c>
      <c r="F21" s="228">
        <f>INDEX(tbl_Lichthi[],MATCH(B21,tbl_Lichthi[Mã học phần],0),MATCH(tbl_LichthiHP[[#Headers],[Ngày thi]],tbl_Lichthi[#Headers],0))</f>
        <v>46045</v>
      </c>
      <c r="G21" s="226" t="str">
        <f>VLOOKUP(B21,'CNTT26.12-Chung'!$D:$M,9,FALSE)</f>
        <v>Kíp 5</v>
      </c>
      <c r="H21" s="226"/>
      <c r="I21" s="229">
        <f>SUMIF('CNTT26.12-Chung'!D:D,LichThiTheoHocPhan!$B21,'CNTT26.12-Chung'!M:M)</f>
        <v>343</v>
      </c>
      <c r="J21" s="230" t="s">
        <v>5253</v>
      </c>
      <c r="K21" s="231" t="s">
        <v>3511</v>
      </c>
      <c r="L21" s="232" t="s">
        <v>5237</v>
      </c>
    </row>
    <row r="22" spans="1:12" s="233" customFormat="1" ht="15">
      <c r="A22" s="224">
        <v>20</v>
      </c>
      <c r="B22" s="225" t="s">
        <v>137</v>
      </c>
      <c r="C22" s="226" t="str">
        <f>INDEX(tbl_Lichthi[],MATCH(B22,tbl_Lichthi[Mã học phần],0),MATCH(LichThiTheoHocPhan!$C$1,tbl_Lichthi[#Headers],0))</f>
        <v>IoT and Applications</v>
      </c>
      <c r="D22" s="227" t="str">
        <f>INDEX(tbl_Lichthi[],MATCH(B22,tbl_Lichthi[Mã học phần],0),MATCH(tbl_LichthiHP[[#Headers],[Tuần]],tbl_Lichthi[#Headers],0))</f>
        <v>T20</v>
      </c>
      <c r="E22" s="226" t="str">
        <f>INDEX(tbl_Lichthi[],MATCH(B22,tbl_Lichthi[Mã học phần],0),MATCH(tbl_LichthiHP[[#Headers],[Thứ ]],tbl_Lichthi[#Headers],0))</f>
        <v>Thứ sáu</v>
      </c>
      <c r="F22" s="228">
        <f>INDEX(tbl_Lichthi[],MATCH(B22,tbl_Lichthi[Mã học phần],0),MATCH(tbl_LichthiHP[[#Headers],[Ngày thi]],tbl_Lichthi[#Headers],0))</f>
        <v>46045</v>
      </c>
      <c r="G22" s="226" t="str">
        <f>VLOOKUP(B22,'CNTT26.12-Chung'!$D:$M,9,FALSE)</f>
        <v>Kíp 5</v>
      </c>
      <c r="H22" s="226"/>
      <c r="I22" s="229">
        <f>SUMIF('CNTT26.12-Chung'!D:D,LichThiTheoHocPhan!$B22,'CNTT26.12-Chung'!M:M)</f>
        <v>38</v>
      </c>
      <c r="J22" s="230" t="s">
        <v>5254</v>
      </c>
      <c r="K22" s="231" t="s">
        <v>3801</v>
      </c>
      <c r="L22" s="232" t="s">
        <v>5237</v>
      </c>
    </row>
    <row r="23" spans="1:12" ht="15">
      <c r="A23" s="135">
        <v>22</v>
      </c>
      <c r="B23" s="168" t="s">
        <v>159</v>
      </c>
      <c r="C23" s="169" t="str">
        <f>INDEX(tbl_Lichthi[],MATCH(B23,tbl_Lichthi[Mã học phần],0),MATCH(LichThiTheoHocPhan!$C$1,tbl_Lichthi[#Headers],0))</f>
        <v>Nhập môn lập trình</v>
      </c>
      <c r="D23" s="170" t="str">
        <f>INDEX(tbl_Lichthi[],MATCH(B23,tbl_Lichthi[Mã học phần],0),MATCH(tbl_LichthiHP[[#Headers],[Tuần]],tbl_Lichthi[#Headers],0))</f>
        <v>T21</v>
      </c>
      <c r="E23" s="169" t="str">
        <f>INDEX(tbl_Lichthi[],MATCH(B23,tbl_Lichthi[Mã học phần],0),MATCH(tbl_LichthiHP[[#Headers],[Thứ ]],tbl_Lichthi[#Headers],0))</f>
        <v>Thứ hai</v>
      </c>
      <c r="F23" s="171">
        <f>INDEX(tbl_Lichthi[],MATCH(B23,tbl_Lichthi[Mã học phần],0),MATCH(tbl_LichthiHP[[#Headers],[Ngày thi]],tbl_Lichthi[#Headers],0))</f>
        <v>46048</v>
      </c>
      <c r="G23" s="169" t="str">
        <f>VLOOKUP(B23,'CNTT26.12-Chung'!$D:$M,9,FALSE)</f>
        <v>Kíp 1</v>
      </c>
      <c r="H23" s="169" t="s">
        <v>11</v>
      </c>
      <c r="I23" s="172">
        <f>SUMIF('CNTT26.12-Chung'!D:D,LichThiTheoHocPhan!$B23,'CNTT26.12-Chung'!M:M)</f>
        <v>598</v>
      </c>
      <c r="J23" s="159"/>
      <c r="K23" s="173"/>
    </row>
    <row r="24" spans="1:12" ht="15">
      <c r="A24" s="135">
        <v>23</v>
      </c>
      <c r="B24" s="168" t="s">
        <v>183</v>
      </c>
      <c r="C24" s="169" t="str">
        <f>INDEX(tbl_Lichthi[],MATCH(B24,tbl_Lichthi[Mã học phần],0),MATCH(LichThiTheoHocPhan!$C$1,tbl_Lichthi[#Headers],0))</f>
        <v>Nhập môn lập trình</v>
      </c>
      <c r="D24" s="170" t="str">
        <f>INDEX(tbl_Lichthi[],MATCH(B24,tbl_Lichthi[Mã học phần],0),MATCH(tbl_LichthiHP[[#Headers],[Tuần]],tbl_Lichthi[#Headers],0))</f>
        <v>T21</v>
      </c>
      <c r="E24" s="169" t="str">
        <f>INDEX(tbl_Lichthi[],MATCH(B24,tbl_Lichthi[Mã học phần],0),MATCH(tbl_LichthiHP[[#Headers],[Thứ ]],tbl_Lichthi[#Headers],0))</f>
        <v>Thứ hai</v>
      </c>
      <c r="F24" s="171">
        <f>INDEX(tbl_Lichthi[],MATCH(B24,tbl_Lichthi[Mã học phần],0),MATCH(tbl_LichthiHP[[#Headers],[Ngày thi]],tbl_Lichthi[#Headers],0))</f>
        <v>46048</v>
      </c>
      <c r="G24" s="169" t="str">
        <f>VLOOKUP(B24,'CNTT26.12-Chung'!$D:$M,9,FALSE)</f>
        <v>Kíp 2</v>
      </c>
      <c r="H24" s="169"/>
      <c r="I24" s="172">
        <f>SUMIF('CNTT26.12-Chung'!D:D,LichThiTheoHocPhan!$B24,'CNTT26.12-Chung'!M:M)</f>
        <v>169</v>
      </c>
      <c r="J24" s="159" t="s">
        <v>5255</v>
      </c>
      <c r="K24" s="173" t="s">
        <v>2883</v>
      </c>
      <c r="L24" s="174" t="s">
        <v>5237</v>
      </c>
    </row>
    <row r="25" spans="1:12" ht="15">
      <c r="A25" s="135">
        <v>24</v>
      </c>
      <c r="B25" s="168" t="s">
        <v>272</v>
      </c>
      <c r="C25" s="169" t="str">
        <f>INDEX(tbl_Lichthi[],MATCH(B25,tbl_Lichthi[Mã học phần],0),MATCH(LichThiTheoHocPhan!$C$1,tbl_Lichthi[#Headers],0))</f>
        <v>Nhập môn Học máy và khai phá dữ liệu</v>
      </c>
      <c r="D25" s="170" t="str">
        <f>INDEX(tbl_Lichthi[],MATCH(B25,tbl_Lichthi[Mã học phần],0),MATCH(tbl_LichthiHP[[#Headers],[Tuần]],tbl_Lichthi[#Headers],0))</f>
        <v>T21</v>
      </c>
      <c r="E25" s="169" t="str">
        <f>INDEX(tbl_Lichthi[],MATCH(B25,tbl_Lichthi[Mã học phần],0),MATCH(tbl_LichthiHP[[#Headers],[Thứ ]],tbl_Lichthi[#Headers],0))</f>
        <v>Thứ hai</v>
      </c>
      <c r="F25" s="171">
        <f>INDEX(tbl_Lichthi[],MATCH(B25,tbl_Lichthi[Mã học phần],0),MATCH(tbl_LichthiHP[[#Headers],[Ngày thi]],tbl_Lichthi[#Headers],0))</f>
        <v>46048</v>
      </c>
      <c r="G25" s="169" t="str">
        <f>VLOOKUP(B25,'CNTT26.12-Chung'!$D:$M,9,FALSE)</f>
        <v>Kíp 3</v>
      </c>
      <c r="H25" s="169" t="s">
        <v>371</v>
      </c>
      <c r="I25" s="172">
        <f>SUMIF('CNTT26.12-Chung'!D:D,LichThiTheoHocPhan!$B25,'CNTT26.12-Chung'!M:M)</f>
        <v>467</v>
      </c>
      <c r="J25" s="159" t="s">
        <v>5256</v>
      </c>
      <c r="K25" s="173" t="s">
        <v>1165</v>
      </c>
      <c r="L25" s="174" t="s">
        <v>5237</v>
      </c>
    </row>
    <row r="26" spans="1:12" ht="15">
      <c r="A26" s="135">
        <v>26</v>
      </c>
      <c r="B26" s="168" t="s">
        <v>344</v>
      </c>
      <c r="C26" s="169" t="str">
        <f>INDEX(tbl_Lichthi[],MATCH(B26,tbl_Lichthi[Mã học phần],0),MATCH(LichThiTheoHocPhan!$C$1,tbl_Lichthi[#Headers],0))</f>
        <v>Lưu trữ và xử lý dữ liệu lớn</v>
      </c>
      <c r="D26" s="170" t="str">
        <f>INDEX(tbl_Lichthi[],MATCH(B26,tbl_Lichthi[Mã học phần],0),MATCH(tbl_LichthiHP[[#Headers],[Tuần]],tbl_Lichthi[#Headers],0))</f>
        <v>T21</v>
      </c>
      <c r="E26" s="169" t="str">
        <f>INDEX(tbl_Lichthi[],MATCH(B26,tbl_Lichthi[Mã học phần],0),MATCH(tbl_LichthiHP[[#Headers],[Thứ ]],tbl_Lichthi[#Headers],0))</f>
        <v>Thứ hai</v>
      </c>
      <c r="F26" s="171">
        <f>INDEX(tbl_Lichthi[],MATCH(B26,tbl_Lichthi[Mã học phần],0),MATCH(tbl_LichthiHP[[#Headers],[Ngày thi]],tbl_Lichthi[#Headers],0))</f>
        <v>46048</v>
      </c>
      <c r="G26" s="169" t="str">
        <f>VLOOKUP(B26,'CNTT26.12-Chung'!$D:$M,9,FALSE)</f>
        <v>Kíp 4</v>
      </c>
      <c r="H26" s="169"/>
      <c r="I26" s="172">
        <f>SUMIF('CNTT26.12-Chung'!D:D,LichThiTheoHocPhan!$B26,'CNTT26.12-Chung'!M:M)</f>
        <v>330</v>
      </c>
      <c r="J26" s="159" t="s">
        <v>5257</v>
      </c>
      <c r="K26" s="173" t="s">
        <v>4906</v>
      </c>
      <c r="L26" s="174" t="s">
        <v>5237</v>
      </c>
    </row>
    <row r="27" spans="1:12" ht="15">
      <c r="A27" s="135">
        <v>25</v>
      </c>
      <c r="B27" s="168" t="s">
        <v>295</v>
      </c>
      <c r="C27" s="169" t="str">
        <f>INDEX(tbl_Lichthi[],MATCH(B27,tbl_Lichthi[Mã học phần],0),MATCH(LichThiTheoHocPhan!$C$1,tbl_Lichthi[#Headers],0))</f>
        <v>An ninh mạng</v>
      </c>
      <c r="D27" s="170" t="str">
        <f>INDEX(tbl_Lichthi[],MATCH(B27,tbl_Lichthi[Mã học phần],0),MATCH(tbl_LichthiHP[[#Headers],[Tuần]],tbl_Lichthi[#Headers],0))</f>
        <v>T21</v>
      </c>
      <c r="E27" s="169" t="str">
        <f>INDEX(tbl_Lichthi[],MATCH(B27,tbl_Lichthi[Mã học phần],0),MATCH(tbl_LichthiHP[[#Headers],[Thứ ]],tbl_Lichthi[#Headers],0))</f>
        <v>Thứ hai</v>
      </c>
      <c r="F27" s="171">
        <f>INDEX(tbl_Lichthi[],MATCH(B27,tbl_Lichthi[Mã học phần],0),MATCH(tbl_LichthiHP[[#Headers],[Ngày thi]],tbl_Lichthi[#Headers],0))</f>
        <v>46048</v>
      </c>
      <c r="G27" s="169" t="str">
        <f>VLOOKUP(B27,'CNTT26.12-Chung'!$D:$M,9,FALSE)</f>
        <v>Kíp 5</v>
      </c>
      <c r="H27" s="169"/>
      <c r="I27" s="172">
        <f>SUMIF('CNTT26.12-Chung'!D:D,LichThiTheoHocPhan!$B27,'CNTT26.12-Chung'!M:M)</f>
        <v>95</v>
      </c>
      <c r="J27" s="159" t="s">
        <v>5258</v>
      </c>
      <c r="K27" s="173" t="s">
        <v>3863</v>
      </c>
    </row>
    <row r="28" spans="1:12" ht="15">
      <c r="A28" s="135">
        <v>27</v>
      </c>
      <c r="B28" s="168" t="s">
        <v>321</v>
      </c>
      <c r="C28" s="169" t="str">
        <f>INDEX(tbl_Lichthi[],MATCH(B28,tbl_Lichthi[Mã học phần],0),MATCH(LichThiTheoHocPhan!$C$1,tbl_Lichthi[#Headers],0))</f>
        <v>Tối ưu lập kế hoạch</v>
      </c>
      <c r="D28" s="170" t="str">
        <f>INDEX(tbl_Lichthi[],MATCH(B28,tbl_Lichthi[Mã học phần],0),MATCH(tbl_LichthiHP[[#Headers],[Tuần]],tbl_Lichthi[#Headers],0))</f>
        <v>T21</v>
      </c>
      <c r="E28" s="169" t="str">
        <f>INDEX(tbl_Lichthi[],MATCH(B28,tbl_Lichthi[Mã học phần],0),MATCH(tbl_LichthiHP[[#Headers],[Thứ ]],tbl_Lichthi[#Headers],0))</f>
        <v>Thứ ba</v>
      </c>
      <c r="F28" s="171">
        <f>INDEX(tbl_Lichthi[],MATCH(B28,tbl_Lichthi[Mã học phần],0),MATCH(tbl_LichthiHP[[#Headers],[Ngày thi]],tbl_Lichthi[#Headers],0))</f>
        <v>46049</v>
      </c>
      <c r="G28" s="169" t="str">
        <f>VLOOKUP(B28,'CNTT26.12-Chung'!$D:$M,9,FALSE)</f>
        <v>Kíp 4</v>
      </c>
      <c r="H28" s="169"/>
      <c r="I28" s="172">
        <f>SUMIF('CNTT26.12-Chung'!D:D,LichThiTheoHocPhan!$B28,'CNTT26.12-Chung'!M:M)</f>
        <v>46</v>
      </c>
      <c r="J28" s="159" t="s">
        <v>5259</v>
      </c>
      <c r="K28" s="173" t="s">
        <v>5260</v>
      </c>
    </row>
    <row r="29" spans="1:12" ht="15">
      <c r="A29" s="135">
        <v>28</v>
      </c>
      <c r="B29" s="168" t="s">
        <v>411</v>
      </c>
      <c r="C29" s="169" t="str">
        <f>INDEX(tbl_Lichthi[],MATCH(B29,tbl_Lichthi[Mã học phần],0),MATCH(LichThiTheoHocPhan!$C$1,tbl_Lichthi[#Headers],0))</f>
        <v>Introduction to Information Security</v>
      </c>
      <c r="D29" s="170" t="str">
        <f>INDEX(tbl_Lichthi[],MATCH(B29,tbl_Lichthi[Mã học phần],0),MATCH(tbl_LichthiHP[[#Headers],[Tuần]],tbl_Lichthi[#Headers],0))</f>
        <v>T21</v>
      </c>
      <c r="E29" s="169" t="str">
        <f>INDEX(tbl_Lichthi[],MATCH(B29,tbl_Lichthi[Mã học phần],0),MATCH(tbl_LichthiHP[[#Headers],[Thứ ]],tbl_Lichthi[#Headers],0))</f>
        <v>Thứ ba</v>
      </c>
      <c r="F29" s="171">
        <f>INDEX(tbl_Lichthi[],MATCH(B29,tbl_Lichthi[Mã học phần],0),MATCH(tbl_LichthiHP[[#Headers],[Ngày thi]],tbl_Lichthi[#Headers],0))</f>
        <v>46049</v>
      </c>
      <c r="G29" s="169" t="str">
        <f>VLOOKUP(B29,'CNTT26.12-Chung'!$D:$M,9,FALSE)</f>
        <v>Kíp 5</v>
      </c>
      <c r="H29" s="169"/>
      <c r="I29" s="172">
        <f>SUMIF('CNTT26.12-Chung'!D:D,LichThiTheoHocPhan!$B29,'CNTT26.12-Chung'!M:M)</f>
        <v>86</v>
      </c>
      <c r="J29" s="159" t="s">
        <v>5261</v>
      </c>
      <c r="K29" s="173" t="s">
        <v>3418</v>
      </c>
    </row>
    <row r="30" spans="1:12" ht="15">
      <c r="A30" s="135">
        <v>29</v>
      </c>
      <c r="B30" s="168" t="s">
        <v>421</v>
      </c>
      <c r="C30" s="169" t="str">
        <f>INDEX(tbl_Lichthi[],MATCH(B30,tbl_Lichthi[Mã học phần],0),MATCH(LichThiTheoHocPhan!$C$1,tbl_Lichthi[#Headers],0))</f>
        <v>Nhập môn an toàn thông tin</v>
      </c>
      <c r="D30" s="170" t="str">
        <f>INDEX(tbl_Lichthi[],MATCH(B30,tbl_Lichthi[Mã học phần],0),MATCH(tbl_LichthiHP[[#Headers],[Tuần]],tbl_Lichthi[#Headers],0))</f>
        <v>T21</v>
      </c>
      <c r="E30" s="169" t="str">
        <f>INDEX(tbl_Lichthi[],MATCH(B30,tbl_Lichthi[Mã học phần],0),MATCH(tbl_LichthiHP[[#Headers],[Thứ ]],tbl_Lichthi[#Headers],0))</f>
        <v>Thứ ba</v>
      </c>
      <c r="F30" s="171">
        <f>INDEX(tbl_Lichthi[],MATCH(B30,tbl_Lichthi[Mã học phần],0),MATCH(tbl_LichthiHP[[#Headers],[Ngày thi]],tbl_Lichthi[#Headers],0))</f>
        <v>46049</v>
      </c>
      <c r="G30" s="169" t="str">
        <f>VLOOKUP(B30,'CNTT26.12-Chung'!$D:$M,9,FALSE)</f>
        <v>Kíp 5</v>
      </c>
      <c r="H30" s="169"/>
      <c r="I30" s="172">
        <f>SUMIF('CNTT26.12-Chung'!D:D,LichThiTheoHocPhan!$B30,'CNTT26.12-Chung'!M:M)</f>
        <v>228</v>
      </c>
      <c r="J30" s="159" t="s">
        <v>5262</v>
      </c>
      <c r="K30" s="173" t="s">
        <v>3079</v>
      </c>
    </row>
    <row r="31" spans="1:12" ht="15">
      <c r="A31" s="135">
        <v>30</v>
      </c>
      <c r="B31" s="168" t="s">
        <v>242</v>
      </c>
      <c r="C31" s="169" t="str">
        <f>INDEX(tbl_Lichthi[],MATCH(B31,tbl_Lichthi[Mã học phần],0),MATCH(LichThiTheoHocPhan!$C$1,tbl_Lichthi[#Headers],0))</f>
        <v>Lập trình hướng đối tượng</v>
      </c>
      <c r="D31" s="170" t="str">
        <f>INDEX(tbl_Lichthi[],MATCH(B31,tbl_Lichthi[Mã học phần],0),MATCH(tbl_LichthiHP[[#Headers],[Tuần]],tbl_Lichthi[#Headers],0))</f>
        <v>T21</v>
      </c>
      <c r="E31" s="169" t="str">
        <f>INDEX(tbl_Lichthi[],MATCH(B31,tbl_Lichthi[Mã học phần],0),MATCH(tbl_LichthiHP[[#Headers],[Thứ ]],tbl_Lichthi[#Headers],0))</f>
        <v>Thứ tư</v>
      </c>
      <c r="F31" s="171">
        <f>INDEX(tbl_Lichthi[],MATCH(B31,tbl_Lichthi[Mã học phần],0),MATCH(tbl_LichthiHP[[#Headers],[Ngày thi]],tbl_Lichthi[#Headers],0))</f>
        <v>46050</v>
      </c>
      <c r="G31" s="169" t="str">
        <f>VLOOKUP(B31,'CNTT26.12-Chung'!$D:$M,9,FALSE)</f>
        <v>Kíp 1</v>
      </c>
      <c r="H31" s="169" t="s">
        <v>11</v>
      </c>
      <c r="I31" s="172">
        <f>SUMIF('CNTT26.12-Chung'!D:D,LichThiTheoHocPhan!$B31,'CNTT26.12-Chung'!M:M)</f>
        <v>646</v>
      </c>
      <c r="J31" s="159" t="s">
        <v>5263</v>
      </c>
      <c r="K31" s="173" t="s">
        <v>3299</v>
      </c>
    </row>
    <row r="32" spans="1:12" ht="15">
      <c r="A32" s="135">
        <v>32</v>
      </c>
      <c r="B32" s="168" t="s">
        <v>350</v>
      </c>
      <c r="C32" s="169" t="str">
        <f>INDEX(tbl_Lichthi[],MATCH(B32,tbl_Lichthi[Mã học phần],0),MATCH(LichThiTheoHocPhan!$C$1,tbl_Lichthi[#Headers],0))</f>
        <v>Truy vấn dữ liệu</v>
      </c>
      <c r="D32" s="170" t="str">
        <f>INDEX(tbl_Lichthi[],MATCH(B32,tbl_Lichthi[Mã học phần],0),MATCH(tbl_LichthiHP[[#Headers],[Tuần]],tbl_Lichthi[#Headers],0))</f>
        <v>T21</v>
      </c>
      <c r="E32" s="169" t="str">
        <f>INDEX(tbl_Lichthi[],MATCH(B32,tbl_Lichthi[Mã học phần],0),MATCH(tbl_LichthiHP[[#Headers],[Thứ ]],tbl_Lichthi[#Headers],0))</f>
        <v>Thứ tư</v>
      </c>
      <c r="F32" s="171">
        <f>INDEX(tbl_Lichthi[],MATCH(B32,tbl_Lichthi[Mã học phần],0),MATCH(tbl_LichthiHP[[#Headers],[Ngày thi]],tbl_Lichthi[#Headers],0))</f>
        <v>46050</v>
      </c>
      <c r="G32" s="169" t="str">
        <f>VLOOKUP(B32,'CNTT26.12-Chung'!$D:$M,9,FALSE)</f>
        <v>Kíp 1</v>
      </c>
      <c r="H32" s="169"/>
      <c r="I32" s="172">
        <f>SUMIF('CNTT26.12-Chung'!D:D,LichThiTheoHocPhan!$B32,'CNTT26.12-Chung'!M:M)</f>
        <v>63</v>
      </c>
      <c r="J32" s="159" t="s">
        <v>5264</v>
      </c>
      <c r="K32" s="173" t="s">
        <v>3824</v>
      </c>
    </row>
    <row r="33" spans="1:11" ht="15">
      <c r="A33" s="135">
        <v>31</v>
      </c>
      <c r="B33" s="168" t="s">
        <v>261</v>
      </c>
      <c r="C33" s="169" t="str">
        <f>INDEX(tbl_Lichthi[],MATCH(B33,tbl_Lichthi[Mã học phần],0),MATCH(LichThiTheoHocPhan!$C$1,tbl_Lichthi[#Headers],0))</f>
        <v>Thuật toán ứng dụng</v>
      </c>
      <c r="D33" s="170" t="str">
        <f>INDEX(tbl_Lichthi[],MATCH(B33,tbl_Lichthi[Mã học phần],0),MATCH(tbl_LichthiHP[[#Headers],[Tuần]],tbl_Lichthi[#Headers],0))</f>
        <v>T21</v>
      </c>
      <c r="E33" s="169" t="str">
        <f>INDEX(tbl_Lichthi[],MATCH(B33,tbl_Lichthi[Mã học phần],0),MATCH(tbl_LichthiHP[[#Headers],[Thứ ]],tbl_Lichthi[#Headers],0))</f>
        <v>Thứ tư</v>
      </c>
      <c r="F33" s="171">
        <f>INDEX(tbl_Lichthi[],MATCH(B33,tbl_Lichthi[Mã học phần],0),MATCH(tbl_LichthiHP[[#Headers],[Ngày thi]],tbl_Lichthi[#Headers],0))</f>
        <v>46050</v>
      </c>
      <c r="G33" s="169" t="str">
        <f>VLOOKUP(B33,'CNTT26.12-Chung'!$D:$M,9,FALSE)</f>
        <v>Kíp 4</v>
      </c>
      <c r="H33" s="169"/>
      <c r="I33" s="172">
        <f>SUMIF('CNTT26.12-Chung'!D:D,LichThiTheoHocPhan!$B33,'CNTT26.12-Chung'!M:M)</f>
        <v>847</v>
      </c>
      <c r="J33" s="159" t="s">
        <v>5265</v>
      </c>
      <c r="K33" s="173" t="s">
        <v>3315</v>
      </c>
    </row>
    <row r="34" spans="1:11" ht="15">
      <c r="A34" s="135">
        <v>33</v>
      </c>
      <c r="B34" s="168" t="s">
        <v>499</v>
      </c>
      <c r="C34" s="169" t="str">
        <f>INDEX(tbl_Lichthi[],MATCH(B34,tbl_Lichthi[Mã học phần],0),MATCH(LichThiTheoHocPhan!$C$1,tbl_Lichthi[#Headers],0))</f>
        <v>Applied Algorithms</v>
      </c>
      <c r="D34" s="170" t="str">
        <f>INDEX(tbl_Lichthi[],MATCH(B34,tbl_Lichthi[Mã học phần],0),MATCH(tbl_LichthiHP[[#Headers],[Tuần]],tbl_Lichthi[#Headers],0))</f>
        <v>T21</v>
      </c>
      <c r="E34" s="169" t="str">
        <f>INDEX(tbl_Lichthi[],MATCH(B34,tbl_Lichthi[Mã học phần],0),MATCH(tbl_LichthiHP[[#Headers],[Thứ ]],tbl_Lichthi[#Headers],0))</f>
        <v>Thứ tư</v>
      </c>
      <c r="F34" s="171">
        <f>INDEX(tbl_Lichthi[],MATCH(B34,tbl_Lichthi[Mã học phần],0),MATCH(tbl_LichthiHP[[#Headers],[Ngày thi]],tbl_Lichthi[#Headers],0))</f>
        <v>46050</v>
      </c>
      <c r="G34" s="169" t="str">
        <f>VLOOKUP(B34,'CNTT26.12-Chung'!$D:$M,9,FALSE)</f>
        <v>Kíp 4</v>
      </c>
      <c r="H34" s="169"/>
      <c r="I34" s="172">
        <f>SUMIF('CNTT26.12-Chung'!D:D,LichThiTheoHocPhan!$B34,'CNTT26.12-Chung'!M:M)</f>
        <v>185</v>
      </c>
      <c r="J34" s="159" t="s">
        <v>5266</v>
      </c>
      <c r="K34" s="173" t="s">
        <v>3765</v>
      </c>
    </row>
    <row r="35" spans="1:11" ht="15">
      <c r="A35" s="135">
        <v>35</v>
      </c>
      <c r="B35" s="168" t="s">
        <v>306</v>
      </c>
      <c r="C35" s="169" t="str">
        <f>INDEX(tbl_Lichthi[],MATCH(B35,tbl_Lichthi[Mã học phần],0),MATCH(LichThiTheoHocPhan!$C$1,tbl_Lichthi[#Headers],0))</f>
        <v>An toàn phần mềm</v>
      </c>
      <c r="D35" s="170" t="str">
        <f>INDEX(tbl_Lichthi[],MATCH(B35,tbl_Lichthi[Mã học phần],0),MATCH(tbl_LichthiHP[[#Headers],[Tuần]],tbl_Lichthi[#Headers],0))</f>
        <v>T21</v>
      </c>
      <c r="E35" s="169" t="str">
        <f>INDEX(tbl_Lichthi[],MATCH(B35,tbl_Lichthi[Mã học phần],0),MATCH(tbl_LichthiHP[[#Headers],[Thứ ]],tbl_Lichthi[#Headers],0))</f>
        <v>Thứ năm</v>
      </c>
      <c r="F35" s="171">
        <f>INDEX(tbl_Lichthi[],MATCH(B35,tbl_Lichthi[Mã học phần],0),MATCH(tbl_LichthiHP[[#Headers],[Ngày thi]],tbl_Lichthi[#Headers],0))</f>
        <v>46051</v>
      </c>
      <c r="G35" s="169" t="str">
        <f>VLOOKUP(B35,'CNTT26.12-Chung'!$D:$M,9,FALSE)</f>
        <v>Kíp 1</v>
      </c>
      <c r="H35" s="169"/>
      <c r="I35" s="172">
        <f>SUMIF('CNTT26.12-Chung'!D:D,LichThiTheoHocPhan!$B35,'CNTT26.12-Chung'!M:M)</f>
        <v>47</v>
      </c>
      <c r="J35" s="159" t="s">
        <v>5267</v>
      </c>
      <c r="K35" s="173" t="s">
        <v>988</v>
      </c>
    </row>
    <row r="36" spans="1:11" ht="15">
      <c r="A36" s="135">
        <v>36</v>
      </c>
      <c r="B36" s="168" t="s">
        <v>333</v>
      </c>
      <c r="C36" s="169" t="str">
        <f>INDEX(tbl_Lichthi[],MATCH(B36,tbl_Lichthi[Mã học phần],0),MATCH(LichThiTheoHocPhan!$C$1,tbl_Lichthi[#Headers],0))</f>
        <v>Mobile Programming</v>
      </c>
      <c r="D36" s="170" t="str">
        <f>INDEX(tbl_Lichthi[],MATCH(B36,tbl_Lichthi[Mã học phần],0),MATCH(tbl_LichthiHP[[#Headers],[Tuần]],tbl_Lichthi[#Headers],0))</f>
        <v>T21</v>
      </c>
      <c r="E36" s="169" t="str">
        <f>INDEX(tbl_Lichthi[],MATCH(B36,tbl_Lichthi[Mã học phần],0),MATCH(tbl_LichthiHP[[#Headers],[Thứ ]],tbl_Lichthi[#Headers],0))</f>
        <v>Thứ năm</v>
      </c>
      <c r="F36" s="171">
        <f>INDEX(tbl_Lichthi[],MATCH(B36,tbl_Lichthi[Mã học phần],0),MATCH(tbl_LichthiHP[[#Headers],[Ngày thi]],tbl_Lichthi[#Headers],0))</f>
        <v>46051</v>
      </c>
      <c r="G36" s="169" t="str">
        <f>VLOOKUP(B36,'CNTT26.12-Chung'!$D:$M,9,FALSE)</f>
        <v>Kíp 3</v>
      </c>
      <c r="H36" s="169"/>
      <c r="I36" s="172">
        <f>SUMIF('CNTT26.12-Chung'!D:D,LichThiTheoHocPhan!$B36,'CNTT26.12-Chung'!M:M)</f>
        <v>221</v>
      </c>
      <c r="J36" s="159" t="s">
        <v>5268</v>
      </c>
      <c r="K36" s="173" t="s">
        <v>3809</v>
      </c>
    </row>
    <row r="37" spans="1:11" ht="15">
      <c r="A37" s="135">
        <v>38</v>
      </c>
      <c r="B37" s="168" t="s">
        <v>449</v>
      </c>
      <c r="C37" s="169" t="str">
        <f>INDEX(tbl_Lichthi[],MATCH(B37,tbl_Lichthi[Mã học phần],0),MATCH(LichThiTheoHocPhan!$C$1,tbl_Lichthi[#Headers],0))</f>
        <v>Database</v>
      </c>
      <c r="D37" s="170" t="str">
        <f>INDEX(tbl_Lichthi[],MATCH(B37,tbl_Lichthi[Mã học phần],0),MATCH(tbl_LichthiHP[[#Headers],[Tuần]],tbl_Lichthi[#Headers],0))</f>
        <v>T21</v>
      </c>
      <c r="E37" s="169" t="str">
        <f>INDEX(tbl_Lichthi[],MATCH(B37,tbl_Lichthi[Mã học phần],0),MATCH(tbl_LichthiHP[[#Headers],[Thứ ]],tbl_Lichthi[#Headers],0))</f>
        <v>Thứ năm</v>
      </c>
      <c r="F37" s="171">
        <f>INDEX(tbl_Lichthi[],MATCH(B37,tbl_Lichthi[Mã học phần],0),MATCH(tbl_LichthiHP[[#Headers],[Ngày thi]],tbl_Lichthi[#Headers],0))</f>
        <v>46051</v>
      </c>
      <c r="G37" s="169" t="str">
        <f>VLOOKUP(B37,'CNTT26.12-Chung'!$D:$M,9,FALSE)</f>
        <v>Kíp 3</v>
      </c>
      <c r="H37" s="169"/>
      <c r="I37" s="172">
        <f>SUMIF('CNTT26.12-Chung'!D:D,LichThiTheoHocPhan!$B37,'CNTT26.12-Chung'!M:M)</f>
        <v>126</v>
      </c>
      <c r="J37" s="159" t="s">
        <v>5269</v>
      </c>
      <c r="K37" s="173" t="s">
        <v>1215</v>
      </c>
    </row>
    <row r="38" spans="1:11" ht="15">
      <c r="A38" s="135">
        <v>37</v>
      </c>
      <c r="B38" s="168" t="s">
        <v>336</v>
      </c>
      <c r="C38" s="169" t="str">
        <f>INDEX(tbl_Lichthi[],MATCH(B38,tbl_Lichthi[Mã học phần],0),MATCH(LichThiTheoHocPhan!$C$1,tbl_Lichthi[#Headers],0))</f>
        <v>Phát triển ứng dụng đa nền tảng</v>
      </c>
      <c r="D38" s="170" t="str">
        <f>INDEX(tbl_Lichthi[],MATCH(B38,tbl_Lichthi[Mã học phần],0),MATCH(tbl_LichthiHP[[#Headers],[Tuần]],tbl_Lichthi[#Headers],0))</f>
        <v>T21</v>
      </c>
      <c r="E38" s="169" t="str">
        <f>INDEX(tbl_Lichthi[],MATCH(B38,tbl_Lichthi[Mã học phần],0),MATCH(tbl_LichthiHP[[#Headers],[Thứ ]],tbl_Lichthi[#Headers],0))</f>
        <v>Thứ năm</v>
      </c>
      <c r="F38" s="171">
        <f>INDEX(tbl_Lichthi[],MATCH(B38,tbl_Lichthi[Mã học phần],0),MATCH(tbl_LichthiHP[[#Headers],[Ngày thi]],tbl_Lichthi[#Headers],0))</f>
        <v>46051</v>
      </c>
      <c r="G38" s="169" t="str">
        <f>VLOOKUP(B38,'CNTT26.12-Chung'!$D:$M,9,FALSE)</f>
        <v>Kíp 4</v>
      </c>
      <c r="H38" s="169"/>
      <c r="I38" s="172">
        <f>SUMIF('CNTT26.12-Chung'!D:D,LichThiTheoHocPhan!$B38,'CNTT26.12-Chung'!M:M)</f>
        <v>116</v>
      </c>
      <c r="J38" s="159" t="s">
        <v>5270</v>
      </c>
      <c r="K38" s="173" t="s">
        <v>1228</v>
      </c>
    </row>
    <row r="39" spans="1:11" ht="15">
      <c r="A39" s="135">
        <v>34</v>
      </c>
      <c r="B39" s="168" t="s">
        <v>284</v>
      </c>
      <c r="C39" s="169" t="str">
        <f>INDEX(tbl_Lichthi[],MATCH(B39,tbl_Lichthi[Mã học phần],0),MATCH(LichThiTheoHocPhan!$C$1,tbl_Lichthi[#Headers],0))</f>
        <v>Introduction to Data Science</v>
      </c>
      <c r="D39" s="170" t="str">
        <f>INDEX(tbl_Lichthi[],MATCH(B39,tbl_Lichthi[Mã học phần],0),MATCH(tbl_LichthiHP[[#Headers],[Tuần]],tbl_Lichthi[#Headers],0))</f>
        <v>T21</v>
      </c>
      <c r="E39" s="169" t="str">
        <f>INDEX(tbl_Lichthi[],MATCH(B39,tbl_Lichthi[Mã học phần],0),MATCH(tbl_LichthiHP[[#Headers],[Thứ ]],tbl_Lichthi[#Headers],0))</f>
        <v>Thứ năm</v>
      </c>
      <c r="F39" s="171">
        <f>INDEX(tbl_Lichthi[],MATCH(B39,tbl_Lichthi[Mã học phần],0),MATCH(tbl_LichthiHP[[#Headers],[Ngày thi]],tbl_Lichthi[#Headers],0))</f>
        <v>46051</v>
      </c>
      <c r="G39" s="169" t="str">
        <f>VLOOKUP(B39,'CNTT26.12-Chung'!$D:$M,9,FALSE)</f>
        <v>Kíp 5</v>
      </c>
      <c r="H39" s="169"/>
      <c r="I39" s="172">
        <f>SUMIF('CNTT26.12-Chung'!D:D,LichThiTheoHocPhan!$B39,'CNTT26.12-Chung'!M:M)</f>
        <v>183</v>
      </c>
      <c r="J39" s="159" t="s">
        <v>5271</v>
      </c>
      <c r="K39" s="173" t="s">
        <v>3322</v>
      </c>
    </row>
    <row r="40" spans="1:11" ht="15">
      <c r="A40" s="135">
        <v>40</v>
      </c>
      <c r="B40" s="168" t="s">
        <v>249</v>
      </c>
      <c r="C40" s="169" t="str">
        <f>INDEX(tbl_Lichthi[],MATCH(B40,tbl_Lichthi[Mã học phần],0),MATCH(LichThiTheoHocPhan!$C$1,tbl_Lichthi[#Headers],0))</f>
        <v>Phân tích và thiết kế hệ thống</v>
      </c>
      <c r="D40" s="170" t="str">
        <f>INDEX(tbl_Lichthi[],MATCH(B40,tbl_Lichthi[Mã học phần],0),MATCH(tbl_LichthiHP[[#Headers],[Tuần]],tbl_Lichthi[#Headers],0))</f>
        <v>T21</v>
      </c>
      <c r="E40" s="169" t="str">
        <f>INDEX(tbl_Lichthi[],MATCH(B40,tbl_Lichthi[Mã học phần],0),MATCH(tbl_LichthiHP[[#Headers],[Thứ ]],tbl_Lichthi[#Headers],0))</f>
        <v>Thứ sáu</v>
      </c>
      <c r="F40" s="171">
        <f>INDEX(tbl_Lichthi[],MATCH(B40,tbl_Lichthi[Mã học phần],0),MATCH(tbl_LichthiHP[[#Headers],[Ngày thi]],tbl_Lichthi[#Headers],0))</f>
        <v>46052</v>
      </c>
      <c r="G40" s="169" t="str">
        <f>VLOOKUP(B40,'CNTT26.12-Chung'!$D:$M,9,FALSE)</f>
        <v>Kíp 1</v>
      </c>
      <c r="H40" s="169"/>
      <c r="I40" s="172">
        <f>SUMIF('CNTT26.12-Chung'!D:D,LichThiTheoHocPhan!$B40,'CNTT26.12-Chung'!M:M)</f>
        <v>46</v>
      </c>
      <c r="J40" s="159" t="s">
        <v>5272</v>
      </c>
      <c r="K40" s="173" t="s">
        <v>2971</v>
      </c>
    </row>
    <row r="41" spans="1:11" ht="15">
      <c r="A41" s="135">
        <v>44</v>
      </c>
      <c r="B41" s="168" t="s">
        <v>353</v>
      </c>
      <c r="C41" s="169" t="str">
        <f>INDEX(tbl_Lichthi[],MATCH(B41,tbl_Lichthi[Mã học phần],0),MATCH(LichThiTheoHocPhan!$C$1,tbl_Lichthi[#Headers],0))</f>
        <v>Mô hình ngôn ngữ lớn</v>
      </c>
      <c r="D41" s="170" t="str">
        <f>INDEX(tbl_Lichthi[],MATCH(B41,tbl_Lichthi[Mã học phần],0),MATCH(tbl_LichthiHP[[#Headers],[Tuần]],tbl_Lichthi[#Headers],0))</f>
        <v>T21</v>
      </c>
      <c r="E41" s="169" t="str">
        <f>INDEX(tbl_Lichthi[],MATCH(B41,tbl_Lichthi[Mã học phần],0),MATCH(tbl_LichthiHP[[#Headers],[Thứ ]],tbl_Lichthi[#Headers],0))</f>
        <v>Thứ sáu</v>
      </c>
      <c r="F41" s="171">
        <f>INDEX(tbl_Lichthi[],MATCH(B41,tbl_Lichthi[Mã học phần],0),MATCH(tbl_LichthiHP[[#Headers],[Ngày thi]],tbl_Lichthi[#Headers],0))</f>
        <v>46052</v>
      </c>
      <c r="G41" s="169" t="str">
        <f>VLOOKUP(B41,'CNTT26.12-Chung'!$D:$M,9,FALSE)</f>
        <v>Kíp 1</v>
      </c>
      <c r="H41" s="169"/>
      <c r="I41" s="172">
        <f>SUMIF('CNTT26.12-Chung'!D:D,LichThiTheoHocPhan!$B41,'CNTT26.12-Chung'!M:M)</f>
        <v>61</v>
      </c>
      <c r="J41" s="159" t="s">
        <v>5273</v>
      </c>
      <c r="K41" s="175" t="s">
        <v>3113</v>
      </c>
    </row>
    <row r="42" spans="1:11" ht="15">
      <c r="A42" s="135">
        <v>47</v>
      </c>
      <c r="B42" s="168" t="s">
        <v>505</v>
      </c>
      <c r="C42" s="169" t="str">
        <f>INDEX(tbl_Lichthi[],MATCH(B42,tbl_Lichthi[Mã học phần],0),MATCH(LichThiTheoHocPhan!$C$1,tbl_Lichthi[#Headers],0))</f>
        <v>Assembly Language and Computer Architecture Lab</v>
      </c>
      <c r="D42" s="170" t="str">
        <f>INDEX(tbl_Lichthi[],MATCH(B42,tbl_Lichthi[Mã học phần],0),MATCH(tbl_LichthiHP[[#Headers],[Tuần]],tbl_Lichthi[#Headers],0))</f>
        <v>T21</v>
      </c>
      <c r="E42" s="169" t="str">
        <f>INDEX(tbl_Lichthi[],MATCH(B42,tbl_Lichthi[Mã học phần],0),MATCH(tbl_LichthiHP[[#Headers],[Thứ ]],tbl_Lichthi[#Headers],0))</f>
        <v>Thứ sáu</v>
      </c>
      <c r="F42" s="171">
        <f>INDEX(tbl_Lichthi[],MATCH(B42,tbl_Lichthi[Mã học phần],0),MATCH(tbl_LichthiHP[[#Headers],[Ngày thi]],tbl_Lichthi[#Headers],0))</f>
        <v>46052</v>
      </c>
      <c r="G42" s="169" t="str">
        <f>VLOOKUP(B42,'CNTT26.12-Chung'!$D:$M,9,FALSE)</f>
        <v>Kíp 1</v>
      </c>
      <c r="H42" s="169"/>
      <c r="I42" s="172">
        <f>SUMIF('CNTT26.12-Chung'!D:D,LichThiTheoHocPhan!$B42,'CNTT26.12-Chung'!M:M)</f>
        <v>120</v>
      </c>
      <c r="J42" s="159" t="s">
        <v>5274</v>
      </c>
      <c r="K42" s="173" t="s">
        <v>2886</v>
      </c>
    </row>
    <row r="43" spans="1:11" ht="15">
      <c r="A43" s="135">
        <v>41</v>
      </c>
      <c r="B43" s="168" t="s">
        <v>258</v>
      </c>
      <c r="C43" s="169" t="str">
        <f>INDEX(tbl_Lichthi[],MATCH(B43,tbl_Lichthi[Mã học phần],0),MATCH(LichThiTheoHocPhan!$C$1,tbl_Lichthi[#Headers],0))</f>
        <v>Introduction to Artificial Intelligence</v>
      </c>
      <c r="D43" s="170" t="str">
        <f>INDEX(tbl_Lichthi[],MATCH(B43,tbl_Lichthi[Mã học phần],0),MATCH(tbl_LichthiHP[[#Headers],[Tuần]],tbl_Lichthi[#Headers],0))</f>
        <v>T21</v>
      </c>
      <c r="E43" s="169" t="str">
        <f>INDEX(tbl_Lichthi[],MATCH(B43,tbl_Lichthi[Mã học phần],0),MATCH(tbl_LichthiHP[[#Headers],[Thứ ]],tbl_Lichthi[#Headers],0))</f>
        <v>Thứ sáu</v>
      </c>
      <c r="F43" s="171">
        <f>INDEX(tbl_Lichthi[],MATCH(B43,tbl_Lichthi[Mã học phần],0),MATCH(tbl_LichthiHP[[#Headers],[Ngày thi]],tbl_Lichthi[#Headers],0))</f>
        <v>46052</v>
      </c>
      <c r="G43" s="169" t="str">
        <f>VLOOKUP(B43,'CNTT26.12-Chung'!$D:$M,9,FALSE)</f>
        <v>Kíp 2</v>
      </c>
      <c r="H43" s="169"/>
      <c r="I43" s="172">
        <f>SUMIF('CNTT26.12-Chung'!D:D,LichThiTheoHocPhan!$B43,'CNTT26.12-Chung'!M:M)</f>
        <v>197</v>
      </c>
      <c r="J43" s="159" t="s">
        <v>5275</v>
      </c>
      <c r="K43" s="173" t="s">
        <v>3046</v>
      </c>
    </row>
    <row r="44" spans="1:11" ht="15">
      <c r="A44" s="135">
        <v>48</v>
      </c>
      <c r="B44" s="168" t="s">
        <v>524</v>
      </c>
      <c r="C44" s="169" t="str">
        <f>INDEX(tbl_Lichthi[],MATCH(B44,tbl_Lichthi[Mã học phần],0),MATCH(LichThiTheoHocPhan!$C$1,tbl_Lichthi[#Headers],0))</f>
        <v>C Programming Language</v>
      </c>
      <c r="D44" s="170" t="str">
        <f>INDEX(tbl_Lichthi[],MATCH(B44,tbl_Lichthi[Mã học phần],0),MATCH(tbl_LichthiHP[[#Headers],[Tuần]],tbl_Lichthi[#Headers],0))</f>
        <v>T21</v>
      </c>
      <c r="E44" s="169" t="str">
        <f>INDEX(tbl_Lichthi[],MATCH(B44,tbl_Lichthi[Mã học phần],0),MATCH(tbl_LichthiHP[[#Headers],[Thứ ]],tbl_Lichthi[#Headers],0))</f>
        <v>Thứ sáu</v>
      </c>
      <c r="F44" s="171">
        <f>INDEX(tbl_Lichthi[],MATCH(B44,tbl_Lichthi[Mã học phần],0),MATCH(tbl_LichthiHP[[#Headers],[Ngày thi]],tbl_Lichthi[#Headers],0))</f>
        <v>46052</v>
      </c>
      <c r="G44" s="169" t="str">
        <f>VLOOKUP(B44,'CNTT26.12-Chung'!$D:$M,9,FALSE)</f>
        <v>Kíp 2</v>
      </c>
      <c r="H44" s="169"/>
      <c r="I44" s="172">
        <f>SUMIF('CNTT26.12-Chung'!D:D,LichThiTheoHocPhan!$B44,'CNTT26.12-Chung'!M:M)</f>
        <v>135</v>
      </c>
      <c r="J44" s="159" t="s">
        <v>5276</v>
      </c>
      <c r="K44" s="173" t="s">
        <v>1039</v>
      </c>
    </row>
    <row r="45" spans="1:11" ht="15">
      <c r="A45" s="135">
        <v>39</v>
      </c>
      <c r="B45" s="168" t="s">
        <v>239</v>
      </c>
      <c r="C45" s="169" t="str">
        <f>INDEX(tbl_Lichthi[],MATCH(B45,tbl_Lichthi[Mã học phần],0),MATCH(LichThiTheoHocPhan!$C$1,tbl_Lichthi[#Headers],0))</f>
        <v>Computer Networks</v>
      </c>
      <c r="D45" s="170" t="str">
        <f>INDEX(tbl_Lichthi[],MATCH(B45,tbl_Lichthi[Mã học phần],0),MATCH(tbl_LichthiHP[[#Headers],[Tuần]],tbl_Lichthi[#Headers],0))</f>
        <v>T21</v>
      </c>
      <c r="E45" s="169" t="str">
        <f>INDEX(tbl_Lichthi[],MATCH(B45,tbl_Lichthi[Mã học phần],0),MATCH(tbl_LichthiHP[[#Headers],[Thứ ]],tbl_Lichthi[#Headers],0))</f>
        <v>Thứ sáu</v>
      </c>
      <c r="F45" s="171">
        <f>INDEX(tbl_Lichthi[],MATCH(B45,tbl_Lichthi[Mã học phần],0),MATCH(tbl_LichthiHP[[#Headers],[Ngày thi]],tbl_Lichthi[#Headers],0))</f>
        <v>46052</v>
      </c>
      <c r="G45" s="169" t="str">
        <f>VLOOKUP(B45,'CNTT26.12-Chung'!$D:$M,9,FALSE)</f>
        <v>Kíp 3</v>
      </c>
      <c r="H45" s="169"/>
      <c r="I45" s="172">
        <f>SUMIF('CNTT26.12-Chung'!D:D,LichThiTheoHocPhan!$B45,'CNTT26.12-Chung'!M:M)</f>
        <v>252</v>
      </c>
      <c r="J45" s="159" t="s">
        <v>5277</v>
      </c>
      <c r="K45" s="173" t="s">
        <v>4437</v>
      </c>
    </row>
    <row r="46" spans="1:11" ht="15">
      <c r="A46" s="135">
        <v>42</v>
      </c>
      <c r="B46" s="168" t="s">
        <v>289</v>
      </c>
      <c r="C46" s="169" t="str">
        <f>INDEX(tbl_Lichthi[],MATCH(B46,tbl_Lichthi[Mã học phần],0),MATCH(LichThiTheoHocPhan!$C$1,tbl_Lichthi[#Headers],0))</f>
        <v>Hệ nhúng</v>
      </c>
      <c r="D46" s="170" t="str">
        <f>INDEX(tbl_Lichthi[],MATCH(B46,tbl_Lichthi[Mã học phần],0),MATCH(tbl_LichthiHP[[#Headers],[Tuần]],tbl_Lichthi[#Headers],0))</f>
        <v>T21</v>
      </c>
      <c r="E46" s="169" t="str">
        <f>INDEX(tbl_Lichthi[],MATCH(B46,tbl_Lichthi[Mã học phần],0),MATCH(tbl_LichthiHP[[#Headers],[Thứ ]],tbl_Lichthi[#Headers],0))</f>
        <v>Thứ sáu</v>
      </c>
      <c r="F46" s="171">
        <f>INDEX(tbl_Lichthi[],MATCH(B46,tbl_Lichthi[Mã học phần],0),MATCH(tbl_LichthiHP[[#Headers],[Ngày thi]],tbl_Lichthi[#Headers],0))</f>
        <v>46052</v>
      </c>
      <c r="G46" s="169" t="str">
        <f>VLOOKUP(B46,'CNTT26.12-Chung'!$D:$M,9,FALSE)</f>
        <v>Kíp 4</v>
      </c>
      <c r="H46" s="169"/>
      <c r="I46" s="172">
        <f>SUMIF('CNTT26.12-Chung'!D:D,LichThiTheoHocPhan!$B46,'CNTT26.12-Chung'!M:M)</f>
        <v>41</v>
      </c>
      <c r="J46" s="159" t="s">
        <v>5278</v>
      </c>
      <c r="K46" s="159" t="s">
        <v>4223</v>
      </c>
    </row>
    <row r="47" spans="1:11" ht="15">
      <c r="A47" s="135">
        <v>43</v>
      </c>
      <c r="B47" s="168" t="s">
        <v>314</v>
      </c>
      <c r="C47" s="169" t="str">
        <f>INDEX(tbl_Lichthi[],MATCH(B47,tbl_Lichthi[Mã học phần],0),MATCH(LichThiTheoHocPhan!$C$1,tbl_Lichthi[#Headers],0))</f>
        <v>Thiết kế và triển khai mạng IP</v>
      </c>
      <c r="D47" s="170" t="str">
        <f>INDEX(tbl_Lichthi[],MATCH(B47,tbl_Lichthi[Mã học phần],0),MATCH(tbl_LichthiHP[[#Headers],[Tuần]],tbl_Lichthi[#Headers],0))</f>
        <v>T21</v>
      </c>
      <c r="E47" s="169" t="str">
        <f>INDEX(tbl_Lichthi[],MATCH(B47,tbl_Lichthi[Mã học phần],0),MATCH(tbl_LichthiHP[[#Headers],[Thứ ]],tbl_Lichthi[#Headers],0))</f>
        <v>Thứ sáu</v>
      </c>
      <c r="F47" s="171">
        <f>INDEX(tbl_Lichthi[],MATCH(B47,tbl_Lichthi[Mã học phần],0),MATCH(tbl_LichthiHP[[#Headers],[Ngày thi]],tbl_Lichthi[#Headers],0))</f>
        <v>46052</v>
      </c>
      <c r="G47" s="169" t="str">
        <f>VLOOKUP(B47,'CNTT26.12-Chung'!$D:$M,9,FALSE)</f>
        <v>Kíp 4</v>
      </c>
      <c r="H47" s="169"/>
      <c r="I47" s="172">
        <f>SUMIF('CNTT26.12-Chung'!D:D,LichThiTheoHocPhan!$B47,'CNTT26.12-Chung'!M:M)</f>
        <v>185</v>
      </c>
      <c r="J47" s="159" t="s">
        <v>5279</v>
      </c>
      <c r="K47" s="173" t="s">
        <v>5280</v>
      </c>
    </row>
    <row r="48" spans="1:11" ht="15">
      <c r="A48" s="135">
        <v>45</v>
      </c>
      <c r="B48" s="168" t="s">
        <v>404</v>
      </c>
      <c r="C48" s="169" t="str">
        <f>INDEX(tbl_Lichthi[],MATCH(B48,tbl_Lichthi[Mã học phần],0),MATCH(LichThiTheoHocPhan!$C$1,tbl_Lichthi[#Headers],0))</f>
        <v>IP Network Design and Implementation</v>
      </c>
      <c r="D48" s="170" t="str">
        <f>INDEX(tbl_Lichthi[],MATCH(B48,tbl_Lichthi[Mã học phần],0),MATCH(tbl_LichthiHP[[#Headers],[Tuần]],tbl_Lichthi[#Headers],0))</f>
        <v>T21</v>
      </c>
      <c r="E48" s="169" t="str">
        <f>INDEX(tbl_Lichthi[],MATCH(B48,tbl_Lichthi[Mã học phần],0),MATCH(tbl_LichthiHP[[#Headers],[Thứ ]],tbl_Lichthi[#Headers],0))</f>
        <v>Thứ sáu</v>
      </c>
      <c r="F48" s="171">
        <f>INDEX(tbl_Lichthi[],MATCH(B48,tbl_Lichthi[Mã học phần],0),MATCH(tbl_LichthiHP[[#Headers],[Ngày thi]],tbl_Lichthi[#Headers],0))</f>
        <v>46052</v>
      </c>
      <c r="G48" s="169" t="str">
        <f>VLOOKUP(B48,'CNTT26.12-Chung'!$D:$M,9,FALSE)</f>
        <v>Kíp 4</v>
      </c>
      <c r="H48" s="169"/>
      <c r="I48" s="172">
        <f>SUMIF('CNTT26.12-Chung'!D:D,LichThiTheoHocPhan!$B48,'CNTT26.12-Chung'!M:M)</f>
        <v>42</v>
      </c>
      <c r="J48" s="159" t="s">
        <v>5281</v>
      </c>
      <c r="K48" s="173" t="s">
        <v>5280</v>
      </c>
    </row>
    <row r="49" spans="1:11" ht="15">
      <c r="A49" s="135">
        <v>46</v>
      </c>
      <c r="B49" s="168" t="s">
        <v>431</v>
      </c>
      <c r="C49" s="169" t="str">
        <f>INDEX(tbl_Lichthi[],MATCH(B49,tbl_Lichthi[Mã học phần],0),MATCH(LichThiTheoHocPhan!$C$1,tbl_Lichthi[#Headers],0))</f>
        <v>Mạng máy tính</v>
      </c>
      <c r="D49" s="170" t="str">
        <f>INDEX(tbl_Lichthi[],MATCH(B49,tbl_Lichthi[Mã học phần],0),MATCH(tbl_LichthiHP[[#Headers],[Tuần]],tbl_Lichthi[#Headers],0))</f>
        <v>T21</v>
      </c>
      <c r="E49" s="169" t="str">
        <f>INDEX(tbl_Lichthi[],MATCH(B49,tbl_Lichthi[Mã học phần],0),MATCH(tbl_LichthiHP[[#Headers],[Thứ ]],tbl_Lichthi[#Headers],0))</f>
        <v>Thứ sáu</v>
      </c>
      <c r="F49" s="171">
        <f>INDEX(tbl_Lichthi[],MATCH(B49,tbl_Lichthi[Mã học phần],0),MATCH(tbl_LichthiHP[[#Headers],[Ngày thi]],tbl_Lichthi[#Headers],0))</f>
        <v>46052</v>
      </c>
      <c r="G49" s="169" t="str">
        <f>VLOOKUP(B49,'CNTT26.12-Chung'!$D:$M,9,FALSE)</f>
        <v>Kíp 5</v>
      </c>
      <c r="H49" s="169"/>
      <c r="I49" s="172">
        <f>SUMIF('CNTT26.12-Chung'!D:D,LichThiTheoHocPhan!$B49,'CNTT26.12-Chung'!M:M)</f>
        <v>331</v>
      </c>
      <c r="J49" s="159" t="s">
        <v>5282</v>
      </c>
      <c r="K49" s="173" t="s">
        <v>4417</v>
      </c>
    </row>
    <row r="50" spans="1:11" ht="15">
      <c r="A50" s="135">
        <v>50</v>
      </c>
      <c r="B50" s="168" t="s">
        <v>276</v>
      </c>
      <c r="C50" s="169" t="str">
        <f>INDEX(tbl_Lichthi[],MATCH(B50,tbl_Lichthi[Mã học phần],0),MATCH(LichThiTheoHocPhan!$C$1,tbl_Lichthi[#Headers],0))</f>
        <v>Introduction to Deep Learning</v>
      </c>
      <c r="D50" s="170" t="str">
        <f>INDEX(tbl_Lichthi[],MATCH(B50,tbl_Lichthi[Mã học phần],0),MATCH(tbl_LichthiHP[[#Headers],[Tuần]],tbl_Lichthi[#Headers],0))</f>
        <v>T22</v>
      </c>
      <c r="E50" s="169" t="str">
        <f>INDEX(tbl_Lichthi[],MATCH(B50,tbl_Lichthi[Mã học phần],0),MATCH(tbl_LichthiHP[[#Headers],[Thứ ]],tbl_Lichthi[#Headers],0))</f>
        <v>Thứ hai</v>
      </c>
      <c r="F50" s="171">
        <f>INDEX(tbl_Lichthi[],MATCH(B50,tbl_Lichthi[Mã học phần],0),MATCH(tbl_LichthiHP[[#Headers],[Ngày thi]],tbl_Lichthi[#Headers],0))</f>
        <v>46055</v>
      </c>
      <c r="G50" s="169" t="str">
        <f>VLOOKUP(B50,'CNTT26.12-Chung'!$D:$M,9,FALSE)</f>
        <v>Kíp 1</v>
      </c>
      <c r="H50" s="169"/>
      <c r="I50" s="172">
        <f>SUMIF('CNTT26.12-Chung'!D:D,LichThiTheoHocPhan!$B50,'CNTT26.12-Chung'!M:M)</f>
        <v>151</v>
      </c>
      <c r="J50" s="159" t="s">
        <v>5283</v>
      </c>
      <c r="K50" s="173" t="s">
        <v>3148</v>
      </c>
    </row>
    <row r="51" spans="1:11" ht="15">
      <c r="A51" s="135">
        <v>52</v>
      </c>
      <c r="B51" s="168" t="s">
        <v>457</v>
      </c>
      <c r="C51" s="169" t="str">
        <f>INDEX(tbl_Lichthi[],MATCH(B51,tbl_Lichthi[Mã học phần],0),MATCH(LichThiTheoHocPhan!$C$1,tbl_Lichthi[#Headers],0))</f>
        <v>Điện tử cho CNTT</v>
      </c>
      <c r="D51" s="170" t="str">
        <f>INDEX(tbl_Lichthi[],MATCH(B51,tbl_Lichthi[Mã học phần],0),MATCH(tbl_LichthiHP[[#Headers],[Tuần]],tbl_Lichthi[#Headers],0))</f>
        <v>T22</v>
      </c>
      <c r="E51" s="169" t="str">
        <f>INDEX(tbl_Lichthi[],MATCH(B51,tbl_Lichthi[Mã học phần],0),MATCH(tbl_LichthiHP[[#Headers],[Thứ ]],tbl_Lichthi[#Headers],0))</f>
        <v>Thứ hai</v>
      </c>
      <c r="F51" s="171">
        <f>INDEX(tbl_Lichthi[],MATCH(B51,tbl_Lichthi[Mã học phần],0),MATCH(tbl_LichthiHP[[#Headers],[Ngày thi]],tbl_Lichthi[#Headers],0))</f>
        <v>46055</v>
      </c>
      <c r="G51" s="169" t="str">
        <f>VLOOKUP(B51,'CNTT26.12-Chung'!$D:$M,9,FALSE)</f>
        <v>Kíp 2</v>
      </c>
      <c r="H51" s="169"/>
      <c r="I51" s="172">
        <f>SUMIF('CNTT26.12-Chung'!D:D,LichThiTheoHocPhan!$B51,'CNTT26.12-Chung'!M:M)</f>
        <v>339</v>
      </c>
      <c r="J51" s="159" t="s">
        <v>5284</v>
      </c>
      <c r="K51" s="173" t="s">
        <v>3281</v>
      </c>
    </row>
    <row r="52" spans="1:11" ht="15">
      <c r="A52" s="135">
        <v>49</v>
      </c>
      <c r="B52" s="168" t="s">
        <v>254</v>
      </c>
      <c r="C52" s="169" t="str">
        <f>INDEX(tbl_Lichthi[],MATCH(B52,tbl_Lichthi[Mã học phần],0),MATCH(LichThiTheoHocPhan!$C$1,tbl_Lichthi[#Headers],0))</f>
        <v>Nhập môn Trí tuệ nhân tạo</v>
      </c>
      <c r="D52" s="170" t="str">
        <f>INDEX(tbl_Lichthi[],MATCH(B52,tbl_Lichthi[Mã học phần],0),MATCH(tbl_LichthiHP[[#Headers],[Tuần]],tbl_Lichthi[#Headers],0))</f>
        <v>T22</v>
      </c>
      <c r="E52" s="169" t="str">
        <f>INDEX(tbl_Lichthi[],MATCH(B52,tbl_Lichthi[Mã học phần],0),MATCH(tbl_LichthiHP[[#Headers],[Thứ ]],tbl_Lichthi[#Headers],0))</f>
        <v>Thứ hai</v>
      </c>
      <c r="F52" s="171">
        <f>INDEX(tbl_Lichthi[],MATCH(B52,tbl_Lichthi[Mã học phần],0),MATCH(tbl_LichthiHP[[#Headers],[Ngày thi]],tbl_Lichthi[#Headers],0))</f>
        <v>46055</v>
      </c>
      <c r="G52" s="169" t="str">
        <f>VLOOKUP(B52,'CNTT26.12-Chung'!$D:$M,9,FALSE)</f>
        <v>Kíp 3</v>
      </c>
      <c r="H52" s="169"/>
      <c r="I52" s="172">
        <f>SUMIF('CNTT26.12-Chung'!D:D,LichThiTheoHocPhan!$B52,'CNTT26.12-Chung'!M:M)</f>
        <v>300</v>
      </c>
      <c r="J52" s="159" t="s">
        <v>5285</v>
      </c>
      <c r="K52" s="173" t="s">
        <v>3824</v>
      </c>
    </row>
    <row r="53" spans="1:11" ht="15">
      <c r="A53" s="135">
        <v>51</v>
      </c>
      <c r="B53" s="168" t="s">
        <v>330</v>
      </c>
      <c r="C53" s="169" t="str">
        <f>INDEX(tbl_Lichthi[],MATCH(B53,tbl_Lichthi[Mã học phần],0),MATCH(LichThiTheoHocPhan!$C$1,tbl_Lichthi[#Headers],0))</f>
        <v>Phát triển ứng dụng cho thiết bị di động</v>
      </c>
      <c r="D53" s="170" t="str">
        <f>INDEX(tbl_Lichthi[],MATCH(B53,tbl_Lichthi[Mã học phần],0),MATCH(tbl_LichthiHP[[#Headers],[Tuần]],tbl_Lichthi[#Headers],0))</f>
        <v>T22</v>
      </c>
      <c r="E53" s="169" t="str">
        <f>INDEX(tbl_Lichthi[],MATCH(B53,tbl_Lichthi[Mã học phần],0),MATCH(tbl_LichthiHP[[#Headers],[Thứ ]],tbl_Lichthi[#Headers],0))</f>
        <v>Thứ hai</v>
      </c>
      <c r="F53" s="171">
        <f>INDEX(tbl_Lichthi[],MATCH(B53,tbl_Lichthi[Mã học phần],0),MATCH(tbl_LichthiHP[[#Headers],[Ngày thi]],tbl_Lichthi[#Headers],0))</f>
        <v>46055</v>
      </c>
      <c r="G53" s="169" t="str">
        <f>VLOOKUP(B53,'CNTT26.12-Chung'!$D:$M,9,FALSE)</f>
        <v>Kíp 4</v>
      </c>
      <c r="H53" s="169" t="s">
        <v>367</v>
      </c>
      <c r="I53" s="172">
        <f>SUMIF('CNTT26.12-Chung'!D:D,LichThiTheoHocPhan!$B53,'CNTT26.12-Chung'!M:M)</f>
        <v>702</v>
      </c>
      <c r="J53" s="159" t="s">
        <v>5286</v>
      </c>
      <c r="K53" s="173" t="s">
        <v>3809</v>
      </c>
    </row>
    <row r="54" spans="1:11" ht="15">
      <c r="A54" s="135">
        <v>54</v>
      </c>
      <c r="B54" s="168" t="s">
        <v>383</v>
      </c>
      <c r="C54" s="169" t="str">
        <f>INDEX(tbl_Lichthi[],MATCH(B54,tbl_Lichthi[Mã học phần],0),MATCH(LichThiTheoHocPhan!$C$1,tbl_Lichthi[#Headers],0))</f>
        <v>Xây dựng chương trình dịch</v>
      </c>
      <c r="D54" s="170" t="str">
        <f>INDEX(tbl_Lichthi[],MATCH(B54,tbl_Lichthi[Mã học phần],0),MATCH(tbl_LichthiHP[[#Headers],[Tuần]],tbl_Lichthi[#Headers],0))</f>
        <v>T22</v>
      </c>
      <c r="E54" s="169" t="str">
        <f>INDEX(tbl_Lichthi[],MATCH(B54,tbl_Lichthi[Mã học phần],0),MATCH(tbl_LichthiHP[[#Headers],[Thứ ]],tbl_Lichthi[#Headers],0))</f>
        <v>Thứ ba</v>
      </c>
      <c r="F54" s="171">
        <f>INDEX(tbl_Lichthi[],MATCH(B54,tbl_Lichthi[Mã học phần],0),MATCH(tbl_LichthiHP[[#Headers],[Ngày thi]],tbl_Lichthi[#Headers],0))</f>
        <v>46056</v>
      </c>
      <c r="G54" s="169" t="str">
        <f>VLOOKUP(B54,'CNTT26.12-Chung'!$D:$M,9,FALSE)</f>
        <v>Kíp 1</v>
      </c>
      <c r="H54" s="169"/>
      <c r="I54" s="172">
        <f>SUMIF('CNTT26.12-Chung'!D:D,LichThiTheoHocPhan!$B54,'CNTT26.12-Chung'!M:M)</f>
        <v>334</v>
      </c>
      <c r="J54" s="159" t="s">
        <v>5287</v>
      </c>
      <c r="K54" s="173" t="s">
        <v>1047</v>
      </c>
    </row>
    <row r="55" spans="1:11" ht="15">
      <c r="A55" s="135">
        <v>53</v>
      </c>
      <c r="B55" s="168" t="s">
        <v>303</v>
      </c>
      <c r="C55" s="169" t="str">
        <f>INDEX(tbl_Lichthi[],MATCH(B55,tbl_Lichthi[Mã học phần],0),MATCH(LichThiTheoHocPhan!$C$1,tbl_Lichthi[#Headers],0))</f>
        <v>Thiết kế và xây dựng phần mềm</v>
      </c>
      <c r="D55" s="170" t="str">
        <f>INDEX(tbl_Lichthi[],MATCH(B55,tbl_Lichthi[Mã học phần],0),MATCH(tbl_LichthiHP[[#Headers],[Tuần]],tbl_Lichthi[#Headers],0))</f>
        <v>T22</v>
      </c>
      <c r="E55" s="169" t="str">
        <f>INDEX(tbl_Lichthi[],MATCH(B55,tbl_Lichthi[Mã học phần],0),MATCH(tbl_LichthiHP[[#Headers],[Thứ ]],tbl_Lichthi[#Headers],0))</f>
        <v>Thứ ba</v>
      </c>
      <c r="F55" s="171">
        <f>INDEX(tbl_Lichthi[],MATCH(B55,tbl_Lichthi[Mã học phần],0),MATCH(tbl_LichthiHP[[#Headers],[Ngày thi]],tbl_Lichthi[#Headers],0))</f>
        <v>46056</v>
      </c>
      <c r="G55" s="169" t="str">
        <f>VLOOKUP(B55,'CNTT26.12-Chung'!$D:$M,9,FALSE)</f>
        <v>Kíp 4</v>
      </c>
      <c r="H55" s="169"/>
      <c r="I55" s="172">
        <f>SUMIF('CNTT26.12-Chung'!D:D,LichThiTheoHocPhan!$B55,'CNTT26.12-Chung'!M:M)</f>
        <v>188</v>
      </c>
      <c r="J55" s="159" t="s">
        <v>5288</v>
      </c>
      <c r="K55" s="173" t="s">
        <v>3411</v>
      </c>
    </row>
    <row r="56" spans="1:11" ht="15">
      <c r="A56" s="135">
        <v>55</v>
      </c>
      <c r="B56" s="168" t="s">
        <v>212</v>
      </c>
      <c r="C56" s="169" t="str">
        <f>INDEX(tbl_Lichthi[],MATCH(B56,tbl_Lichthi[Mã học phần],0),MATCH(LichThiTheoHocPhan!$C$1,tbl_Lichthi[#Headers],0))</f>
        <v>Nhập môn CNTT và TT</v>
      </c>
      <c r="D56" s="170" t="str">
        <f>INDEX(tbl_Lichthi[],MATCH(B56,tbl_Lichthi[Mã học phần],0),MATCH(tbl_LichthiHP[[#Headers],[Tuần]],tbl_Lichthi[#Headers],0))</f>
        <v>T22</v>
      </c>
      <c r="E56" s="169" t="str">
        <f>INDEX(tbl_Lichthi[],MATCH(B56,tbl_Lichthi[Mã học phần],0),MATCH(tbl_LichthiHP[[#Headers],[Thứ ]],tbl_Lichthi[#Headers],0))</f>
        <v>Thứ tư</v>
      </c>
      <c r="F56" s="171">
        <f>INDEX(tbl_Lichthi[],MATCH(B56,tbl_Lichthi[Mã học phần],0),MATCH(tbl_LichthiHP[[#Headers],[Ngày thi]],tbl_Lichthi[#Headers],0))</f>
        <v>46057</v>
      </c>
      <c r="G56" s="169" t="str">
        <f>VLOOKUP(B56,'CNTT26.12-Chung'!$D:$M,9,FALSE)</f>
        <v>Kíp 1</v>
      </c>
      <c r="H56" s="169" t="s">
        <v>12</v>
      </c>
      <c r="I56" s="172">
        <f>SUMIF('CNTT26.12-Chung'!D:D,LichThiTheoHocPhan!$B56,'CNTT26.12-Chung'!M:M)</f>
        <v>1163</v>
      </c>
      <c r="J56" s="159" t="s">
        <v>5289</v>
      </c>
      <c r="K56" s="173" t="s">
        <v>2886</v>
      </c>
    </row>
    <row r="57" spans="1:11" ht="15">
      <c r="A57" s="135">
        <v>57</v>
      </c>
      <c r="B57" s="168" t="s">
        <v>221</v>
      </c>
      <c r="C57" s="169" t="str">
        <f>INDEX(tbl_Lichthi[],MATCH(B57,tbl_Lichthi[Mã học phần],0),MATCH(LichThiTheoHocPhan!$C$1,tbl_Lichthi[#Headers],0))</f>
        <v>Cấu trúc dữ liệu và thuật toán</v>
      </c>
      <c r="D57" s="170" t="str">
        <f>INDEX(tbl_Lichthi[],MATCH(B57,tbl_Lichthi[Mã học phần],0),MATCH(tbl_LichthiHP[[#Headers],[Tuần]],tbl_Lichthi[#Headers],0))</f>
        <v>T22</v>
      </c>
      <c r="E57" s="169" t="str">
        <f>INDEX(tbl_Lichthi[],MATCH(B57,tbl_Lichthi[Mã học phần],0),MATCH(tbl_LichthiHP[[#Headers],[Thứ ]],tbl_Lichthi[#Headers],0))</f>
        <v>Thứ tư</v>
      </c>
      <c r="F57" s="171">
        <f>INDEX(tbl_Lichthi[],MATCH(B57,tbl_Lichthi[Mã học phần],0),MATCH(tbl_LichthiHP[[#Headers],[Ngày thi]],tbl_Lichthi[#Headers],0))</f>
        <v>46057</v>
      </c>
      <c r="G57" s="169" t="str">
        <f>VLOOKUP(B57,'CNTT26.12-Chung'!$D:$M,9,FALSE)</f>
        <v>Kíp 3</v>
      </c>
      <c r="H57" s="169"/>
      <c r="I57" s="172">
        <f>SUMIF('CNTT26.12-Chung'!D:D,LichThiTheoHocPhan!$B57,'CNTT26.12-Chung'!M:M)</f>
        <v>103</v>
      </c>
      <c r="J57" s="159" t="s">
        <v>5290</v>
      </c>
      <c r="K57" s="173" t="s">
        <v>3765</v>
      </c>
    </row>
    <row r="58" spans="1:11" ht="15">
      <c r="A58" s="135">
        <v>58</v>
      </c>
      <c r="B58" s="168" t="s">
        <v>223</v>
      </c>
      <c r="C58" s="169" t="str">
        <f>INDEX(tbl_Lichthi[],MATCH(B58,tbl_Lichthi[Mã học phần],0),MATCH(LichThiTheoHocPhan!$C$1,tbl_Lichthi[#Headers],0))</f>
        <v>Cấu trúc dữ liệu và thuật toán</v>
      </c>
      <c r="D58" s="170" t="str">
        <f>INDEX(tbl_Lichthi[],MATCH(B58,tbl_Lichthi[Mã học phần],0),MATCH(tbl_LichthiHP[[#Headers],[Tuần]],tbl_Lichthi[#Headers],0))</f>
        <v>T22</v>
      </c>
      <c r="E58" s="169" t="str">
        <f>INDEX(tbl_Lichthi[],MATCH(B58,tbl_Lichthi[Mã học phần],0),MATCH(tbl_LichthiHP[[#Headers],[Thứ ]],tbl_Lichthi[#Headers],0))</f>
        <v>Thứ tư</v>
      </c>
      <c r="F58" s="171">
        <f>INDEX(tbl_Lichthi[],MATCH(B58,tbl_Lichthi[Mã học phần],0),MATCH(tbl_LichthiHP[[#Headers],[Ngày thi]],tbl_Lichthi[#Headers],0))</f>
        <v>46057</v>
      </c>
      <c r="G58" s="169" t="str">
        <f>VLOOKUP(B58,'CNTT26.12-Chung'!$D:$M,9,FALSE)</f>
        <v>Kíp 3</v>
      </c>
      <c r="H58" s="169"/>
      <c r="I58" s="172">
        <f>SUMIF('CNTT26.12-Chung'!D:D,LichThiTheoHocPhan!$B58,'CNTT26.12-Chung'!M:M)</f>
        <v>40</v>
      </c>
      <c r="J58" s="159" t="s">
        <v>5291</v>
      </c>
      <c r="K58" s="173" t="s">
        <v>3063</v>
      </c>
    </row>
    <row r="59" spans="1:11" ht="15">
      <c r="A59" s="135">
        <v>56</v>
      </c>
      <c r="B59" s="168" t="s">
        <v>216</v>
      </c>
      <c r="C59" s="169" t="str">
        <f>INDEX(tbl_Lichthi[],MATCH(B59,tbl_Lichthi[Mã học phần],0),MATCH(LichThiTheoHocPhan!$C$1,tbl_Lichthi[#Headers],0))</f>
        <v>Cấu trúc dữ liệu và thuật toán</v>
      </c>
      <c r="D59" s="170" t="str">
        <f>INDEX(tbl_Lichthi[],MATCH(B59,tbl_Lichthi[Mã học phần],0),MATCH(tbl_LichthiHP[[#Headers],[Tuần]],tbl_Lichthi[#Headers],0))</f>
        <v>T22</v>
      </c>
      <c r="E59" s="169" t="str">
        <f>INDEX(tbl_Lichthi[],MATCH(B59,tbl_Lichthi[Mã học phần],0),MATCH(tbl_LichthiHP[[#Headers],[Thứ ]],tbl_Lichthi[#Headers],0))</f>
        <v>Thứ tư</v>
      </c>
      <c r="F59" s="171">
        <f>INDEX(tbl_Lichthi[],MATCH(B59,tbl_Lichthi[Mã học phần],0),MATCH(tbl_LichthiHP[[#Headers],[Ngày thi]],tbl_Lichthi[#Headers],0))</f>
        <v>46057</v>
      </c>
      <c r="G59" s="169" t="str">
        <f>VLOOKUP(B59,'CNTT26.12-Chung'!$D:$M,9,FALSE)</f>
        <v>Kíp 4</v>
      </c>
      <c r="H59" s="169" t="s">
        <v>440</v>
      </c>
      <c r="I59" s="172">
        <f>SUMIF('CNTT26.12-Chung'!D:D,LichThiTheoHocPhan!$B59,'CNTT26.12-Chung'!M:M)</f>
        <v>610</v>
      </c>
      <c r="J59" s="159" t="s">
        <v>5292</v>
      </c>
      <c r="K59" s="173" t="s">
        <v>3299</v>
      </c>
    </row>
    <row r="60" spans="1:11" ht="15">
      <c r="A60" s="135">
        <v>59</v>
      </c>
      <c r="B60" s="168" t="s">
        <v>317</v>
      </c>
      <c r="C60" s="169" t="str">
        <f>INDEX(tbl_Lichthi[],MATCH(B60,tbl_Lichthi[Mã học phần],0),MATCH(LichThiTheoHocPhan!$C$1,tbl_Lichthi[#Headers],0))</f>
        <v>Học sâu và ứng dụng</v>
      </c>
      <c r="D60" s="170" t="str">
        <f>INDEX(tbl_Lichthi[],MATCH(B60,tbl_Lichthi[Mã học phần],0),MATCH(tbl_LichthiHP[[#Headers],[Tuần]],tbl_Lichthi[#Headers],0))</f>
        <v>T22</v>
      </c>
      <c r="E60" s="169" t="str">
        <f>INDEX(tbl_Lichthi[],MATCH(B60,tbl_Lichthi[Mã học phần],0),MATCH(tbl_LichthiHP[[#Headers],[Thứ ]],tbl_Lichthi[#Headers],0))</f>
        <v>Thứ tư</v>
      </c>
      <c r="F60" s="171">
        <f>INDEX(tbl_Lichthi[],MATCH(B60,tbl_Lichthi[Mã học phần],0),MATCH(tbl_LichthiHP[[#Headers],[Ngày thi]],tbl_Lichthi[#Headers],0))</f>
        <v>46057</v>
      </c>
      <c r="G60" s="169" t="str">
        <f>VLOOKUP(B60,'CNTT26.12-Chung'!$D:$M,9,FALSE)</f>
        <v>Kíp 4</v>
      </c>
      <c r="H60" s="169"/>
      <c r="I60" s="172">
        <f>SUMIF('CNTT26.12-Chung'!D:D,LichThiTheoHocPhan!$B60,'CNTT26.12-Chung'!M:M)</f>
        <v>168</v>
      </c>
      <c r="J60" s="159" t="s">
        <v>5293</v>
      </c>
      <c r="K60" s="173" t="s">
        <v>3130</v>
      </c>
    </row>
    <row r="61" spans="1:11" ht="15">
      <c r="A61" s="135">
        <v>60</v>
      </c>
      <c r="B61" s="168" t="s">
        <v>339</v>
      </c>
      <c r="C61" s="169" t="str">
        <f>INDEX(tbl_Lichthi[],MATCH(B61,tbl_Lichthi[Mã học phần],0),MATCH(LichThiTheoHocPhan!$C$1,tbl_Lichthi[#Headers],0))</f>
        <v>Thiết kế và quản trị mạng IP</v>
      </c>
      <c r="D61" s="170" t="str">
        <f>INDEX(tbl_Lichthi[],MATCH(B61,tbl_Lichthi[Mã học phần],0),MATCH(tbl_LichthiHP[[#Headers],[Tuần]],tbl_Lichthi[#Headers],0))</f>
        <v>T22</v>
      </c>
      <c r="E61" s="169" t="str">
        <f>INDEX(tbl_Lichthi[],MATCH(B61,tbl_Lichthi[Mã học phần],0),MATCH(tbl_LichthiHP[[#Headers],[Thứ ]],tbl_Lichthi[#Headers],0))</f>
        <v>Thứ tư</v>
      </c>
      <c r="F61" s="171">
        <f>INDEX(tbl_Lichthi[],MATCH(B61,tbl_Lichthi[Mã học phần],0),MATCH(tbl_LichthiHP[[#Headers],[Ngày thi]],tbl_Lichthi[#Headers],0))</f>
        <v>46057</v>
      </c>
      <c r="G61" s="169" t="str">
        <f>VLOOKUP(B61,'CNTT26.12-Chung'!$D:$M,9,FALSE)</f>
        <v>Kíp 4</v>
      </c>
      <c r="H61" s="169"/>
      <c r="I61" s="172">
        <f>SUMIF('CNTT26.12-Chung'!D:D,LichThiTheoHocPhan!$B61,'CNTT26.12-Chung'!M:M)</f>
        <v>44</v>
      </c>
      <c r="J61" s="159" t="s">
        <v>5294</v>
      </c>
      <c r="K61" s="173" t="s">
        <v>3565</v>
      </c>
    </row>
    <row r="62" spans="1:11" ht="15">
      <c r="A62" s="135">
        <v>63</v>
      </c>
      <c r="B62" s="168" t="s">
        <v>348</v>
      </c>
      <c r="C62" s="169" t="str">
        <f>INDEX(tbl_Lichthi[],MATCH(B62,tbl_Lichthi[Mã học phần],0),MATCH(LichThiTheoHocPhan!$C$1,tbl_Lichthi[#Headers],0))</f>
        <v>Thị giác máy tính</v>
      </c>
      <c r="D62" s="170" t="str">
        <f>INDEX(tbl_Lichthi[],MATCH(B62,tbl_Lichthi[Mã học phần],0),MATCH(tbl_LichthiHP[[#Headers],[Tuần]],tbl_Lichthi[#Headers],0))</f>
        <v>T22</v>
      </c>
      <c r="E62" s="169" t="str">
        <f>INDEX(tbl_Lichthi[],MATCH(B62,tbl_Lichthi[Mã học phần],0),MATCH(tbl_LichthiHP[[#Headers],[Thứ ]],tbl_Lichthi[#Headers],0))</f>
        <v>Thứ năm</v>
      </c>
      <c r="F62" s="171">
        <f>INDEX(tbl_Lichthi[],MATCH(B62,tbl_Lichthi[Mã học phần],0),MATCH(tbl_LichthiHP[[#Headers],[Ngày thi]],tbl_Lichthi[#Headers],0))</f>
        <v>46058</v>
      </c>
      <c r="G62" s="169" t="str">
        <f>VLOOKUP(B62,'CNTT26.12-Chung'!$D:$M,9,FALSE)</f>
        <v>Kíp 1</v>
      </c>
      <c r="H62" s="169"/>
      <c r="I62" s="172">
        <f>SUMIF('CNTT26.12-Chung'!D:D,LichThiTheoHocPhan!$B62,'CNTT26.12-Chung'!M:M)</f>
        <v>30</v>
      </c>
      <c r="J62" s="159" t="s">
        <v>5295</v>
      </c>
      <c r="K62" s="173" t="s">
        <v>1161</v>
      </c>
    </row>
    <row r="63" spans="1:11" ht="15">
      <c r="A63" s="135">
        <v>65</v>
      </c>
      <c r="B63" s="168" t="s">
        <v>494</v>
      </c>
      <c r="C63" s="169" t="str">
        <f>INDEX(tbl_Lichthi[],MATCH(B63,tbl_Lichthi[Mã học phần],0),MATCH(LichThiTheoHocPhan!$C$1,tbl_Lichthi[#Headers],0))</f>
        <v>Discrete Math</v>
      </c>
      <c r="D63" s="170" t="str">
        <f>INDEX(tbl_Lichthi[],MATCH(B63,tbl_Lichthi[Mã học phần],0),MATCH(tbl_LichthiHP[[#Headers],[Tuần]],tbl_Lichthi[#Headers],0))</f>
        <v>T22</v>
      </c>
      <c r="E63" s="169" t="str">
        <f>INDEX(tbl_Lichthi[],MATCH(B63,tbl_Lichthi[Mã học phần],0),MATCH(tbl_LichthiHP[[#Headers],[Thứ ]],tbl_Lichthi[#Headers],0))</f>
        <v>Thứ năm</v>
      </c>
      <c r="F63" s="171">
        <f>INDEX(tbl_Lichthi[],MATCH(B63,tbl_Lichthi[Mã học phần],0),MATCH(tbl_LichthiHP[[#Headers],[Ngày thi]],tbl_Lichthi[#Headers],0))</f>
        <v>46058</v>
      </c>
      <c r="G63" s="169" t="str">
        <f>VLOOKUP(B63,'CNTT26.12-Chung'!$D:$M,9,FALSE)</f>
        <v>Kíp 2</v>
      </c>
      <c r="H63" s="169"/>
      <c r="I63" s="172">
        <f>SUMIF('CNTT26.12-Chung'!D:D,LichThiTheoHocPhan!$B63,'CNTT26.12-Chung'!M:M)</f>
        <v>164</v>
      </c>
      <c r="J63" s="159" t="s">
        <v>5296</v>
      </c>
      <c r="K63" s="173" t="s">
        <v>1320</v>
      </c>
    </row>
    <row r="64" spans="1:11" ht="15">
      <c r="A64" s="135">
        <v>61</v>
      </c>
      <c r="B64" s="168" t="s">
        <v>309</v>
      </c>
      <c r="C64" s="169" t="str">
        <f>INDEX(tbl_Lichthi[],MATCH(B64,tbl_Lichthi[Mã học phần],0),MATCH(LichThiTheoHocPhan!$C$1,tbl_Lichthi[#Headers],0))</f>
        <v>Nhập môn kỹ thuật truyền thông</v>
      </c>
      <c r="D64" s="170" t="str">
        <f>INDEX(tbl_Lichthi[],MATCH(B64,tbl_Lichthi[Mã học phần],0),MATCH(tbl_LichthiHP[[#Headers],[Tuần]],tbl_Lichthi[#Headers],0))</f>
        <v>T22</v>
      </c>
      <c r="E64" s="169" t="str">
        <f>INDEX(tbl_Lichthi[],MATCH(B64,tbl_Lichthi[Mã học phần],0),MATCH(tbl_LichthiHP[[#Headers],[Thứ ]],tbl_Lichthi[#Headers],0))</f>
        <v>Thứ năm</v>
      </c>
      <c r="F64" s="171">
        <f>INDEX(tbl_Lichthi[],MATCH(B64,tbl_Lichthi[Mã học phần],0),MATCH(tbl_LichthiHP[[#Headers],[Ngày thi]],tbl_Lichthi[#Headers],0))</f>
        <v>46058</v>
      </c>
      <c r="G64" s="169" t="str">
        <f>VLOOKUP(B64,'CNTT26.12-Chung'!$D:$M,9,FALSE)</f>
        <v>Kíp 3</v>
      </c>
      <c r="H64" s="169" t="s">
        <v>440</v>
      </c>
      <c r="I64" s="172">
        <f>SUMIF('CNTT26.12-Chung'!D:D,LichThiTheoHocPhan!$B64,'CNTT26.12-Chung'!M:M)</f>
        <v>588</v>
      </c>
      <c r="J64" s="159" t="s">
        <v>5297</v>
      </c>
      <c r="K64" s="173" t="s">
        <v>3331</v>
      </c>
    </row>
    <row r="65" spans="1:11" ht="15">
      <c r="A65" s="135">
        <v>62</v>
      </c>
      <c r="B65" s="168" t="s">
        <v>311</v>
      </c>
      <c r="C65" s="169" t="str">
        <f>INDEX(tbl_Lichthi[],MATCH(B65,tbl_Lichthi[Mã học phần],0),MATCH(LichThiTheoHocPhan!$C$1,tbl_Lichthi[#Headers],0))</f>
        <v>Hệ gợi ý</v>
      </c>
      <c r="D65" s="170" t="str">
        <f>INDEX(tbl_Lichthi[],MATCH(B65,tbl_Lichthi[Mã học phần],0),MATCH(tbl_LichthiHP[[#Headers],[Tuần]],tbl_Lichthi[#Headers],0))</f>
        <v>T22</v>
      </c>
      <c r="E65" s="169" t="str">
        <f>INDEX(tbl_Lichthi[],MATCH(B65,tbl_Lichthi[Mã học phần],0),MATCH(tbl_LichthiHP[[#Headers],[Thứ ]],tbl_Lichthi[#Headers],0))</f>
        <v>Thứ năm</v>
      </c>
      <c r="F65" s="171">
        <f>INDEX(tbl_Lichthi[],MATCH(B65,tbl_Lichthi[Mã học phần],0),MATCH(tbl_LichthiHP[[#Headers],[Ngày thi]],tbl_Lichthi[#Headers],0))</f>
        <v>46058</v>
      </c>
      <c r="G65" s="169" t="str">
        <f>VLOOKUP(B65,'CNTT26.12-Chung'!$D:$M,9,FALSE)</f>
        <v>Kíp 4</v>
      </c>
      <c r="H65" s="169"/>
      <c r="I65" s="172">
        <f>SUMIF('CNTT26.12-Chung'!D:D,LichThiTheoHocPhan!$B65,'CNTT26.12-Chung'!M:M)</f>
        <v>129</v>
      </c>
      <c r="J65" s="159" t="s">
        <v>5298</v>
      </c>
      <c r="K65" s="173" t="s">
        <v>3113</v>
      </c>
    </row>
    <row r="66" spans="1:11" ht="15">
      <c r="A66" s="135">
        <v>64</v>
      </c>
      <c r="B66" s="168" t="s">
        <v>454</v>
      </c>
      <c r="C66" s="169" t="str">
        <f>INDEX(tbl_Lichthi[],MATCH(B66,tbl_Lichthi[Mã học phần],0),MATCH(LichThiTheoHocPhan!$C$1,tbl_Lichthi[#Headers],0))</f>
        <v>Introduction to Communication Enginieering</v>
      </c>
      <c r="D66" s="170" t="str">
        <f>INDEX(tbl_Lichthi[],MATCH(B66,tbl_Lichthi[Mã học phần],0),MATCH(tbl_LichthiHP[[#Headers],[Tuần]],tbl_Lichthi[#Headers],0))</f>
        <v>T22</v>
      </c>
      <c r="E66" s="169" t="str">
        <f>INDEX(tbl_Lichthi[],MATCH(B66,tbl_Lichthi[Mã học phần],0),MATCH(tbl_LichthiHP[[#Headers],[Thứ ]],tbl_Lichthi[#Headers],0))</f>
        <v>Thứ năm</v>
      </c>
      <c r="F66" s="171">
        <f>INDEX(tbl_Lichthi[],MATCH(B66,tbl_Lichthi[Mã học phần],0),MATCH(tbl_LichthiHP[[#Headers],[Ngày thi]],tbl_Lichthi[#Headers],0))</f>
        <v>46058</v>
      </c>
      <c r="G66" s="169" t="str">
        <f>VLOOKUP(B66,'CNTT26.12-Chung'!$D:$M,9,FALSE)</f>
        <v>Kíp 4,5</v>
      </c>
      <c r="H66" s="169"/>
      <c r="I66" s="172">
        <f>SUMIF('CNTT26.12-Chung'!D:D,LichThiTheoHocPhan!$B66,'CNTT26.12-Chung'!M:M)</f>
        <v>126</v>
      </c>
      <c r="J66" s="159" t="s">
        <v>5299</v>
      </c>
      <c r="K66" s="173" t="s">
        <v>3331</v>
      </c>
    </row>
    <row r="67" spans="1:11" ht="15">
      <c r="A67" s="135">
        <v>69</v>
      </c>
      <c r="B67" s="168" t="s">
        <v>292</v>
      </c>
      <c r="C67" s="169" t="str">
        <f>INDEX(tbl_Lichthi[],MATCH(B67,tbl_Lichthi[Mã học phần],0),MATCH(LichThiTheoHocPhan!$C$1,tbl_Lichthi[#Headers],0))</f>
        <v>Quản trị dự án CNTT</v>
      </c>
      <c r="D67" s="170" t="str">
        <f>INDEX(tbl_Lichthi[],MATCH(B67,tbl_Lichthi[Mã học phần],0),MATCH(tbl_LichthiHP[[#Headers],[Tuần]],tbl_Lichthi[#Headers],0))</f>
        <v>T22</v>
      </c>
      <c r="E67" s="169" t="str">
        <f>INDEX(tbl_Lichthi[],MATCH(B67,tbl_Lichthi[Mã học phần],0),MATCH(tbl_LichthiHP[[#Headers],[Thứ ]],tbl_Lichthi[#Headers],0))</f>
        <v>Thứ sáu</v>
      </c>
      <c r="F67" s="171">
        <f>INDEX(tbl_Lichthi[],MATCH(B67,tbl_Lichthi[Mã học phần],0),MATCH(tbl_LichthiHP[[#Headers],[Ngày thi]],tbl_Lichthi[#Headers],0))</f>
        <v>46059</v>
      </c>
      <c r="G67" s="169" t="str">
        <f>VLOOKUP(B67,'CNTT26.12-Chung'!$D:$M,9,FALSE)</f>
        <v>Kíp 1</v>
      </c>
      <c r="H67" s="169"/>
      <c r="I67" s="172">
        <f>SUMIF('CNTT26.12-Chung'!D:D,LichThiTheoHocPhan!$B67,'CNTT26.12-Chung'!M:M)</f>
        <v>131</v>
      </c>
      <c r="J67" s="159" t="s">
        <v>5300</v>
      </c>
      <c r="K67" s="173" t="s">
        <v>3381</v>
      </c>
    </row>
    <row r="68" spans="1:11" ht="15">
      <c r="A68" s="135">
        <v>66</v>
      </c>
      <c r="B68" s="216" t="s">
        <v>235</v>
      </c>
      <c r="C68" s="217" t="str">
        <f>INDEX(tbl_Lichthi[],MATCH(B68,tbl_Lichthi[Mã học phần],0),MATCH(LichThiTheoHocPhan!$C$1,tbl_Lichthi[#Headers],0))</f>
        <v>Nguyên lý hệ điều hành</v>
      </c>
      <c r="D68" s="218" t="str">
        <f>INDEX(tbl_Lichthi[],MATCH(B68,tbl_Lichthi[Mã học phần],0),MATCH(tbl_LichthiHP[[#Headers],[Tuần]],tbl_Lichthi[#Headers],0))</f>
        <v>T22</v>
      </c>
      <c r="E68" s="217" t="str">
        <f>INDEX(tbl_Lichthi[],MATCH(B68,tbl_Lichthi[Mã học phần],0),MATCH(tbl_LichthiHP[[#Headers],[Thứ ]],tbl_Lichthi[#Headers],0))</f>
        <v>Thứ sáu</v>
      </c>
      <c r="F68" s="171">
        <f>INDEX(tbl_Lichthi[],MATCH(B68,tbl_Lichthi[Mã học phần],0),MATCH(tbl_LichthiHP[[#Headers],[Ngày thi]],tbl_Lichthi[#Headers],0))</f>
        <v>46059</v>
      </c>
      <c r="G68" s="217" t="str">
        <f>VLOOKUP(B68,'CNTT26.12-Chung'!$D:$M,9,FALSE)</f>
        <v>Kíp 2</v>
      </c>
      <c r="H68" s="220" t="s">
        <v>371</v>
      </c>
      <c r="I68" s="172">
        <f>SUMIF('CNTT26.12-Chung'!D:D,LichThiTheoHocPhan!$B68,'CNTT26.12-Chung'!M:M)</f>
        <v>480</v>
      </c>
      <c r="J68" s="159" t="s">
        <v>5301</v>
      </c>
      <c r="K68" s="173" t="s">
        <v>1148</v>
      </c>
    </row>
    <row r="69" spans="1:11" ht="15">
      <c r="A69" s="135">
        <v>67</v>
      </c>
      <c r="B69" s="215" t="s">
        <v>247</v>
      </c>
      <c r="C69" s="217" t="str">
        <f>INDEX(tbl_Lichthi[],MATCH(B69,tbl_Lichthi[Mã học phần],0),MATCH(LichThiTheoHocPhan!$C$1,tbl_Lichthi[#Headers],0))</f>
        <v>Object-oriented Programming</v>
      </c>
      <c r="D69" s="218" t="str">
        <f>INDEX(tbl_Lichthi[],MATCH(B69,tbl_Lichthi[Mã học phần],0),MATCH(tbl_LichthiHP[[#Headers],[Tuần]],tbl_Lichthi[#Headers],0))</f>
        <v>T22</v>
      </c>
      <c r="E69" s="217" t="str">
        <f>INDEX(tbl_Lichthi[],MATCH(B69,tbl_Lichthi[Mã học phần],0),MATCH(tbl_LichthiHP[[#Headers],[Thứ ]],tbl_Lichthi[#Headers],0))</f>
        <v>Thứ sáu</v>
      </c>
      <c r="F69" s="171">
        <f>INDEX(tbl_Lichthi[],MATCH(B69,tbl_Lichthi[Mã học phần],0),MATCH(tbl_LichthiHP[[#Headers],[Ngày thi]],tbl_Lichthi[#Headers],0))</f>
        <v>46059</v>
      </c>
      <c r="G69" s="217" t="str">
        <f>VLOOKUP(B69,'CNTT26.12-Chung'!$D:$M,9,FALSE)</f>
        <v>Kíp 2</v>
      </c>
      <c r="H69" s="219"/>
      <c r="I69" s="172">
        <f>SUMIF('CNTT26.12-Chung'!D:D,LichThiTheoHocPhan!$B69,'CNTT26.12-Chung'!M:M)</f>
        <v>200</v>
      </c>
      <c r="J69" s="159" t="s">
        <v>5302</v>
      </c>
      <c r="K69" s="173" t="s">
        <v>4253</v>
      </c>
    </row>
    <row r="70" spans="1:11" ht="15">
      <c r="A70" s="135">
        <v>68</v>
      </c>
      <c r="B70" s="215" t="s">
        <v>279</v>
      </c>
      <c r="C70" s="217" t="str">
        <f>INDEX(tbl_Lichthi[],MATCH(B70,tbl_Lichthi[Mã học phần],0),MATCH(LichThiTheoHocPhan!$C$1,tbl_Lichthi[#Headers],0))</f>
        <v>Introduction to Cryptography and Security</v>
      </c>
      <c r="D70" s="218" t="str">
        <f>INDEX(tbl_Lichthi[],MATCH(B70,tbl_Lichthi[Mã học phần],0),MATCH(tbl_LichthiHP[[#Headers],[Tuần]],tbl_Lichthi[#Headers],0))</f>
        <v>T22</v>
      </c>
      <c r="E70" s="217" t="str">
        <f>INDEX(tbl_Lichthi[],MATCH(B70,tbl_Lichthi[Mã học phần],0),MATCH(tbl_LichthiHP[[#Headers],[Thứ ]],tbl_Lichthi[#Headers],0))</f>
        <v>Thứ sáu</v>
      </c>
      <c r="F70" s="171">
        <f>INDEX(tbl_Lichthi[],MATCH(B70,tbl_Lichthi[Mã học phần],0),MATCH(tbl_LichthiHP[[#Headers],[Ngày thi]],tbl_Lichthi[#Headers],0))</f>
        <v>46059</v>
      </c>
      <c r="G70" s="217" t="str">
        <f>VLOOKUP(B70,'CNTT26.12-Chung'!$D:$M,9,FALSE)</f>
        <v>Kíp 3</v>
      </c>
      <c r="H70" s="219"/>
      <c r="I70" s="172">
        <f>SUMIF('CNTT26.12-Chung'!D:D,LichThiTheoHocPhan!$B70,'CNTT26.12-Chung'!M:M)</f>
        <v>196</v>
      </c>
      <c r="J70" s="159" t="s">
        <v>5303</v>
      </c>
      <c r="K70" s="159" t="s">
        <v>1047</v>
      </c>
    </row>
    <row r="71" spans="1:11" ht="15">
      <c r="A71" s="135">
        <v>70</v>
      </c>
      <c r="B71" s="215" t="s">
        <v>341</v>
      </c>
      <c r="C71" s="217" t="str">
        <f>INDEX(tbl_Lichthi[],MATCH(B71,tbl_Lichthi[Mã học phần],0),MATCH(LichThiTheoHocPhan!$C$1,tbl_Lichthi[#Headers],0))</f>
        <v>Web Mining</v>
      </c>
      <c r="D71" s="218" t="str">
        <f>INDEX(tbl_Lichthi[],MATCH(B71,tbl_Lichthi[Mã học phần],0),MATCH(tbl_LichthiHP[[#Headers],[Tuần]],tbl_Lichthi[#Headers],0))</f>
        <v>T22</v>
      </c>
      <c r="E71" s="217" t="str">
        <f>INDEX(tbl_Lichthi[],MATCH(B71,tbl_Lichthi[Mã học phần],0),MATCH(tbl_LichthiHP[[#Headers],[Thứ ]],tbl_Lichthi[#Headers],0))</f>
        <v>Thứ sáu</v>
      </c>
      <c r="F71" s="171">
        <f>INDEX(tbl_Lichthi[],MATCH(B71,tbl_Lichthi[Mã học phần],0),MATCH(tbl_LichthiHP[[#Headers],[Ngày thi]],tbl_Lichthi[#Headers],0))</f>
        <v>46059</v>
      </c>
      <c r="G71" s="217" t="str">
        <f>VLOOKUP(B71,'CNTT26.12-Chung'!$D:$M,9,FALSE)</f>
        <v>Kíp 4</v>
      </c>
      <c r="H71" s="219"/>
      <c r="I71" s="172">
        <f>SUMIF('CNTT26.12-Chung'!D:D,LichThiTheoHocPhan!$B71,'CNTT26.12-Chung'!M:M)</f>
        <v>102</v>
      </c>
      <c r="J71" s="159" t="s">
        <v>5304</v>
      </c>
      <c r="K71" s="173" t="s">
        <v>1165</v>
      </c>
    </row>
    <row r="72" spans="1:11" ht="15">
      <c r="A72" s="135">
        <v>75</v>
      </c>
      <c r="B72" s="168" t="s">
        <v>42</v>
      </c>
      <c r="C72" s="169" t="str">
        <f>INDEX(tbl_Lichthi[],MATCH(B72,tbl_Lichthi[Mã học phần],0),MATCH(LichThiTheoHocPhan!$C$1,tbl_Lichthi[#Headers],0))</f>
        <v>Tin học đại cương</v>
      </c>
      <c r="D72" s="170" t="str">
        <f>INDEX(tbl_Lichthi[],MATCH(B72,tbl_Lichthi[Mã học phần],0),MATCH(tbl_LichthiHP[[#Headers],[Tuần]],tbl_Lichthi[#Headers],0))</f>
        <v>T22</v>
      </c>
      <c r="E72" s="169" t="str">
        <f>INDEX(tbl_Lichthi[],MATCH(B72,tbl_Lichthi[Mã học phần],0),MATCH(tbl_LichthiHP[[#Headers],[Thứ ]],tbl_Lichthi[#Headers],0))</f>
        <v>Thứ bảy</v>
      </c>
      <c r="F72" s="171">
        <f>INDEX(tbl_Lichthi[],MATCH(B72,tbl_Lichthi[Mã học phần],0),MATCH(tbl_LichthiHP[[#Headers],[Ngày thi]],tbl_Lichthi[#Headers],0))</f>
        <v>46060</v>
      </c>
      <c r="G72" s="169" t="str">
        <f>VLOOKUP(B72,'CNTT26.12-Chung'!$D:$M,9,FALSE)</f>
        <v>Kíp 3</v>
      </c>
      <c r="H72" s="169"/>
      <c r="I72" s="172">
        <f>SUMIF('CNTT26.12-Chung'!D:D,LichThiTheoHocPhan!$B72,'CNTT26.12-Chung'!M:M)</f>
        <v>371</v>
      </c>
      <c r="J72" s="37"/>
    </row>
    <row r="73" spans="1:11" ht="15">
      <c r="A73" s="135">
        <v>76</v>
      </c>
      <c r="B73" s="168" t="s">
        <v>190</v>
      </c>
      <c r="C73" s="169" t="str">
        <f>INDEX(tbl_Lichthi[],MATCH(B73,tbl_Lichthi[Mã học phần],0),MATCH(LichThiTheoHocPhan!$C$1,tbl_Lichthi[#Headers],0))</f>
        <v>Tin học đại cương</v>
      </c>
      <c r="D73" s="170" t="str">
        <f>INDEX(tbl_Lichthi[],MATCH(B73,tbl_Lichthi[Mã học phần],0),MATCH(tbl_LichthiHP[[#Headers],[Tuần]],tbl_Lichthi[#Headers],0))</f>
        <v>T22</v>
      </c>
      <c r="E73" s="169" t="str">
        <f>INDEX(tbl_Lichthi[],MATCH(B73,tbl_Lichthi[Mã học phần],0),MATCH(tbl_LichthiHP[[#Headers],[Thứ ]],tbl_Lichthi[#Headers],0))</f>
        <v>Chủ nhật</v>
      </c>
      <c r="F73" s="171">
        <f>INDEX(tbl_Lichthi[],MATCH(B73,tbl_Lichthi[Mã học phần],0),MATCH(tbl_LichthiHP[[#Headers],[Ngày thi]],tbl_Lichthi[#Headers],0))</f>
        <v>46061</v>
      </c>
      <c r="G73" s="169" t="str">
        <f>VLOOKUP(B73,'CNTT26.12-Chung'!$D:$M,9,FALSE)</f>
        <v>Kíp 1-5</v>
      </c>
      <c r="H73" s="169"/>
      <c r="I73" s="172">
        <f>SUMIF('CNTT26.12-Chung'!D:D,LichThiTheoHocPhan!$B73,'CNTT26.12-Chung'!M:M)</f>
        <v>150</v>
      </c>
      <c r="J73" s="37"/>
    </row>
    <row r="74" spans="1:11" ht="15">
      <c r="A74" s="135">
        <v>77</v>
      </c>
      <c r="B74" s="168" t="s">
        <v>200</v>
      </c>
      <c r="C74" s="169" t="str">
        <f>INDEX(tbl_Lichthi[],MATCH(B74,tbl_Lichthi[Mã học phần],0),MATCH(LichThiTheoHocPhan!$C$1,tbl_Lichthi[#Headers],0))</f>
        <v>Tin học đại cương</v>
      </c>
      <c r="D74" s="170" t="str">
        <f>INDEX(tbl_Lichthi[],MATCH(B74,tbl_Lichthi[Mã học phần],0),MATCH(tbl_LichthiHP[[#Headers],[Tuần]],tbl_Lichthi[#Headers],0))</f>
        <v>T22</v>
      </c>
      <c r="E74" s="169" t="str">
        <f>INDEX(tbl_Lichthi[],MATCH(B74,tbl_Lichthi[Mã học phần],0),MATCH(tbl_LichthiHP[[#Headers],[Thứ ]],tbl_Lichthi[#Headers],0))</f>
        <v>Chủ nhật</v>
      </c>
      <c r="F74" s="178">
        <f>INDEX(tbl_Lichthi[],MATCH(B74,tbl_Lichthi[Mã học phần],0),MATCH(tbl_LichthiHP[[#Headers],[Ngày thi]],tbl_Lichthi[#Headers],0))</f>
        <v>46061</v>
      </c>
      <c r="G74" s="179" t="str">
        <f>VLOOKUP(B74,'CNTT26.12-Chung'!$D:$M,9,FALSE)</f>
        <v>Kíp 1-5</v>
      </c>
      <c r="H74" s="179"/>
      <c r="I74" s="172">
        <f>SUMIF('CNTT26.12-Chung'!D:D,LichThiTheoHocPhan!$B74,'CNTT26.12-Chung'!M:M)</f>
        <v>3056</v>
      </c>
      <c r="J74" s="37"/>
    </row>
    <row r="75" spans="1:11" ht="16.5">
      <c r="B75" s="176"/>
      <c r="I75">
        <f>SUM(I2:I74)</f>
        <v>20463</v>
      </c>
    </row>
  </sheetData>
  <hyperlinks>
    <hyperlink ref="J46" r:id="rId1" xr:uid="{5A1A01B0-D877-4B89-A99B-A16970E4C5E0}"/>
    <hyperlink ref="K46" r:id="rId2" xr:uid="{DE674BB8-F3A6-4CD7-8A86-B26865D8386B}"/>
    <hyperlink ref="J5" r:id="rId3" xr:uid="{2F5539DF-4879-406B-B49E-2C5816AA8133}"/>
    <hyperlink ref="K5" r:id="rId4" xr:uid="{422A28B8-827B-4D28-9473-80E3766C0168}"/>
    <hyperlink ref="J2" r:id="rId5" xr:uid="{8773F8F8-B6CB-4BB0-A3B6-19841872B1AC}"/>
    <hyperlink ref="K2" r:id="rId6" xr:uid="{2BC78C11-9798-4439-94C3-6B7B75D1F953}"/>
    <hyperlink ref="J8" r:id="rId7" xr:uid="{C224B273-F965-44C7-9009-2FFF95DB0295}"/>
    <hyperlink ref="J6" r:id="rId8" xr:uid="{B12E783C-8638-4104-A417-DB28BEA7ADDC}"/>
    <hyperlink ref="K6" r:id="rId9" xr:uid="{EFC9F71F-1E85-4D89-B1B9-FD937082585F}"/>
    <hyperlink ref="J12" r:id="rId10" xr:uid="{DCDEC962-24B1-4475-AF8D-04C9223743A6}"/>
    <hyperlink ref="K12" r:id="rId11" xr:uid="{FBE75968-6E7B-4873-90D8-30A155F94D94}"/>
    <hyperlink ref="J10" r:id="rId12" xr:uid="{48AD5E4E-58E3-4E4F-81CC-2069A64BE36B}"/>
    <hyperlink ref="K10" r:id="rId13" xr:uid="{AADA312B-9ADB-4770-969B-B7D7CA672738}"/>
    <hyperlink ref="J13" r:id="rId14" xr:uid="{FE83DDC3-69CE-434D-A051-2C0660D0D7C5}"/>
    <hyperlink ref="K13" r:id="rId15" xr:uid="{A2AA4D64-FCC7-4E21-8354-78DC7DA43753}"/>
    <hyperlink ref="J11" r:id="rId16" xr:uid="{34DC0B09-E2D4-42C5-BC38-4D7006500867}"/>
    <hyperlink ref="K11" r:id="rId17" xr:uid="{6CF0138B-8642-4225-8B6C-CFD7D9BD11E6}"/>
    <hyperlink ref="J15" r:id="rId18" xr:uid="{F2508D7D-3903-4616-BAC4-BE2C5F97373F}"/>
    <hyperlink ref="K15" r:id="rId19" xr:uid="{BAC39DE3-8059-46AD-A741-52B62ADBC1DF}"/>
    <hyperlink ref="J16" r:id="rId20" xr:uid="{036A77BC-0DF4-48BC-8860-96B36AC9969F}"/>
    <hyperlink ref="K16" r:id="rId21" xr:uid="{8F12CA77-3418-4077-A28E-FD42DAE62321}"/>
    <hyperlink ref="J14" r:id="rId22" xr:uid="{151E08DB-CB8B-4B0F-9FE0-2FD0DDD67822}"/>
    <hyperlink ref="K14" r:id="rId23" xr:uid="{70BF5327-09F6-43B6-91BD-E6C058DBEAE7}"/>
    <hyperlink ref="J17" r:id="rId24" xr:uid="{1E0E6AFE-75E9-46E5-821D-9CF4ED6C37CC}"/>
    <hyperlink ref="K17" r:id="rId25" xr:uid="{A093A474-7E68-4A0F-8528-E3F777C9E97B}"/>
    <hyperlink ref="J20" r:id="rId26" xr:uid="{FF7DFD2D-2661-4E47-B874-D40562A6556D}"/>
    <hyperlink ref="K20" r:id="rId27" xr:uid="{1A231F55-D817-43CD-974B-10BE281446CA}"/>
    <hyperlink ref="J21" r:id="rId28" xr:uid="{75CAEF5F-FFE9-4CE6-99DE-A1F99715A43F}"/>
    <hyperlink ref="K21" r:id="rId29" xr:uid="{4EE852CE-A837-45AA-AF70-3691B83F4241}"/>
    <hyperlink ref="J18" r:id="rId30" xr:uid="{5462EBBC-D6D6-441C-8231-9938AB268F16}"/>
    <hyperlink ref="K18" r:id="rId31" xr:uid="{6A4B1C07-274C-4F28-A561-D35ED74CFE63}"/>
    <hyperlink ref="J22" r:id="rId32" xr:uid="{8BF15140-3E4C-4C60-9726-54275C54D9FD}"/>
    <hyperlink ref="K22" r:id="rId33" xr:uid="{22AE3250-3EB3-4E5C-9EAF-89ADFE440C62}"/>
    <hyperlink ref="J24" r:id="rId34" xr:uid="{677799AB-961B-4C4E-B117-9FFE3E3F92C8}"/>
    <hyperlink ref="K24" r:id="rId35" xr:uid="{0CA73FC5-C7EB-4CA7-AC4D-D6F9E03EAB69}"/>
    <hyperlink ref="J25" r:id="rId36" xr:uid="{F0C8D8A5-35C0-41A1-B0B6-1889A66DF7B9}"/>
    <hyperlink ref="K25" r:id="rId37" xr:uid="{32641090-6391-4EB6-BC0A-B325324FDCCF}"/>
    <hyperlink ref="J27" r:id="rId38" xr:uid="{D722593A-6A2D-4FF4-8802-16229FF9B9DD}"/>
    <hyperlink ref="K27" r:id="rId39" xr:uid="{5C651982-1FE8-4E7E-A27A-7EC08A9F13E1}"/>
    <hyperlink ref="J26" r:id="rId40" xr:uid="{05448FE8-FC11-444E-9567-3D62CAF2056F}"/>
    <hyperlink ref="K26" r:id="rId41" xr:uid="{D5547E91-57FF-4D81-9FDE-CF6610F64514}"/>
    <hyperlink ref="J28" r:id="rId42" xr:uid="{421F1069-DDE6-4B25-8BBD-A99A8235659B}"/>
    <hyperlink ref="K28" r:id="rId43" xr:uid="{D9841113-C4A9-4B31-995E-BE0B5F6E3F5E}"/>
    <hyperlink ref="J29" r:id="rId44" xr:uid="{7ED36346-1809-4FE8-8970-3105FA97778E}"/>
    <hyperlink ref="K29" r:id="rId45" xr:uid="{834168DA-D66F-4D39-B513-B2964970D9F5}"/>
    <hyperlink ref="J30" r:id="rId46" xr:uid="{9BA301CF-2F20-49BB-B491-C0B5AF9D8633}"/>
    <hyperlink ref="K30" r:id="rId47" xr:uid="{F40432C5-3B81-4C8A-B0D1-DA9D318A3FBC}"/>
    <hyperlink ref="J31" r:id="rId48" xr:uid="{040F7158-A417-4D5C-82C6-3F4D9ED5BF8F}"/>
    <hyperlink ref="K31" r:id="rId49" xr:uid="{32BA7AF7-1E65-46A8-8643-563D8C771314}"/>
    <hyperlink ref="J33" r:id="rId50" xr:uid="{FBC5FDEA-7E2F-4614-9DA8-84B0D8F39ADC}"/>
    <hyperlink ref="K33" r:id="rId51" xr:uid="{3C6CD650-A20D-4770-AC65-B966E27AF782}"/>
    <hyperlink ref="J32" r:id="rId52" xr:uid="{4EA23132-6F06-474D-A939-0CE2B641A5C2}"/>
    <hyperlink ref="K32" r:id="rId53" xr:uid="{D17D3C58-0F7E-4AAC-91A6-BF6CD51D3300}"/>
    <hyperlink ref="J34" r:id="rId54" xr:uid="{1ADB9BBB-3DBC-4274-8376-B41003CC881E}"/>
    <hyperlink ref="K34" r:id="rId55" xr:uid="{9B6CE592-1E06-48AA-980E-C57F4A2861A6}"/>
    <hyperlink ref="J57" r:id="rId56" xr:uid="{996E7225-79BE-4EE0-BBFD-819649FF0774}"/>
    <hyperlink ref="K57" r:id="rId57" xr:uid="{936DE821-4645-43E9-8671-9DBC5067871E}"/>
    <hyperlink ref="J39" r:id="rId58" xr:uid="{4C638F20-566A-4036-A633-6C292BCE6D89}"/>
    <hyperlink ref="K39" r:id="rId59" xr:uid="{E6222D8C-C330-4BFE-8920-7FD78351F55D}"/>
    <hyperlink ref="J35" r:id="rId60" xr:uid="{D8F4B415-E63A-4D15-B06F-2F3AE52CACD0}"/>
    <hyperlink ref="K35" r:id="rId61" xr:uid="{39DEDCB2-CA31-42B6-B72B-DA2FA9D2F802}"/>
    <hyperlink ref="J36" r:id="rId62" xr:uid="{087B3B0D-E35F-43E7-AD3C-437B73BAF0D4}"/>
    <hyperlink ref="K36" r:id="rId63" xr:uid="{EFD79242-990C-4113-BFBC-0C4C6E7DA5AF}"/>
    <hyperlink ref="J38" r:id="rId64" xr:uid="{533985AE-0C2F-4322-B65E-7C318985F76B}"/>
    <hyperlink ref="K38" r:id="rId65" xr:uid="{96027DA7-8E34-48C4-BA29-4A331253A41F}"/>
    <hyperlink ref="J37" r:id="rId66" xr:uid="{8F78ABB2-34E6-4616-8583-2FB1D80C3044}"/>
    <hyperlink ref="K37" r:id="rId67" xr:uid="{57400CC0-825D-4E81-AF11-377D0FF7D640}"/>
    <hyperlink ref="J47" r:id="rId68" xr:uid="{178E84EA-6621-4AF4-929E-09B0E2603746}"/>
    <hyperlink ref="K47" r:id="rId69" xr:uid="{172DBAFB-F580-4DE1-B482-BB369ACD1021}"/>
    <hyperlink ref="J43" r:id="rId70" xr:uid="{54876801-6007-420B-B7BF-67AFE911E5DA}"/>
    <hyperlink ref="K43" r:id="rId71" xr:uid="{015C3505-57EC-4358-975F-7C9FC08B3DA1}"/>
    <hyperlink ref="J41" r:id="rId72" xr:uid="{309BE204-B53F-410A-8D09-DD0A6B151AFA}"/>
    <hyperlink ref="K41" r:id="rId73" xr:uid="{ED4266CF-16F9-4C82-8C09-0731A6387FF1}"/>
    <hyperlink ref="J48" r:id="rId74" xr:uid="{83B7B025-FC57-44BC-84A4-8BA3BA17F1E7}"/>
    <hyperlink ref="K48" r:id="rId75" xr:uid="{8F080B1F-5434-42D3-A2C2-631DCD073C65}"/>
    <hyperlink ref="J49" r:id="rId76" xr:uid="{52E24B7A-80C8-492C-84D2-8D93EA819B9B}"/>
    <hyperlink ref="K49" r:id="rId77" xr:uid="{79C59A44-5F33-4BD3-97BB-5CED8731ED77}"/>
    <hyperlink ref="J42" r:id="rId78" xr:uid="{A2478FFD-C122-448D-911D-B5224C2944B9}"/>
    <hyperlink ref="K42" r:id="rId79" xr:uid="{E72EA81D-A834-4F26-ACFF-55C17220B977}"/>
    <hyperlink ref="J44" r:id="rId80" xr:uid="{02B7BAAF-4CAC-4640-9A2D-083DE09AD59D}"/>
    <hyperlink ref="K44" r:id="rId81" xr:uid="{C60B73AB-C1AB-41D3-AA6A-2A95F765868A}"/>
    <hyperlink ref="J52" r:id="rId82" xr:uid="{65F067F5-5383-4BBD-844F-ED3BEE7972DA}"/>
    <hyperlink ref="K52" r:id="rId83" xr:uid="{A17F9326-456A-470B-B138-DEF8FB5CFD81}"/>
    <hyperlink ref="J50" r:id="rId84" xr:uid="{B370F92E-1F68-4990-AB4D-19F7790D9B96}"/>
    <hyperlink ref="K50" r:id="rId85" xr:uid="{829321AE-7668-45B9-9486-908491B4D327}"/>
    <hyperlink ref="J53" r:id="rId86" xr:uid="{AACF72F0-6C3B-44A6-BEA7-7A813CB34D38}"/>
    <hyperlink ref="K53" r:id="rId87" xr:uid="{2932BA8E-3C3C-48E3-A795-A8C9BC8D96F9}"/>
    <hyperlink ref="J51" r:id="rId88" xr:uid="{243DD53E-916C-429F-B94E-E536E9278BE9}"/>
    <hyperlink ref="K51" r:id="rId89" xr:uid="{10507B27-6991-4B45-AE96-F3DD353E59E2}"/>
    <hyperlink ref="J55" r:id="rId90" xr:uid="{4E0E8F6A-A99F-4992-A90C-0E6FA9B4129F}"/>
    <hyperlink ref="K55" r:id="rId91" xr:uid="{B32B60DC-32DC-472D-94FF-EFA068B6FB7B}"/>
    <hyperlink ref="J54" r:id="rId92" xr:uid="{BD8C197A-405D-42EF-9F16-F643FDBC986D}"/>
    <hyperlink ref="K54" r:id="rId93" xr:uid="{0E6AA5DA-53FD-45E1-BF62-72F2A8BB0B99}"/>
    <hyperlink ref="J56" r:id="rId94" xr:uid="{619C25B5-18A2-4A2C-AACF-672B58E51ECC}"/>
    <hyperlink ref="K56" r:id="rId95" xr:uid="{89021D1B-54AF-42BB-82A4-05DC1AD59481}"/>
    <hyperlink ref="J59" r:id="rId96" xr:uid="{3221DFCF-1A8F-41B5-B1DC-7EA0A16F7179}"/>
    <hyperlink ref="K59" r:id="rId97" xr:uid="{781FE2EA-BB29-42B6-8E9E-7D788C871C69}"/>
    <hyperlink ref="J58" r:id="rId98" xr:uid="{836FD56A-9B6C-4EEF-9A7F-347497C7D37D}"/>
    <hyperlink ref="K58" r:id="rId99" xr:uid="{65A809BE-429A-4F03-A8F8-C902C0C672D5}"/>
    <hyperlink ref="J60" r:id="rId100" xr:uid="{FB108228-422D-462F-86DC-D51EDB093915}"/>
    <hyperlink ref="K60" r:id="rId101" xr:uid="{1FDB5191-D1CB-475B-8E59-2CE867F0AB92}"/>
    <hyperlink ref="J61" r:id="rId102" xr:uid="{C9A6B829-3815-40A6-B821-F3105A44611E}"/>
    <hyperlink ref="K61" r:id="rId103" xr:uid="{20AC788F-D3A7-4547-A6B3-7A806B8D5860}"/>
    <hyperlink ref="J45" r:id="rId104" xr:uid="{0DC17654-7670-4C72-8A6A-F404E7BE885B}"/>
    <hyperlink ref="K45" r:id="rId105" xr:uid="{A0D5EC13-A5E4-4C24-A2FB-82748C654515}"/>
    <hyperlink ref="J64" r:id="rId106" xr:uid="{E7807B41-E8F2-4E53-8F83-E35891088F69}"/>
    <hyperlink ref="K64" r:id="rId107" xr:uid="{3268F4CD-A965-414A-8E1F-2D4D17F49F5E}"/>
    <hyperlink ref="J65" r:id="rId108" xr:uid="{37D9D850-859D-459A-846E-90784BDDD3C1}"/>
    <hyperlink ref="K65" r:id="rId109" xr:uid="{49B72509-28CF-4E27-95BC-62E017E68915}"/>
    <hyperlink ref="J62" r:id="rId110" xr:uid="{79AFDC66-FA1E-4D8A-80AE-03B0FBE4C65E}"/>
    <hyperlink ref="K62" r:id="rId111" xr:uid="{B561751F-5C58-483B-B184-34DF46CBF539}"/>
    <hyperlink ref="J66" r:id="rId112" xr:uid="{2D902C07-FC7B-4D57-82A4-5365058D597C}"/>
    <hyperlink ref="K66" r:id="rId113" xr:uid="{D3C96C58-1450-45F6-A466-4495643D9DEF}"/>
    <hyperlink ref="J63" r:id="rId114" xr:uid="{14943AF8-FCAD-4C4D-959F-B0925FEA27A3}"/>
    <hyperlink ref="K63" r:id="rId115" xr:uid="{F4C435ED-3865-44BD-8E44-1FE6801A7F7F}"/>
    <hyperlink ref="J68" r:id="rId116" xr:uid="{64EBC08D-F0F4-49B6-B459-6D330327C00B}"/>
    <hyperlink ref="K68" r:id="rId117" xr:uid="{122943CA-A576-44DE-AF8A-7154621DD497}"/>
    <hyperlink ref="J69" r:id="rId118" xr:uid="{008185D7-D15A-4032-A48B-74578F6DC8D7}"/>
    <hyperlink ref="K69" r:id="rId119" xr:uid="{4DA64151-F47D-4AC7-86BA-A792D1247250}"/>
    <hyperlink ref="J70" r:id="rId120" xr:uid="{BA08BB7A-C868-474B-81F7-ED151F9C71D1}"/>
    <hyperlink ref="K70" r:id="rId121" xr:uid="{8AED8FC4-FEC6-4593-B4FB-2CFD4338D9B7}"/>
    <hyperlink ref="J67" r:id="rId122" xr:uid="{AAE5182E-C025-4B7C-83F7-5E042972B593}"/>
    <hyperlink ref="K67" r:id="rId123" xr:uid="{1CC8CCFE-DE92-4389-97FF-86FD1B6D8718}"/>
    <hyperlink ref="J71" r:id="rId124" xr:uid="{012E0A1D-DC9A-48AB-A427-293EEE59F924}"/>
    <hyperlink ref="K71" r:id="rId125" xr:uid="{C769C03F-C60D-4BBA-9167-C49D92C1068D}"/>
    <hyperlink ref="K40" r:id="rId126" xr:uid="{B675BDCD-3130-4A6D-AAE7-06A2A01DCC08}"/>
    <hyperlink ref="K8" r:id="rId127" xr:uid="{A96FF66E-A4F2-4BBF-917A-1A2A0D5A8AC2}"/>
  </hyperlinks>
  <pageMargins left="0.7" right="0.7" top="0.75" bottom="0.75" header="0.3" footer="0.3"/>
  <tableParts count="1">
    <tablePart r:id="rId1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SOICT</dc:creator>
  <cp:keywords/>
  <dc:description/>
  <cp:lastModifiedBy/>
  <cp:revision/>
  <dcterms:created xsi:type="dcterms:W3CDTF">2025-09-30T06:19:10Z</dcterms:created>
  <dcterms:modified xsi:type="dcterms:W3CDTF">2026-01-26T02:23:10Z</dcterms:modified>
  <cp:category/>
  <cp:contentStatus/>
</cp:coreProperties>
</file>